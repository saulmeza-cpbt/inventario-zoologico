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b39644a82a9faca/Desktop/"/>
    </mc:Choice>
  </mc:AlternateContent>
  <xr:revisionPtr revIDLastSave="6" documentId="8_{C967D63B-4ED1-4F2B-BBED-BFCCA73B71FD}" xr6:coauthVersionLast="47" xr6:coauthVersionMax="47" xr10:uidLastSave="{1DBA5D83-B1F6-41A5-BBE1-F54FA9CD79AE}"/>
  <bookViews>
    <workbookView xWindow="-120" yWindow="-120" windowWidth="19440" windowHeight="14880" tabRatio="786" xr2:uid="{00000000-000D-0000-FFFF-FFFF00000000}"/>
  </bookViews>
  <sheets>
    <sheet name="INV. FINAL + CIE" sheetId="25" r:id="rId1"/>
    <sheet name="INV. FINAL " sheetId="20" r:id="rId2"/>
    <sheet name="CONCENTRADO" sheetId="1" r:id="rId3"/>
    <sheet name="SALIDA DE FRUTA Y VERDURA " sheetId="2" r:id="rId4"/>
    <sheet name="SALIDA POLLO-CANAL" sheetId="3" r:id="rId5"/>
    <sheet name="Hoja8" sheetId="19" r:id="rId6"/>
    <sheet name="Hoja6" sheetId="17" r:id="rId7"/>
    <sheet name="SALIDA FORRAJERA" sheetId="4" r:id="rId8"/>
    <sheet name="SALIDA VARIOS " sheetId="5" r:id="rId9"/>
    <sheet name="INV. FINAL  (2)" sheetId="21" r:id="rId10"/>
    <sheet name="07 abril " sheetId="6" r:id="rId11"/>
    <sheet name="14 abril " sheetId="7" r:id="rId12"/>
    <sheet name="21 ABRIL " sheetId="8" r:id="rId13"/>
    <sheet name="28 ABRIL " sheetId="10" r:id="rId14"/>
    <sheet name="30 ABRIL " sheetId="12" r:id="rId15"/>
  </sheets>
  <definedNames>
    <definedName name="_xlnm._FilterDatabase" localSheetId="10" hidden="1">'07 abril '!$A$7:$N$116</definedName>
    <definedName name="_xlnm._FilterDatabase" localSheetId="11" hidden="1">'14 abril '!$A$7:$N$116</definedName>
    <definedName name="_xlnm._FilterDatabase" localSheetId="12" hidden="1">'21 ABRIL '!$A$7:$N$116</definedName>
    <definedName name="_xlnm._FilterDatabase" localSheetId="13" hidden="1">'28 ABRIL '!$A$7:$N$116</definedName>
    <definedName name="_xlnm._FilterDatabase" localSheetId="14" hidden="1">'30 ABRIL '!$A$7:$N$116</definedName>
    <definedName name="_xlnm._FilterDatabase" localSheetId="2" hidden="1">CONCENTRADO!$A$4:$H$377</definedName>
    <definedName name="_xlnm._FilterDatabase" localSheetId="1" hidden="1">'INV. FINAL '!$A$7:$Z$116</definedName>
    <definedName name="_xlnm._FilterDatabase" localSheetId="9" hidden="1">'INV. FINAL  (2)'!$A$7:$AB$116</definedName>
    <definedName name="_xlnm._FilterDatabase" localSheetId="0" hidden="1">'INV. FINAL + CIE'!$A$7:$Z$116</definedName>
    <definedName name="_xlnm._FilterDatabase" localSheetId="3" hidden="1">'SALIDA DE FRUTA Y VERDURA '!$A$6:$AG$40</definedName>
    <definedName name="_xlnm._FilterDatabase" localSheetId="4" hidden="1">'SALIDA POLLO-CANAL'!$A$5:$D$179</definedName>
  </definedNames>
  <calcPr calcId="191029"/>
  <pivotCaches>
    <pivotCache cacheId="16" r:id="rId16"/>
    <pivotCache cacheId="17" r:id="rId17"/>
    <pivotCache cacheId="18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KlQQkxaxaYujueIANpZpO1fhY5EhMDY2e/mgkIVik/k="/>
    </ext>
  </extLst>
</workbook>
</file>

<file path=xl/calcChain.xml><?xml version="1.0" encoding="utf-8"?>
<calcChain xmlns="http://schemas.openxmlformats.org/spreadsheetml/2006/main">
  <c r="I85" i="25" l="1"/>
  <c r="G85" i="25"/>
  <c r="I26" i="25"/>
  <c r="G26" i="25"/>
  <c r="I50" i="25"/>
  <c r="G50" i="25"/>
  <c r="I61" i="25"/>
  <c r="G61" i="25"/>
  <c r="I97" i="25"/>
  <c r="G97" i="25"/>
  <c r="U97" i="25" s="1"/>
  <c r="I70" i="25"/>
  <c r="G70" i="25"/>
  <c r="I34" i="25"/>
  <c r="G34" i="25"/>
  <c r="K34" i="25" s="1"/>
  <c r="P34" i="25" s="1"/>
  <c r="I90" i="25"/>
  <c r="G90" i="25"/>
  <c r="I25" i="25"/>
  <c r="G25" i="25"/>
  <c r="I9" i="25"/>
  <c r="G9" i="25"/>
  <c r="I110" i="25"/>
  <c r="G110" i="25"/>
  <c r="U110" i="25" s="1"/>
  <c r="I105" i="25"/>
  <c r="G105" i="25"/>
  <c r="I96" i="25"/>
  <c r="G96" i="25"/>
  <c r="I83" i="25"/>
  <c r="W83" i="25" s="1"/>
  <c r="G83" i="25"/>
  <c r="I79" i="25"/>
  <c r="G79" i="25"/>
  <c r="U79" i="25" s="1"/>
  <c r="I67" i="25"/>
  <c r="G67" i="25"/>
  <c r="I64" i="25"/>
  <c r="G64" i="25"/>
  <c r="I57" i="25"/>
  <c r="G57" i="25"/>
  <c r="I55" i="25"/>
  <c r="G55" i="25"/>
  <c r="I54" i="25"/>
  <c r="G54" i="25"/>
  <c r="K54" i="25" s="1"/>
  <c r="P54" i="25" s="1"/>
  <c r="I48" i="25"/>
  <c r="G48" i="25"/>
  <c r="I36" i="25"/>
  <c r="G36" i="25"/>
  <c r="I19" i="25"/>
  <c r="G19" i="25"/>
  <c r="T116" i="25"/>
  <c r="O116" i="25"/>
  <c r="N116" i="25"/>
  <c r="J116" i="25"/>
  <c r="H116" i="25"/>
  <c r="F116" i="25"/>
  <c r="W115" i="25"/>
  <c r="U115" i="25"/>
  <c r="S115" i="25"/>
  <c r="K115" i="25"/>
  <c r="P115" i="25" s="1"/>
  <c r="W114" i="25"/>
  <c r="U114" i="25"/>
  <c r="S114" i="25"/>
  <c r="K114" i="25"/>
  <c r="P114" i="25" s="1"/>
  <c r="W113" i="25"/>
  <c r="U113" i="25"/>
  <c r="S113" i="25"/>
  <c r="K113" i="25"/>
  <c r="P113" i="25" s="1"/>
  <c r="W112" i="25"/>
  <c r="U112" i="25"/>
  <c r="S112" i="25"/>
  <c r="K112" i="25"/>
  <c r="P112" i="25" s="1"/>
  <c r="X111" i="25"/>
  <c r="W111" i="25"/>
  <c r="V111" i="25"/>
  <c r="U111" i="25"/>
  <c r="S111" i="25"/>
  <c r="K111" i="25"/>
  <c r="P111" i="25" s="1"/>
  <c r="X110" i="25"/>
  <c r="V110" i="25"/>
  <c r="X109" i="25"/>
  <c r="W109" i="25"/>
  <c r="V109" i="25"/>
  <c r="U109" i="25"/>
  <c r="S109" i="25"/>
  <c r="K109" i="25"/>
  <c r="P109" i="25" s="1"/>
  <c r="X108" i="25"/>
  <c r="W108" i="25"/>
  <c r="V108" i="25"/>
  <c r="U108" i="25"/>
  <c r="S108" i="25"/>
  <c r="Y108" i="25" s="1"/>
  <c r="K108" i="25"/>
  <c r="P108" i="25" s="1"/>
  <c r="X107" i="25"/>
  <c r="W107" i="25"/>
  <c r="V107" i="25"/>
  <c r="U107" i="25"/>
  <c r="S107" i="25"/>
  <c r="K107" i="25"/>
  <c r="P107" i="25" s="1"/>
  <c r="X106" i="25"/>
  <c r="W106" i="25"/>
  <c r="V106" i="25"/>
  <c r="U106" i="25"/>
  <c r="S106" i="25"/>
  <c r="K106" i="25"/>
  <c r="P106" i="25" s="1"/>
  <c r="X105" i="25"/>
  <c r="V105" i="25"/>
  <c r="U105" i="25"/>
  <c r="S105" i="25"/>
  <c r="Y105" i="25" s="1"/>
  <c r="K105" i="25"/>
  <c r="P105" i="25" s="1"/>
  <c r="W105" i="25"/>
  <c r="X104" i="25"/>
  <c r="W104" i="25"/>
  <c r="V104" i="25"/>
  <c r="U104" i="25"/>
  <c r="S104" i="25"/>
  <c r="Y104" i="25" s="1"/>
  <c r="P104" i="25"/>
  <c r="K104" i="25"/>
  <c r="X103" i="25"/>
  <c r="W103" i="25"/>
  <c r="V103" i="25"/>
  <c r="U103" i="25"/>
  <c r="S103" i="25"/>
  <c r="Y103" i="25" s="1"/>
  <c r="P103" i="25"/>
  <c r="K103" i="25"/>
  <c r="X102" i="25"/>
  <c r="W102" i="25"/>
  <c r="V102" i="25"/>
  <c r="U102" i="25"/>
  <c r="S102" i="25"/>
  <c r="Y102" i="25" s="1"/>
  <c r="P102" i="25"/>
  <c r="K102" i="25"/>
  <c r="X101" i="25"/>
  <c r="W101" i="25"/>
  <c r="V101" i="25"/>
  <c r="U101" i="25"/>
  <c r="S101" i="25"/>
  <c r="Y101" i="25" s="1"/>
  <c r="P101" i="25"/>
  <c r="K101" i="25"/>
  <c r="X100" i="25"/>
  <c r="W100" i="25"/>
  <c r="V100" i="25"/>
  <c r="U100" i="25"/>
  <c r="S100" i="25"/>
  <c r="Y100" i="25" s="1"/>
  <c r="P100" i="25"/>
  <c r="K100" i="25"/>
  <c r="X99" i="25"/>
  <c r="W99" i="25"/>
  <c r="V99" i="25"/>
  <c r="U99" i="25"/>
  <c r="S99" i="25"/>
  <c r="Y99" i="25" s="1"/>
  <c r="P99" i="25"/>
  <c r="K99" i="25"/>
  <c r="X98" i="25"/>
  <c r="W98" i="25"/>
  <c r="V98" i="25"/>
  <c r="U98" i="25"/>
  <c r="S98" i="25"/>
  <c r="Y98" i="25" s="1"/>
  <c r="P98" i="25"/>
  <c r="K98" i="25"/>
  <c r="X97" i="25"/>
  <c r="W97" i="25"/>
  <c r="V97" i="25"/>
  <c r="S97" i="25"/>
  <c r="X96" i="25"/>
  <c r="V96" i="25"/>
  <c r="U96" i="25"/>
  <c r="S96" i="25"/>
  <c r="K96" i="25"/>
  <c r="P96" i="25" s="1"/>
  <c r="X95" i="25"/>
  <c r="W95" i="25"/>
  <c r="V95" i="25"/>
  <c r="U95" i="25"/>
  <c r="S95" i="25"/>
  <c r="Y95" i="25" s="1"/>
  <c r="K95" i="25"/>
  <c r="P95" i="25" s="1"/>
  <c r="X94" i="25"/>
  <c r="W94" i="25"/>
  <c r="V94" i="25"/>
  <c r="U94" i="25"/>
  <c r="S94" i="25"/>
  <c r="Y94" i="25" s="1"/>
  <c r="K94" i="25"/>
  <c r="P94" i="25" s="1"/>
  <c r="X93" i="25"/>
  <c r="W93" i="25"/>
  <c r="V93" i="25"/>
  <c r="U93" i="25"/>
  <c r="S93" i="25"/>
  <c r="K93" i="25"/>
  <c r="P93" i="25" s="1"/>
  <c r="X92" i="25"/>
  <c r="W92" i="25"/>
  <c r="V92" i="25"/>
  <c r="U92" i="25"/>
  <c r="S92" i="25"/>
  <c r="K92" i="25"/>
  <c r="P92" i="25" s="1"/>
  <c r="X91" i="25"/>
  <c r="W91" i="25"/>
  <c r="V91" i="25"/>
  <c r="U91" i="25"/>
  <c r="S91" i="25"/>
  <c r="Y91" i="25" s="1"/>
  <c r="K91" i="25"/>
  <c r="P91" i="25" s="1"/>
  <c r="X90" i="25"/>
  <c r="W90" i="25"/>
  <c r="V90" i="25"/>
  <c r="U90" i="25"/>
  <c r="S90" i="25"/>
  <c r="K90" i="25"/>
  <c r="P90" i="25" s="1"/>
  <c r="X89" i="25"/>
  <c r="W89" i="25"/>
  <c r="V89" i="25"/>
  <c r="U89" i="25"/>
  <c r="S89" i="25"/>
  <c r="K89" i="25"/>
  <c r="P89" i="25" s="1"/>
  <c r="X88" i="25"/>
  <c r="W88" i="25"/>
  <c r="V88" i="25"/>
  <c r="U88" i="25"/>
  <c r="S88" i="25"/>
  <c r="K88" i="25"/>
  <c r="P88" i="25" s="1"/>
  <c r="X87" i="25"/>
  <c r="W87" i="25"/>
  <c r="V87" i="25"/>
  <c r="U87" i="25"/>
  <c r="S87" i="25"/>
  <c r="Y87" i="25" s="1"/>
  <c r="K87" i="25"/>
  <c r="P87" i="25" s="1"/>
  <c r="X86" i="25"/>
  <c r="W86" i="25"/>
  <c r="V86" i="25"/>
  <c r="U86" i="25"/>
  <c r="S86" i="25"/>
  <c r="K86" i="25"/>
  <c r="P86" i="25" s="1"/>
  <c r="X85" i="25"/>
  <c r="W85" i="25"/>
  <c r="V85" i="25"/>
  <c r="U85" i="25"/>
  <c r="K85" i="25"/>
  <c r="P85" i="25" s="1"/>
  <c r="X84" i="25"/>
  <c r="W84" i="25"/>
  <c r="V84" i="25"/>
  <c r="U84" i="25"/>
  <c r="S84" i="25"/>
  <c r="Y84" i="25" s="1"/>
  <c r="K84" i="25"/>
  <c r="P84" i="25" s="1"/>
  <c r="X83" i="25"/>
  <c r="V83" i="25"/>
  <c r="U83" i="25"/>
  <c r="K83" i="25"/>
  <c r="P83" i="25" s="1"/>
  <c r="X82" i="25"/>
  <c r="V82" i="25"/>
  <c r="U82" i="25"/>
  <c r="S82" i="25"/>
  <c r="I82" i="25"/>
  <c r="K82" i="25" s="1"/>
  <c r="P82" i="25" s="1"/>
  <c r="X81" i="25"/>
  <c r="V81" i="25"/>
  <c r="U81" i="25"/>
  <c r="S81" i="25"/>
  <c r="I81" i="25"/>
  <c r="K81" i="25" s="1"/>
  <c r="P81" i="25" s="1"/>
  <c r="X80" i="25"/>
  <c r="W80" i="25"/>
  <c r="V80" i="25"/>
  <c r="U80" i="25"/>
  <c r="S80" i="25"/>
  <c r="K80" i="25"/>
  <c r="P80" i="25" s="1"/>
  <c r="X79" i="25"/>
  <c r="V79" i="25"/>
  <c r="W79" i="25"/>
  <c r="X78" i="25"/>
  <c r="W78" i="25"/>
  <c r="V78" i="25"/>
  <c r="U78" i="25"/>
  <c r="S78" i="25"/>
  <c r="Y78" i="25" s="1"/>
  <c r="K78" i="25"/>
  <c r="P78" i="25" s="1"/>
  <c r="X77" i="25"/>
  <c r="W77" i="25"/>
  <c r="V77" i="25"/>
  <c r="U77" i="25"/>
  <c r="S77" i="25"/>
  <c r="K77" i="25"/>
  <c r="P77" i="25" s="1"/>
  <c r="X76" i="25"/>
  <c r="W76" i="25"/>
  <c r="V76" i="25"/>
  <c r="U76" i="25"/>
  <c r="S76" i="25"/>
  <c r="K76" i="25"/>
  <c r="P76" i="25" s="1"/>
  <c r="X75" i="25"/>
  <c r="W75" i="25"/>
  <c r="V75" i="25"/>
  <c r="U75" i="25"/>
  <c r="S75" i="25"/>
  <c r="K75" i="25"/>
  <c r="P75" i="25" s="1"/>
  <c r="X74" i="25"/>
  <c r="W74" i="25"/>
  <c r="V74" i="25"/>
  <c r="U74" i="25"/>
  <c r="S74" i="25"/>
  <c r="K74" i="25"/>
  <c r="P74" i="25" s="1"/>
  <c r="X73" i="25"/>
  <c r="W73" i="25"/>
  <c r="V73" i="25"/>
  <c r="U73" i="25"/>
  <c r="S73" i="25"/>
  <c r="K73" i="25"/>
  <c r="P73" i="25" s="1"/>
  <c r="I73" i="25"/>
  <c r="Y72" i="25"/>
  <c r="X72" i="25"/>
  <c r="W72" i="25"/>
  <c r="V72" i="25"/>
  <c r="U72" i="25"/>
  <c r="S72" i="25"/>
  <c r="P72" i="25"/>
  <c r="K72" i="25"/>
  <c r="Y71" i="25"/>
  <c r="X71" i="25"/>
  <c r="W71" i="25"/>
  <c r="V71" i="25"/>
  <c r="U71" i="25"/>
  <c r="S71" i="25"/>
  <c r="P71" i="25"/>
  <c r="K71" i="25"/>
  <c r="X70" i="25"/>
  <c r="W70" i="25"/>
  <c r="V70" i="25"/>
  <c r="U70" i="25"/>
  <c r="S70" i="25"/>
  <c r="K70" i="25"/>
  <c r="P70" i="25" s="1"/>
  <c r="X69" i="25"/>
  <c r="W69" i="25"/>
  <c r="V69" i="25"/>
  <c r="Y69" i="25" s="1"/>
  <c r="U69" i="25"/>
  <c r="S69" i="25"/>
  <c r="K69" i="25"/>
  <c r="P69" i="25" s="1"/>
  <c r="X68" i="25"/>
  <c r="W68" i="25"/>
  <c r="V68" i="25"/>
  <c r="Y68" i="25" s="1"/>
  <c r="U68" i="25"/>
  <c r="S68" i="25"/>
  <c r="K68" i="25"/>
  <c r="P68" i="25" s="1"/>
  <c r="X67" i="25"/>
  <c r="V67" i="25"/>
  <c r="U67" i="25"/>
  <c r="K67" i="25"/>
  <c r="P67" i="25" s="1"/>
  <c r="W67" i="25"/>
  <c r="X66" i="25"/>
  <c r="W66" i="25"/>
  <c r="V66" i="25"/>
  <c r="U66" i="25"/>
  <c r="S66" i="25"/>
  <c r="Y66" i="25" s="1"/>
  <c r="P66" i="25"/>
  <c r="K66" i="25"/>
  <c r="X65" i="25"/>
  <c r="V65" i="25"/>
  <c r="U65" i="25"/>
  <c r="S65" i="25"/>
  <c r="I65" i="25"/>
  <c r="W65" i="25" s="1"/>
  <c r="X64" i="25"/>
  <c r="V64" i="25"/>
  <c r="U64" i="25"/>
  <c r="S64" i="25"/>
  <c r="K64" i="25"/>
  <c r="P64" i="25" s="1"/>
  <c r="W64" i="25"/>
  <c r="X63" i="25"/>
  <c r="W63" i="25"/>
  <c r="V63" i="25"/>
  <c r="U63" i="25"/>
  <c r="S63" i="25"/>
  <c r="K63" i="25"/>
  <c r="P63" i="25" s="1"/>
  <c r="X62" i="25"/>
  <c r="W62" i="25"/>
  <c r="V62" i="25"/>
  <c r="U62" i="25"/>
  <c r="S62" i="25"/>
  <c r="P62" i="25"/>
  <c r="K62" i="25"/>
  <c r="X61" i="25"/>
  <c r="W61" i="25"/>
  <c r="V61" i="25"/>
  <c r="U61" i="25"/>
  <c r="S61" i="25"/>
  <c r="K61" i="25"/>
  <c r="P61" i="25" s="1"/>
  <c r="X60" i="25"/>
  <c r="W60" i="25"/>
  <c r="V60" i="25"/>
  <c r="U60" i="25"/>
  <c r="S60" i="25"/>
  <c r="Y60" i="25" s="1"/>
  <c r="K60" i="25"/>
  <c r="P60" i="25" s="1"/>
  <c r="X59" i="25"/>
  <c r="W59" i="25"/>
  <c r="V59" i="25"/>
  <c r="U59" i="25"/>
  <c r="S59" i="25"/>
  <c r="P59" i="25"/>
  <c r="K59" i="25"/>
  <c r="X58" i="25"/>
  <c r="W58" i="25"/>
  <c r="V58" i="25"/>
  <c r="U58" i="25"/>
  <c r="S58" i="25"/>
  <c r="K58" i="25"/>
  <c r="P58" i="25" s="1"/>
  <c r="X57" i="25"/>
  <c r="V57" i="25"/>
  <c r="U57" i="25"/>
  <c r="K57" i="25"/>
  <c r="P57" i="25" s="1"/>
  <c r="W57" i="25"/>
  <c r="X56" i="25"/>
  <c r="W56" i="25"/>
  <c r="V56" i="25"/>
  <c r="U56" i="25"/>
  <c r="S56" i="25"/>
  <c r="Y56" i="25" s="1"/>
  <c r="P56" i="25"/>
  <c r="K56" i="25"/>
  <c r="X55" i="25"/>
  <c r="W55" i="25"/>
  <c r="V55" i="25"/>
  <c r="U55" i="25"/>
  <c r="S55" i="25"/>
  <c r="K55" i="25"/>
  <c r="P55" i="25" s="1"/>
  <c r="X54" i="25"/>
  <c r="W54" i="25"/>
  <c r="V54" i="25"/>
  <c r="S54" i="25"/>
  <c r="X53" i="25"/>
  <c r="W53" i="25"/>
  <c r="V53" i="25"/>
  <c r="U53" i="25"/>
  <c r="S53" i="25"/>
  <c r="P53" i="25"/>
  <c r="K53" i="25"/>
  <c r="X52" i="25"/>
  <c r="W52" i="25"/>
  <c r="V52" i="25"/>
  <c r="U52" i="25"/>
  <c r="S52" i="25"/>
  <c r="Y52" i="25" s="1"/>
  <c r="P52" i="25"/>
  <c r="K52" i="25"/>
  <c r="X51" i="25"/>
  <c r="W51" i="25"/>
  <c r="V51" i="25"/>
  <c r="U51" i="25"/>
  <c r="S51" i="25"/>
  <c r="P51" i="25"/>
  <c r="K51" i="25"/>
  <c r="X50" i="25"/>
  <c r="W50" i="25"/>
  <c r="V50" i="25"/>
  <c r="U50" i="25"/>
  <c r="S50" i="25"/>
  <c r="K50" i="25"/>
  <c r="P50" i="25" s="1"/>
  <c r="X49" i="25"/>
  <c r="W49" i="25"/>
  <c r="V49" i="25"/>
  <c r="U49" i="25"/>
  <c r="P49" i="25"/>
  <c r="K49" i="25"/>
  <c r="I49" i="25"/>
  <c r="X48" i="25"/>
  <c r="W48" i="25"/>
  <c r="V48" i="25"/>
  <c r="U48" i="25"/>
  <c r="S48" i="25"/>
  <c r="K48" i="25"/>
  <c r="P48" i="25" s="1"/>
  <c r="X47" i="25"/>
  <c r="W47" i="25"/>
  <c r="V47" i="25"/>
  <c r="U47" i="25"/>
  <c r="S47" i="25"/>
  <c r="P47" i="25"/>
  <c r="K47" i="25"/>
  <c r="X46" i="25"/>
  <c r="W46" i="25"/>
  <c r="V46" i="25"/>
  <c r="U46" i="25"/>
  <c r="S46" i="25"/>
  <c r="Y46" i="25" s="1"/>
  <c r="P46" i="25"/>
  <c r="K46" i="25"/>
  <c r="X45" i="25"/>
  <c r="W45" i="25"/>
  <c r="V45" i="25"/>
  <c r="U45" i="25"/>
  <c r="S45" i="25"/>
  <c r="P45" i="25"/>
  <c r="K45" i="25"/>
  <c r="X44" i="25"/>
  <c r="W44" i="25"/>
  <c r="V44" i="25"/>
  <c r="U44" i="25"/>
  <c r="S44" i="25"/>
  <c r="K44" i="25"/>
  <c r="P44" i="25" s="1"/>
  <c r="X43" i="25"/>
  <c r="W43" i="25"/>
  <c r="V43" i="25"/>
  <c r="U43" i="25"/>
  <c r="S43" i="25"/>
  <c r="P43" i="25"/>
  <c r="K43" i="25"/>
  <c r="X42" i="25"/>
  <c r="W42" i="25"/>
  <c r="V42" i="25"/>
  <c r="U42" i="25"/>
  <c r="S42" i="25"/>
  <c r="I42" i="25"/>
  <c r="K42" i="25" s="1"/>
  <c r="P42" i="25" s="1"/>
  <c r="X41" i="25"/>
  <c r="W41" i="25"/>
  <c r="V41" i="25"/>
  <c r="Y41" i="25" s="1"/>
  <c r="U41" i="25"/>
  <c r="S41" i="25"/>
  <c r="K41" i="25"/>
  <c r="P41" i="25" s="1"/>
  <c r="X40" i="25"/>
  <c r="W40" i="25"/>
  <c r="V40" i="25"/>
  <c r="U40" i="25"/>
  <c r="S40" i="25"/>
  <c r="K40" i="25"/>
  <c r="P40" i="25" s="1"/>
  <c r="X39" i="25"/>
  <c r="W39" i="25"/>
  <c r="V39" i="25"/>
  <c r="U39" i="25"/>
  <c r="S39" i="25"/>
  <c r="K39" i="25"/>
  <c r="P39" i="25" s="1"/>
  <c r="X38" i="25"/>
  <c r="W38" i="25"/>
  <c r="V38" i="25"/>
  <c r="U38" i="25"/>
  <c r="S38" i="25"/>
  <c r="K38" i="25"/>
  <c r="P38" i="25" s="1"/>
  <c r="X37" i="25"/>
  <c r="W37" i="25"/>
  <c r="V37" i="25"/>
  <c r="Y37" i="25" s="1"/>
  <c r="U37" i="25"/>
  <c r="S37" i="25"/>
  <c r="K37" i="25"/>
  <c r="P37" i="25" s="1"/>
  <c r="X36" i="25"/>
  <c r="V36" i="25"/>
  <c r="U36" i="25"/>
  <c r="S36" i="25"/>
  <c r="K36" i="25"/>
  <c r="P36" i="25" s="1"/>
  <c r="X35" i="25"/>
  <c r="W35" i="25"/>
  <c r="V35" i="25"/>
  <c r="U35" i="25"/>
  <c r="S35" i="25"/>
  <c r="K35" i="25"/>
  <c r="P35" i="25" s="1"/>
  <c r="X34" i="25"/>
  <c r="W34" i="25"/>
  <c r="V34" i="25"/>
  <c r="U34" i="25"/>
  <c r="S34" i="25"/>
  <c r="X33" i="25"/>
  <c r="W33" i="25"/>
  <c r="V33" i="25"/>
  <c r="U33" i="25"/>
  <c r="S33" i="25"/>
  <c r="K33" i="25"/>
  <c r="P33" i="25" s="1"/>
  <c r="X32" i="25"/>
  <c r="W32" i="25"/>
  <c r="V32" i="25"/>
  <c r="U32" i="25"/>
  <c r="S32" i="25"/>
  <c r="K32" i="25"/>
  <c r="P32" i="25" s="1"/>
  <c r="X31" i="25"/>
  <c r="W31" i="25"/>
  <c r="V31" i="25"/>
  <c r="U31" i="25"/>
  <c r="S31" i="25"/>
  <c r="K31" i="25"/>
  <c r="P31" i="25" s="1"/>
  <c r="X30" i="25"/>
  <c r="W30" i="25"/>
  <c r="V30" i="25"/>
  <c r="U30" i="25"/>
  <c r="I30" i="25"/>
  <c r="K30" i="25" s="1"/>
  <c r="P30" i="25" s="1"/>
  <c r="X29" i="25"/>
  <c r="W29" i="25"/>
  <c r="V29" i="25"/>
  <c r="U29" i="25"/>
  <c r="S29" i="25"/>
  <c r="K29" i="25"/>
  <c r="P29" i="25" s="1"/>
  <c r="X28" i="25"/>
  <c r="W28" i="25"/>
  <c r="V28" i="25"/>
  <c r="U28" i="25"/>
  <c r="I28" i="25"/>
  <c r="K28" i="25" s="1"/>
  <c r="P28" i="25" s="1"/>
  <c r="X27" i="25"/>
  <c r="W27" i="25"/>
  <c r="V27" i="25"/>
  <c r="U27" i="25"/>
  <c r="S27" i="25"/>
  <c r="K27" i="25"/>
  <c r="P27" i="25" s="1"/>
  <c r="X26" i="25"/>
  <c r="W26" i="25"/>
  <c r="V26" i="25"/>
  <c r="U26" i="25"/>
  <c r="K26" i="25"/>
  <c r="P26" i="25" s="1"/>
  <c r="X25" i="25"/>
  <c r="W25" i="25"/>
  <c r="V25" i="25"/>
  <c r="U25" i="25"/>
  <c r="S25" i="25"/>
  <c r="K25" i="25"/>
  <c r="P25" i="25" s="1"/>
  <c r="X24" i="25"/>
  <c r="W24" i="25"/>
  <c r="Y24" i="25" s="1"/>
  <c r="V24" i="25"/>
  <c r="U24" i="25"/>
  <c r="S24" i="25"/>
  <c r="I24" i="25"/>
  <c r="K24" i="25" s="1"/>
  <c r="P24" i="25" s="1"/>
  <c r="X23" i="25"/>
  <c r="W23" i="25"/>
  <c r="V23" i="25"/>
  <c r="U23" i="25"/>
  <c r="S23" i="25"/>
  <c r="K23" i="25"/>
  <c r="P23" i="25" s="1"/>
  <c r="X22" i="25"/>
  <c r="W22" i="25"/>
  <c r="V22" i="25"/>
  <c r="U22" i="25"/>
  <c r="S22" i="25"/>
  <c r="K22" i="25"/>
  <c r="P22" i="25" s="1"/>
  <c r="X21" i="25"/>
  <c r="W21" i="25"/>
  <c r="V21" i="25"/>
  <c r="U21" i="25"/>
  <c r="S21" i="25"/>
  <c r="K21" i="25"/>
  <c r="P21" i="25" s="1"/>
  <c r="X20" i="25"/>
  <c r="W20" i="25"/>
  <c r="V20" i="25"/>
  <c r="U20" i="25"/>
  <c r="S20" i="25"/>
  <c r="K20" i="25"/>
  <c r="P20" i="25" s="1"/>
  <c r="I20" i="25"/>
  <c r="X19" i="25"/>
  <c r="V19" i="25"/>
  <c r="U19" i="25"/>
  <c r="S19" i="25"/>
  <c r="W19" i="25"/>
  <c r="X18" i="25"/>
  <c r="W18" i="25"/>
  <c r="V18" i="25"/>
  <c r="U18" i="25"/>
  <c r="S18" i="25"/>
  <c r="Y18" i="25" s="1"/>
  <c r="K18" i="25"/>
  <c r="P18" i="25" s="1"/>
  <c r="X17" i="25"/>
  <c r="W17" i="25"/>
  <c r="V17" i="25"/>
  <c r="U17" i="25"/>
  <c r="S17" i="25"/>
  <c r="K17" i="25"/>
  <c r="P17" i="25" s="1"/>
  <c r="X16" i="25"/>
  <c r="W16" i="25"/>
  <c r="V16" i="25"/>
  <c r="U16" i="25"/>
  <c r="S16" i="25"/>
  <c r="K16" i="25"/>
  <c r="P16" i="25" s="1"/>
  <c r="X15" i="25"/>
  <c r="W15" i="25"/>
  <c r="V15" i="25"/>
  <c r="U15" i="25"/>
  <c r="S15" i="25"/>
  <c r="K15" i="25"/>
  <c r="P15" i="25" s="1"/>
  <c r="X14" i="25"/>
  <c r="W14" i="25"/>
  <c r="V14" i="25"/>
  <c r="U14" i="25"/>
  <c r="S14" i="25"/>
  <c r="Y14" i="25" s="1"/>
  <c r="K14" i="25"/>
  <c r="P14" i="25" s="1"/>
  <c r="X13" i="25"/>
  <c r="W13" i="25"/>
  <c r="V13" i="25"/>
  <c r="U13" i="25"/>
  <c r="S13" i="25"/>
  <c r="K13" i="25"/>
  <c r="P13" i="25" s="1"/>
  <c r="X12" i="25"/>
  <c r="V12" i="25"/>
  <c r="U12" i="25"/>
  <c r="S12" i="25"/>
  <c r="K12" i="25"/>
  <c r="P12" i="25" s="1"/>
  <c r="I12" i="25"/>
  <c r="W12" i="25" s="1"/>
  <c r="X11" i="25"/>
  <c r="W11" i="25"/>
  <c r="V11" i="25"/>
  <c r="U11" i="25"/>
  <c r="S11" i="25"/>
  <c r="P11" i="25"/>
  <c r="K11" i="25"/>
  <c r="X10" i="25"/>
  <c r="W10" i="25"/>
  <c r="V10" i="25"/>
  <c r="U10" i="25"/>
  <c r="S10" i="25"/>
  <c r="Y10" i="25" s="1"/>
  <c r="P10" i="25"/>
  <c r="K10" i="25"/>
  <c r="I10" i="25"/>
  <c r="X9" i="25"/>
  <c r="W9" i="25"/>
  <c r="V9" i="25"/>
  <c r="U9" i="25"/>
  <c r="S9" i="25"/>
  <c r="K9" i="25"/>
  <c r="P9" i="25" s="1"/>
  <c r="X8" i="25"/>
  <c r="W8" i="25"/>
  <c r="V8" i="25"/>
  <c r="U8" i="25"/>
  <c r="S8" i="25"/>
  <c r="K8" i="25"/>
  <c r="P8" i="25" s="1"/>
  <c r="I8" i="25"/>
  <c r="I116" i="25" s="1"/>
  <c r="I65" i="20"/>
  <c r="I73" i="20"/>
  <c r="Y22" i="25" l="1"/>
  <c r="Y27" i="25"/>
  <c r="Y30" i="25"/>
  <c r="Y45" i="25"/>
  <c r="Y51" i="25"/>
  <c r="Y65" i="25"/>
  <c r="Y74" i="25"/>
  <c r="Y8" i="25"/>
  <c r="Y44" i="25"/>
  <c r="Y80" i="25"/>
  <c r="Y86" i="25"/>
  <c r="Y13" i="25"/>
  <c r="Y17" i="25"/>
  <c r="Y21" i="25"/>
  <c r="Y26" i="25"/>
  <c r="Y33" i="25"/>
  <c r="Y43" i="25"/>
  <c r="Y59" i="25"/>
  <c r="Y73" i="25"/>
  <c r="Y77" i="25"/>
  <c r="Y107" i="25"/>
  <c r="V116" i="25"/>
  <c r="Y29" i="25"/>
  <c r="Y39" i="25"/>
  <c r="Y42" i="25"/>
  <c r="Y58" i="25"/>
  <c r="Y89" i="25"/>
  <c r="Y93" i="25"/>
  <c r="Y16" i="25"/>
  <c r="Y20" i="25"/>
  <c r="Y32" i="25"/>
  <c r="Y49" i="25"/>
  <c r="Y70" i="25"/>
  <c r="Y76" i="25"/>
  <c r="Y106" i="25"/>
  <c r="X116" i="25"/>
  <c r="Y19" i="25"/>
  <c r="Y28" i="25"/>
  <c r="Y35" i="25"/>
  <c r="Y38" i="25"/>
  <c r="Y63" i="25"/>
  <c r="Y85" i="25"/>
  <c r="Y88" i="25"/>
  <c r="Y92" i="25"/>
  <c r="Y11" i="25"/>
  <c r="Y15" i="25"/>
  <c r="Y23" i="25"/>
  <c r="Y31" i="25"/>
  <c r="Y47" i="25"/>
  <c r="Y53" i="25"/>
  <c r="Y62" i="25"/>
  <c r="Y109" i="25"/>
  <c r="Y111" i="25"/>
  <c r="Y50" i="25"/>
  <c r="Y61" i="25"/>
  <c r="Y75" i="25"/>
  <c r="Y97" i="25"/>
  <c r="K97" i="25"/>
  <c r="P97" i="25" s="1"/>
  <c r="Y40" i="25"/>
  <c r="Y34" i="25"/>
  <c r="Y90" i="25"/>
  <c r="Y25" i="25"/>
  <c r="Y9" i="25"/>
  <c r="K110" i="25"/>
  <c r="P110" i="25" s="1"/>
  <c r="Y83" i="25"/>
  <c r="Y79" i="25"/>
  <c r="Y67" i="25"/>
  <c r="Y64" i="25"/>
  <c r="Y57" i="25"/>
  <c r="Y55" i="25"/>
  <c r="U54" i="25"/>
  <c r="Y54" i="25" s="1"/>
  <c r="G116" i="25"/>
  <c r="Y48" i="25"/>
  <c r="Y12" i="25"/>
  <c r="Y110" i="25"/>
  <c r="W81" i="25"/>
  <c r="Y81" i="25" s="1"/>
  <c r="W96" i="25"/>
  <c r="Y96" i="25" s="1"/>
  <c r="K19" i="25"/>
  <c r="P19" i="25" s="1"/>
  <c r="W36" i="25"/>
  <c r="K65" i="25"/>
  <c r="P65" i="25" s="1"/>
  <c r="W82" i="25"/>
  <c r="Y82" i="25" s="1"/>
  <c r="W110" i="25"/>
  <c r="S116" i="25"/>
  <c r="K79" i="25"/>
  <c r="P79" i="25" s="1"/>
  <c r="T116" i="20"/>
  <c r="I96" i="20"/>
  <c r="I54" i="20"/>
  <c r="I12" i="20"/>
  <c r="G116" i="20"/>
  <c r="H116" i="20"/>
  <c r="I116" i="20"/>
  <c r="J116" i="20"/>
  <c r="F116" i="20"/>
  <c r="O116" i="20"/>
  <c r="N116" i="20"/>
  <c r="I110" i="20"/>
  <c r="I105" i="20"/>
  <c r="K105" i="20" s="1"/>
  <c r="I82" i="20"/>
  <c r="I81" i="20"/>
  <c r="I79" i="20"/>
  <c r="K79" i="20" s="1"/>
  <c r="I67" i="20"/>
  <c r="I64" i="20"/>
  <c r="K64" i="20" s="1"/>
  <c r="I57" i="20"/>
  <c r="K57" i="20" s="1"/>
  <c r="I55" i="20"/>
  <c r="I49" i="20"/>
  <c r="I42" i="20"/>
  <c r="I36" i="20"/>
  <c r="K36" i="20" s="1"/>
  <c r="I30" i="20"/>
  <c r="I28" i="20"/>
  <c r="I26" i="20"/>
  <c r="W26" i="20" s="1"/>
  <c r="V116" i="21"/>
  <c r="R116" i="21"/>
  <c r="Q116" i="21"/>
  <c r="N116" i="21"/>
  <c r="J116" i="21"/>
  <c r="H116" i="21"/>
  <c r="G116" i="21"/>
  <c r="F116" i="21"/>
  <c r="Y115" i="21"/>
  <c r="W115" i="21"/>
  <c r="U115" i="21"/>
  <c r="S115" i="21"/>
  <c r="O115" i="21"/>
  <c r="K115" i="21"/>
  <c r="Y114" i="21"/>
  <c r="W114" i="21"/>
  <c r="U114" i="21"/>
  <c r="S114" i="21"/>
  <c r="O114" i="21"/>
  <c r="K114" i="21"/>
  <c r="Y113" i="21"/>
  <c r="W113" i="21"/>
  <c r="U113" i="21"/>
  <c r="S113" i="21"/>
  <c r="O113" i="21"/>
  <c r="K113" i="21"/>
  <c r="Y112" i="21"/>
  <c r="W112" i="21"/>
  <c r="U112" i="21"/>
  <c r="S112" i="21"/>
  <c r="O112" i="21"/>
  <c r="K112" i="21"/>
  <c r="AA111" i="21"/>
  <c r="Z111" i="21"/>
  <c r="Y111" i="21"/>
  <c r="X111" i="21"/>
  <c r="W111" i="21"/>
  <c r="U111" i="21"/>
  <c r="S111" i="21"/>
  <c r="K111" i="21"/>
  <c r="O111" i="21" s="1"/>
  <c r="AA110" i="21"/>
  <c r="Z110" i="21"/>
  <c r="Y110" i="21"/>
  <c r="X110" i="21"/>
  <c r="W110" i="21"/>
  <c r="S110" i="21"/>
  <c r="K110" i="21"/>
  <c r="O110" i="21" s="1"/>
  <c r="AA109" i="21"/>
  <c r="Z109" i="21"/>
  <c r="Y109" i="21"/>
  <c r="X109" i="21"/>
  <c r="W109" i="21"/>
  <c r="U109" i="21"/>
  <c r="S109" i="21"/>
  <c r="K109" i="21"/>
  <c r="O109" i="21" s="1"/>
  <c r="Z108" i="21"/>
  <c r="Y108" i="21"/>
  <c r="AA108" i="21" s="1"/>
  <c r="X108" i="21"/>
  <c r="W108" i="21"/>
  <c r="U108" i="21"/>
  <c r="S108" i="21"/>
  <c r="O108" i="21"/>
  <c r="K108" i="21"/>
  <c r="Z107" i="21"/>
  <c r="Y107" i="21"/>
  <c r="X107" i="21"/>
  <c r="W107" i="21"/>
  <c r="U107" i="21"/>
  <c r="AA107" i="21" s="1"/>
  <c r="S107" i="21"/>
  <c r="O107" i="21"/>
  <c r="K107" i="21"/>
  <c r="Z106" i="21"/>
  <c r="Y106" i="21"/>
  <c r="X106" i="21"/>
  <c r="W106" i="21"/>
  <c r="U106" i="21"/>
  <c r="AA106" i="21" s="1"/>
  <c r="S106" i="21"/>
  <c r="K106" i="21"/>
  <c r="O106" i="21" s="1"/>
  <c r="AA105" i="21"/>
  <c r="AA116" i="21" s="1"/>
  <c r="Z105" i="21"/>
  <c r="Z116" i="21" s="1"/>
  <c r="Y105" i="21"/>
  <c r="Y116" i="21" s="1"/>
  <c r="X105" i="21"/>
  <c r="X116" i="21" s="1"/>
  <c r="W105" i="21"/>
  <c r="W116" i="21" s="1"/>
  <c r="U105" i="21"/>
  <c r="S105" i="21"/>
  <c r="K105" i="21"/>
  <c r="O105" i="21" s="1"/>
  <c r="Z104" i="21"/>
  <c r="Y104" i="21"/>
  <c r="X104" i="21"/>
  <c r="W104" i="21"/>
  <c r="U104" i="21"/>
  <c r="AA104" i="21" s="1"/>
  <c r="S104" i="21"/>
  <c r="O104" i="21"/>
  <c r="K104" i="21"/>
  <c r="Z103" i="21"/>
  <c r="Y103" i="21"/>
  <c r="X103" i="21"/>
  <c r="W103" i="21"/>
  <c r="U103" i="21"/>
  <c r="AA103" i="21" s="1"/>
  <c r="S103" i="21"/>
  <c r="O103" i="21"/>
  <c r="K103" i="21"/>
  <c r="Z102" i="21"/>
  <c r="Y102" i="21"/>
  <c r="X102" i="21"/>
  <c r="W102" i="21"/>
  <c r="U102" i="21"/>
  <c r="AA102" i="21" s="1"/>
  <c r="S102" i="21"/>
  <c r="K102" i="21"/>
  <c r="O102" i="21" s="1"/>
  <c r="AA101" i="21"/>
  <c r="Z101" i="21"/>
  <c r="Y101" i="21"/>
  <c r="X101" i="21"/>
  <c r="W101" i="21"/>
  <c r="U101" i="21"/>
  <c r="S101" i="21"/>
  <c r="K101" i="21"/>
  <c r="O101" i="21" s="1"/>
  <c r="Z100" i="21"/>
  <c r="Y100" i="21"/>
  <c r="X100" i="21"/>
  <c r="W100" i="21"/>
  <c r="AA100" i="21" s="1"/>
  <c r="U100" i="21"/>
  <c r="S100" i="21"/>
  <c r="O100" i="21"/>
  <c r="K100" i="21"/>
  <c r="Z99" i="21"/>
  <c r="Y99" i="21"/>
  <c r="X99" i="21"/>
  <c r="W99" i="21"/>
  <c r="U99" i="21"/>
  <c r="AA99" i="21" s="1"/>
  <c r="S99" i="21"/>
  <c r="O99" i="21"/>
  <c r="K99" i="21"/>
  <c r="Z98" i="21"/>
  <c r="Y98" i="21"/>
  <c r="X98" i="21"/>
  <c r="W98" i="21"/>
  <c r="U98" i="21"/>
  <c r="AA98" i="21" s="1"/>
  <c r="S98" i="21"/>
  <c r="K98" i="21"/>
  <c r="O98" i="21" s="1"/>
  <c r="Z97" i="21"/>
  <c r="Y97" i="21"/>
  <c r="X97" i="21"/>
  <c r="W97" i="21"/>
  <c r="AA97" i="21" s="1"/>
  <c r="U97" i="21"/>
  <c r="S97" i="21"/>
  <c r="K97" i="21"/>
  <c r="O97" i="21" s="1"/>
  <c r="Z96" i="21"/>
  <c r="Y96" i="21"/>
  <c r="X96" i="21"/>
  <c r="W96" i="21"/>
  <c r="AA96" i="21" s="1"/>
  <c r="U96" i="21"/>
  <c r="S96" i="21"/>
  <c r="O96" i="21"/>
  <c r="K96" i="21"/>
  <c r="Z95" i="21"/>
  <c r="Y95" i="21"/>
  <c r="X95" i="21"/>
  <c r="W95" i="21"/>
  <c r="U95" i="21"/>
  <c r="AA95" i="21" s="1"/>
  <c r="S95" i="21"/>
  <c r="O95" i="21"/>
  <c r="K95" i="21"/>
  <c r="Z94" i="21"/>
  <c r="Y94" i="21"/>
  <c r="X94" i="21"/>
  <c r="W94" i="21"/>
  <c r="U94" i="21"/>
  <c r="AA94" i="21" s="1"/>
  <c r="S94" i="21"/>
  <c r="K94" i="21"/>
  <c r="O94" i="21" s="1"/>
  <c r="AA93" i="21"/>
  <c r="Z93" i="21"/>
  <c r="Y93" i="21"/>
  <c r="X93" i="21"/>
  <c r="W93" i="21"/>
  <c r="U93" i="21"/>
  <c r="S93" i="21"/>
  <c r="K93" i="21"/>
  <c r="O93" i="21" s="1"/>
  <c r="Z92" i="21"/>
  <c r="Y92" i="21"/>
  <c r="X92" i="21"/>
  <c r="W92" i="21"/>
  <c r="AA92" i="21" s="1"/>
  <c r="U92" i="21"/>
  <c r="S92" i="21"/>
  <c r="O92" i="21"/>
  <c r="K92" i="21"/>
  <c r="Z91" i="21"/>
  <c r="Y91" i="21"/>
  <c r="X91" i="21"/>
  <c r="W91" i="21"/>
  <c r="U91" i="21"/>
  <c r="AA91" i="21" s="1"/>
  <c r="S91" i="21"/>
  <c r="O91" i="21"/>
  <c r="K91" i="21"/>
  <c r="Z90" i="21"/>
  <c r="Y90" i="21"/>
  <c r="X90" i="21"/>
  <c r="W90" i="21"/>
  <c r="U90" i="21"/>
  <c r="AA90" i="21" s="1"/>
  <c r="S90" i="21"/>
  <c r="K90" i="21"/>
  <c r="O90" i="21" s="1"/>
  <c r="Z89" i="21"/>
  <c r="Y89" i="21"/>
  <c r="X89" i="21"/>
  <c r="W89" i="21"/>
  <c r="AA89" i="21" s="1"/>
  <c r="U89" i="21"/>
  <c r="S89" i="21"/>
  <c r="K89" i="21"/>
  <c r="O89" i="21" s="1"/>
  <c r="Z88" i="21"/>
  <c r="Y88" i="21"/>
  <c r="X88" i="21"/>
  <c r="W88" i="21"/>
  <c r="AA88" i="21" s="1"/>
  <c r="U88" i="21"/>
  <c r="S88" i="21"/>
  <c r="O88" i="21"/>
  <c r="K88" i="21"/>
  <c r="Z87" i="21"/>
  <c r="Y87" i="21"/>
  <c r="X87" i="21"/>
  <c r="W87" i="21"/>
  <c r="U87" i="21"/>
  <c r="AA87" i="21" s="1"/>
  <c r="S87" i="21"/>
  <c r="O87" i="21"/>
  <c r="K87" i="21"/>
  <c r="Z86" i="21"/>
  <c r="Y86" i="21"/>
  <c r="X86" i="21"/>
  <c r="W86" i="21"/>
  <c r="U86" i="21"/>
  <c r="AA86" i="21" s="1"/>
  <c r="S86" i="21"/>
  <c r="K86" i="21"/>
  <c r="O86" i="21" s="1"/>
  <c r="AA85" i="21"/>
  <c r="Z85" i="21"/>
  <c r="Y85" i="21"/>
  <c r="X85" i="21"/>
  <c r="W85" i="21"/>
  <c r="S85" i="21"/>
  <c r="K85" i="21"/>
  <c r="O85" i="21" s="1"/>
  <c r="AA84" i="21"/>
  <c r="Z84" i="21"/>
  <c r="Y84" i="21"/>
  <c r="X84" i="21"/>
  <c r="W84" i="21"/>
  <c r="U84" i="21"/>
  <c r="S84" i="21"/>
  <c r="K84" i="21"/>
  <c r="O84" i="21" s="1"/>
  <c r="Z83" i="21"/>
  <c r="Y83" i="21"/>
  <c r="X83" i="21"/>
  <c r="W83" i="21"/>
  <c r="AA83" i="21" s="1"/>
  <c r="S83" i="21"/>
  <c r="K83" i="21"/>
  <c r="O83" i="21" s="1"/>
  <c r="Z82" i="21"/>
  <c r="Y82" i="21"/>
  <c r="X82" i="21"/>
  <c r="W82" i="21"/>
  <c r="AA82" i="21" s="1"/>
  <c r="U82" i="21"/>
  <c r="S82" i="21"/>
  <c r="O82" i="21"/>
  <c r="K82" i="21"/>
  <c r="Z81" i="21"/>
  <c r="Y81" i="21"/>
  <c r="X81" i="21"/>
  <c r="W81" i="21"/>
  <c r="U81" i="21"/>
  <c r="AA81" i="21" s="1"/>
  <c r="S81" i="21"/>
  <c r="O81" i="21"/>
  <c r="K81" i="21"/>
  <c r="Z80" i="21"/>
  <c r="Y80" i="21"/>
  <c r="X80" i="21"/>
  <c r="W80" i="21"/>
  <c r="U80" i="21"/>
  <c r="AA80" i="21" s="1"/>
  <c r="S80" i="21"/>
  <c r="K80" i="21"/>
  <c r="O80" i="21" s="1"/>
  <c r="Z79" i="21"/>
  <c r="Y79" i="21"/>
  <c r="X79" i="21"/>
  <c r="W79" i="21"/>
  <c r="AA79" i="21" s="1"/>
  <c r="S79" i="21"/>
  <c r="K79" i="21"/>
  <c r="O79" i="21" s="1"/>
  <c r="Z78" i="21"/>
  <c r="Y78" i="21"/>
  <c r="X78" i="21"/>
  <c r="W78" i="21"/>
  <c r="AA78" i="21" s="1"/>
  <c r="U78" i="21"/>
  <c r="S78" i="21"/>
  <c r="K78" i="21"/>
  <c r="O78" i="21" s="1"/>
  <c r="Z77" i="21"/>
  <c r="Y77" i="21"/>
  <c r="X77" i="21"/>
  <c r="W77" i="21"/>
  <c r="AA77" i="21" s="1"/>
  <c r="U77" i="21"/>
  <c r="S77" i="21"/>
  <c r="O77" i="21"/>
  <c r="K77" i="21"/>
  <c r="Z76" i="21"/>
  <c r="Y76" i="21"/>
  <c r="X76" i="21"/>
  <c r="W76" i="21"/>
  <c r="U76" i="21"/>
  <c r="AA76" i="21" s="1"/>
  <c r="S76" i="21"/>
  <c r="O76" i="21"/>
  <c r="K76" i="21"/>
  <c r="Z75" i="21"/>
  <c r="Y75" i="21"/>
  <c r="X75" i="21"/>
  <c r="W75" i="21"/>
  <c r="U75" i="21"/>
  <c r="AA75" i="21" s="1"/>
  <c r="S75" i="21"/>
  <c r="K75" i="21"/>
  <c r="O75" i="21" s="1"/>
  <c r="AA74" i="21"/>
  <c r="Z74" i="21"/>
  <c r="Y74" i="21"/>
  <c r="X74" i="21"/>
  <c r="W74" i="21"/>
  <c r="U74" i="21"/>
  <c r="S74" i="21"/>
  <c r="K74" i="21"/>
  <c r="O74" i="21" s="1"/>
  <c r="Z73" i="21"/>
  <c r="Y73" i="21"/>
  <c r="X73" i="21"/>
  <c r="W73" i="21"/>
  <c r="AA73" i="21" s="1"/>
  <c r="U73" i="21"/>
  <c r="S73" i="21"/>
  <c r="O73" i="21"/>
  <c r="K73" i="21"/>
  <c r="Z72" i="21"/>
  <c r="Y72" i="21"/>
  <c r="X72" i="21"/>
  <c r="W72" i="21"/>
  <c r="U72" i="21"/>
  <c r="AA72" i="21" s="1"/>
  <c r="S72" i="21"/>
  <c r="O72" i="21"/>
  <c r="K72" i="21"/>
  <c r="Z71" i="21"/>
  <c r="Y71" i="21"/>
  <c r="X71" i="21"/>
  <c r="W71" i="21"/>
  <c r="U71" i="21"/>
  <c r="AA71" i="21" s="1"/>
  <c r="S71" i="21"/>
  <c r="K71" i="21"/>
  <c r="O71" i="21" s="1"/>
  <c r="Z70" i="21"/>
  <c r="Y70" i="21"/>
  <c r="X70" i="21"/>
  <c r="W70" i="21"/>
  <c r="AA70" i="21" s="1"/>
  <c r="U70" i="21"/>
  <c r="S70" i="21"/>
  <c r="K70" i="21"/>
  <c r="O70" i="21" s="1"/>
  <c r="Z69" i="21"/>
  <c r="Y69" i="21"/>
  <c r="X69" i="21"/>
  <c r="W69" i="21"/>
  <c r="AA69" i="21" s="1"/>
  <c r="U69" i="21"/>
  <c r="S69" i="21"/>
  <c r="O69" i="21"/>
  <c r="K69" i="21"/>
  <c r="Z68" i="21"/>
  <c r="Y68" i="21"/>
  <c r="X68" i="21"/>
  <c r="W68" i="21"/>
  <c r="U68" i="21"/>
  <c r="AA68" i="21" s="1"/>
  <c r="S68" i="21"/>
  <c r="O68" i="21"/>
  <c r="K68" i="21"/>
  <c r="Z67" i="21"/>
  <c r="Y67" i="21"/>
  <c r="X67" i="21"/>
  <c r="W67" i="21"/>
  <c r="AA67" i="21" s="1"/>
  <c r="S67" i="21"/>
  <c r="O67" i="21"/>
  <c r="K67" i="21"/>
  <c r="Z66" i="21"/>
  <c r="Y66" i="21"/>
  <c r="X66" i="21"/>
  <c r="W66" i="21"/>
  <c r="U66" i="21"/>
  <c r="AA66" i="21" s="1"/>
  <c r="S66" i="21"/>
  <c r="K66" i="21"/>
  <c r="O66" i="21" s="1"/>
  <c r="AA65" i="21"/>
  <c r="Z65" i="21"/>
  <c r="Y65" i="21"/>
  <c r="X65" i="21"/>
  <c r="W65" i="21"/>
  <c r="U65" i="21"/>
  <c r="S65" i="21"/>
  <c r="K65" i="21"/>
  <c r="O65" i="21" s="1"/>
  <c r="Z64" i="21"/>
  <c r="Y64" i="21"/>
  <c r="X64" i="21"/>
  <c r="W64" i="21"/>
  <c r="AA64" i="21" s="1"/>
  <c r="U64" i="21"/>
  <c r="S64" i="21"/>
  <c r="O64" i="21"/>
  <c r="K64" i="21"/>
  <c r="Z63" i="21"/>
  <c r="Y63" i="21"/>
  <c r="X63" i="21"/>
  <c r="W63" i="21"/>
  <c r="U63" i="21"/>
  <c r="AA63" i="21" s="1"/>
  <c r="S63" i="21"/>
  <c r="O63" i="21"/>
  <c r="K63" i="21"/>
  <c r="Z62" i="21"/>
  <c r="Y62" i="21"/>
  <c r="X62" i="21"/>
  <c r="W62" i="21"/>
  <c r="U62" i="21"/>
  <c r="AA62" i="21" s="1"/>
  <c r="S62" i="21"/>
  <c r="K62" i="21"/>
  <c r="O62" i="21" s="1"/>
  <c r="Z61" i="21"/>
  <c r="Y61" i="21"/>
  <c r="X61" i="21"/>
  <c r="W61" i="21"/>
  <c r="AA61" i="21" s="1"/>
  <c r="U61" i="21"/>
  <c r="S61" i="21"/>
  <c r="K61" i="21"/>
  <c r="O61" i="21" s="1"/>
  <c r="Z60" i="21"/>
  <c r="Y60" i="21"/>
  <c r="X60" i="21"/>
  <c r="AA60" i="21" s="1"/>
  <c r="W60" i="21"/>
  <c r="U60" i="21"/>
  <c r="S60" i="21"/>
  <c r="O60" i="21"/>
  <c r="K60" i="21"/>
  <c r="Z59" i="21"/>
  <c r="Y59" i="21"/>
  <c r="X59" i="21"/>
  <c r="W59" i="21"/>
  <c r="U59" i="21"/>
  <c r="AA59" i="21" s="1"/>
  <c r="S59" i="21"/>
  <c r="O59" i="21"/>
  <c r="K59" i="21"/>
  <c r="Z58" i="21"/>
  <c r="Y58" i="21"/>
  <c r="X58" i="21"/>
  <c r="W58" i="21"/>
  <c r="U58" i="21"/>
  <c r="AA58" i="21" s="1"/>
  <c r="S58" i="21"/>
  <c r="K58" i="21"/>
  <c r="O58" i="21" s="1"/>
  <c r="AA57" i="21"/>
  <c r="Z57" i="21"/>
  <c r="Y57" i="21"/>
  <c r="X57" i="21"/>
  <c r="W57" i="21"/>
  <c r="S57" i="21"/>
  <c r="K57" i="21"/>
  <c r="O57" i="21" s="1"/>
  <c r="AA56" i="21"/>
  <c r="Z56" i="21"/>
  <c r="Y56" i="21"/>
  <c r="X56" i="21"/>
  <c r="W56" i="21"/>
  <c r="U56" i="21"/>
  <c r="S56" i="21"/>
  <c r="K56" i="21"/>
  <c r="O56" i="21" s="1"/>
  <c r="Z55" i="21"/>
  <c r="Y55" i="21"/>
  <c r="X55" i="21"/>
  <c r="W55" i="21"/>
  <c r="AA55" i="21" s="1"/>
  <c r="U55" i="21"/>
  <c r="S55" i="21"/>
  <c r="O55" i="21"/>
  <c r="K55" i="21"/>
  <c r="Z54" i="21"/>
  <c r="Y54" i="21"/>
  <c r="X54" i="21"/>
  <c r="W54" i="21"/>
  <c r="U54" i="21"/>
  <c r="AA54" i="21" s="1"/>
  <c r="S54" i="21"/>
  <c r="O54" i="21"/>
  <c r="K54" i="21"/>
  <c r="Z53" i="21"/>
  <c r="Y53" i="21"/>
  <c r="X53" i="21"/>
  <c r="W53" i="21"/>
  <c r="U53" i="21"/>
  <c r="AA53" i="21" s="1"/>
  <c r="S53" i="21"/>
  <c r="K53" i="21"/>
  <c r="O53" i="21" s="1"/>
  <c r="Z52" i="21"/>
  <c r="Y52" i="21"/>
  <c r="X52" i="21"/>
  <c r="W52" i="21"/>
  <c r="AA52" i="21" s="1"/>
  <c r="U52" i="21"/>
  <c r="S52" i="21"/>
  <c r="K52" i="21"/>
  <c r="O52" i="21" s="1"/>
  <c r="Z51" i="21"/>
  <c r="Y51" i="21"/>
  <c r="X51" i="21"/>
  <c r="AA51" i="21" s="1"/>
  <c r="W51" i="21"/>
  <c r="U51" i="21"/>
  <c r="S51" i="21"/>
  <c r="O51" i="21"/>
  <c r="K51" i="21"/>
  <c r="Z50" i="21"/>
  <c r="Y50" i="21"/>
  <c r="X50" i="21"/>
  <c r="W50" i="21"/>
  <c r="U50" i="21"/>
  <c r="AA50" i="21" s="1"/>
  <c r="S50" i="21"/>
  <c r="O50" i="21"/>
  <c r="K50" i="21"/>
  <c r="Z49" i="21"/>
  <c r="AA49" i="21" s="1"/>
  <c r="Y49" i="21"/>
  <c r="X49" i="21"/>
  <c r="W49" i="21"/>
  <c r="S49" i="21"/>
  <c r="O49" i="21"/>
  <c r="K49" i="21"/>
  <c r="Z48" i="21"/>
  <c r="Y48" i="21"/>
  <c r="X48" i="21"/>
  <c r="W48" i="21"/>
  <c r="U48" i="21"/>
  <c r="AA48" i="21" s="1"/>
  <c r="S48" i="21"/>
  <c r="K48" i="21"/>
  <c r="O48" i="21" s="1"/>
  <c r="AA47" i="21"/>
  <c r="Z47" i="21"/>
  <c r="Y47" i="21"/>
  <c r="X47" i="21"/>
  <c r="W47" i="21"/>
  <c r="U47" i="21"/>
  <c r="S47" i="21"/>
  <c r="K47" i="21"/>
  <c r="O47" i="21" s="1"/>
  <c r="Z46" i="21"/>
  <c r="Y46" i="21"/>
  <c r="X46" i="21"/>
  <c r="W46" i="21"/>
  <c r="AA46" i="21" s="1"/>
  <c r="U46" i="21"/>
  <c r="S46" i="21"/>
  <c r="O46" i="21"/>
  <c r="K46" i="21"/>
  <c r="Z45" i="21"/>
  <c r="Y45" i="21"/>
  <c r="X45" i="21"/>
  <c r="W45" i="21"/>
  <c r="U45" i="21"/>
  <c r="AA45" i="21" s="1"/>
  <c r="S45" i="21"/>
  <c r="O45" i="21"/>
  <c r="K45" i="21"/>
  <c r="Z44" i="21"/>
  <c r="Y44" i="21"/>
  <c r="X44" i="21"/>
  <c r="W44" i="21"/>
  <c r="U44" i="21"/>
  <c r="AA44" i="21" s="1"/>
  <c r="S44" i="21"/>
  <c r="K44" i="21"/>
  <c r="O44" i="21" s="1"/>
  <c r="Z43" i="21"/>
  <c r="Y43" i="21"/>
  <c r="X43" i="21"/>
  <c r="W43" i="21"/>
  <c r="AA43" i="21" s="1"/>
  <c r="U43" i="21"/>
  <c r="S43" i="21"/>
  <c r="K43" i="21"/>
  <c r="O43" i="21" s="1"/>
  <c r="Z42" i="21"/>
  <c r="Y42" i="21"/>
  <c r="X42" i="21"/>
  <c r="AA42" i="21" s="1"/>
  <c r="W42" i="21"/>
  <c r="U42" i="21"/>
  <c r="S42" i="21"/>
  <c r="O42" i="21"/>
  <c r="K42" i="21"/>
  <c r="Z41" i="21"/>
  <c r="Y41" i="21"/>
  <c r="X41" i="21"/>
  <c r="W41" i="21"/>
  <c r="U41" i="21"/>
  <c r="AA41" i="21" s="1"/>
  <c r="S41" i="21"/>
  <c r="O41" i="21"/>
  <c r="K41" i="21"/>
  <c r="Z40" i="21"/>
  <c r="Y40" i="21"/>
  <c r="X40" i="21"/>
  <c r="W40" i="21"/>
  <c r="U40" i="21"/>
  <c r="AA40" i="21" s="1"/>
  <c r="S40" i="21"/>
  <c r="K40" i="21"/>
  <c r="O40" i="21" s="1"/>
  <c r="AA39" i="21"/>
  <c r="Z39" i="21"/>
  <c r="Y39" i="21"/>
  <c r="X39" i="21"/>
  <c r="W39" i="21"/>
  <c r="U39" i="21"/>
  <c r="S39" i="21"/>
  <c r="K39" i="21"/>
  <c r="O39" i="21" s="1"/>
  <c r="Z38" i="21"/>
  <c r="Y38" i="21"/>
  <c r="X38" i="21"/>
  <c r="W38" i="21"/>
  <c r="AA38" i="21" s="1"/>
  <c r="U38" i="21"/>
  <c r="S38" i="21"/>
  <c r="O38" i="21"/>
  <c r="K38" i="21"/>
  <c r="Z37" i="21"/>
  <c r="Y37" i="21"/>
  <c r="X37" i="21"/>
  <c r="W37" i="21"/>
  <c r="U37" i="21"/>
  <c r="AA37" i="21" s="1"/>
  <c r="S37" i="21"/>
  <c r="O37" i="21"/>
  <c r="K37" i="21"/>
  <c r="Z36" i="21"/>
  <c r="Y36" i="21"/>
  <c r="X36" i="21"/>
  <c r="W36" i="21"/>
  <c r="U36" i="21"/>
  <c r="AA36" i="21" s="1"/>
  <c r="S36" i="21"/>
  <c r="K36" i="21"/>
  <c r="O36" i="21" s="1"/>
  <c r="Z35" i="21"/>
  <c r="Y35" i="21"/>
  <c r="X35" i="21"/>
  <c r="W35" i="21"/>
  <c r="AA35" i="21" s="1"/>
  <c r="U35" i="21"/>
  <c r="S35" i="21"/>
  <c r="K35" i="21"/>
  <c r="O35" i="21" s="1"/>
  <c r="Z34" i="21"/>
  <c r="Y34" i="21"/>
  <c r="X34" i="21"/>
  <c r="AA34" i="21" s="1"/>
  <c r="W34" i="21"/>
  <c r="U34" i="21"/>
  <c r="S34" i="21"/>
  <c r="O34" i="21"/>
  <c r="K34" i="21"/>
  <c r="Z33" i="21"/>
  <c r="Y33" i="21"/>
  <c r="X33" i="21"/>
  <c r="W33" i="21"/>
  <c r="U33" i="21"/>
  <c r="AA33" i="21" s="1"/>
  <c r="S33" i="21"/>
  <c r="O33" i="21"/>
  <c r="K33" i="21"/>
  <c r="Z32" i="21"/>
  <c r="Y32" i="21"/>
  <c r="X32" i="21"/>
  <c r="W32" i="21"/>
  <c r="U32" i="21"/>
  <c r="AA32" i="21" s="1"/>
  <c r="S32" i="21"/>
  <c r="K32" i="21"/>
  <c r="O32" i="21" s="1"/>
  <c r="AA31" i="21"/>
  <c r="Z31" i="21"/>
  <c r="Y31" i="21"/>
  <c r="X31" i="21"/>
  <c r="W31" i="21"/>
  <c r="U31" i="21"/>
  <c r="S31" i="21"/>
  <c r="K31" i="21"/>
  <c r="O31" i="21" s="1"/>
  <c r="Z30" i="21"/>
  <c r="Y30" i="21"/>
  <c r="X30" i="21"/>
  <c r="W30" i="21"/>
  <c r="AA30" i="21" s="1"/>
  <c r="S30" i="21"/>
  <c r="K30" i="21"/>
  <c r="O30" i="21" s="1"/>
  <c r="Z29" i="21"/>
  <c r="Y29" i="21"/>
  <c r="X29" i="21"/>
  <c r="W29" i="21"/>
  <c r="AA29" i="21" s="1"/>
  <c r="U29" i="21"/>
  <c r="S29" i="21"/>
  <c r="O29" i="21"/>
  <c r="K29" i="21"/>
  <c r="Z28" i="21"/>
  <c r="Y28" i="21"/>
  <c r="X28" i="21"/>
  <c r="W28" i="21"/>
  <c r="AA28" i="21" s="1"/>
  <c r="S28" i="21"/>
  <c r="O28" i="21"/>
  <c r="K28" i="21"/>
  <c r="Z27" i="21"/>
  <c r="Y27" i="21"/>
  <c r="X27" i="21"/>
  <c r="W27" i="21"/>
  <c r="U27" i="21"/>
  <c r="AA27" i="21" s="1"/>
  <c r="S27" i="21"/>
  <c r="O27" i="21"/>
  <c r="K27" i="21"/>
  <c r="Z26" i="21"/>
  <c r="Y26" i="21"/>
  <c r="X26" i="21"/>
  <c r="W26" i="21"/>
  <c r="AA26" i="21" s="1"/>
  <c r="S26" i="21"/>
  <c r="O26" i="21"/>
  <c r="K26" i="21"/>
  <c r="Z25" i="21"/>
  <c r="Y25" i="21"/>
  <c r="X25" i="21"/>
  <c r="W25" i="21"/>
  <c r="U25" i="21"/>
  <c r="AA25" i="21" s="1"/>
  <c r="S25" i="21"/>
  <c r="K25" i="21"/>
  <c r="O25" i="21" s="1"/>
  <c r="Z24" i="21"/>
  <c r="X24" i="21"/>
  <c r="W24" i="21"/>
  <c r="U24" i="21"/>
  <c r="S24" i="21"/>
  <c r="K24" i="21"/>
  <c r="O24" i="21" s="1"/>
  <c r="I24" i="21"/>
  <c r="Y24" i="21" s="1"/>
  <c r="Z23" i="21"/>
  <c r="Y23" i="21"/>
  <c r="X23" i="21"/>
  <c r="W23" i="21"/>
  <c r="U23" i="21"/>
  <c r="AA23" i="21" s="1"/>
  <c r="S23" i="21"/>
  <c r="O23" i="21"/>
  <c r="K23" i="21"/>
  <c r="Z22" i="21"/>
  <c r="Y22" i="21"/>
  <c r="X22" i="21"/>
  <c r="W22" i="21"/>
  <c r="U22" i="21"/>
  <c r="AA22" i="21" s="1"/>
  <c r="S22" i="21"/>
  <c r="K22" i="21"/>
  <c r="O22" i="21" s="1"/>
  <c r="AA21" i="21"/>
  <c r="Z21" i="21"/>
  <c r="Y21" i="21"/>
  <c r="X21" i="21"/>
  <c r="W21" i="21"/>
  <c r="U21" i="21"/>
  <c r="S21" i="21"/>
  <c r="K21" i="21"/>
  <c r="O21" i="21" s="1"/>
  <c r="Z20" i="21"/>
  <c r="Y20" i="21"/>
  <c r="X20" i="21"/>
  <c r="W20" i="21"/>
  <c r="AA20" i="21" s="1"/>
  <c r="U20" i="21"/>
  <c r="S20" i="21"/>
  <c r="O20" i="21"/>
  <c r="K20" i="21"/>
  <c r="I20" i="21"/>
  <c r="Z19" i="21"/>
  <c r="X19" i="21"/>
  <c r="W19" i="21"/>
  <c r="U19" i="21"/>
  <c r="S19" i="21"/>
  <c r="I19" i="21"/>
  <c r="K19" i="21" s="1"/>
  <c r="O19" i="21" s="1"/>
  <c r="Z18" i="21"/>
  <c r="Y18" i="21"/>
  <c r="X18" i="21"/>
  <c r="AA18" i="21" s="1"/>
  <c r="W18" i="21"/>
  <c r="U18" i="21"/>
  <c r="S18" i="21"/>
  <c r="O18" i="21"/>
  <c r="K18" i="21"/>
  <c r="Z17" i="21"/>
  <c r="Y17" i="21"/>
  <c r="X17" i="21"/>
  <c r="W17" i="21"/>
  <c r="U17" i="21"/>
  <c r="AA17" i="21" s="1"/>
  <c r="S17" i="21"/>
  <c r="O17" i="21"/>
  <c r="K17" i="21"/>
  <c r="Z16" i="21"/>
  <c r="Y16" i="21"/>
  <c r="X16" i="21"/>
  <c r="W16" i="21"/>
  <c r="U16" i="21"/>
  <c r="AA16" i="21" s="1"/>
  <c r="S16" i="21"/>
  <c r="K16" i="21"/>
  <c r="O16" i="21" s="1"/>
  <c r="AA15" i="21"/>
  <c r="Z15" i="21"/>
  <c r="Y15" i="21"/>
  <c r="X15" i="21"/>
  <c r="W15" i="21"/>
  <c r="U15" i="21"/>
  <c r="S15" i="21"/>
  <c r="K15" i="21"/>
  <c r="O15" i="21" s="1"/>
  <c r="Z14" i="21"/>
  <c r="Y14" i="21"/>
  <c r="X14" i="21"/>
  <c r="W14" i="21"/>
  <c r="AA14" i="21" s="1"/>
  <c r="U14" i="21"/>
  <c r="S14" i="21"/>
  <c r="O14" i="21"/>
  <c r="K14" i="21"/>
  <c r="Z13" i="21"/>
  <c r="Y13" i="21"/>
  <c r="X13" i="21"/>
  <c r="W13" i="21"/>
  <c r="U13" i="21"/>
  <c r="AA13" i="21" s="1"/>
  <c r="S13" i="21"/>
  <c r="O13" i="21"/>
  <c r="K13" i="21"/>
  <c r="Z12" i="21"/>
  <c r="Y12" i="21"/>
  <c r="X12" i="21"/>
  <c r="W12" i="21"/>
  <c r="U12" i="21"/>
  <c r="AA12" i="21" s="1"/>
  <c r="S12" i="21"/>
  <c r="K12" i="21"/>
  <c r="O12" i="21" s="1"/>
  <c r="Z11" i="21"/>
  <c r="Y11" i="21"/>
  <c r="X11" i="21"/>
  <c r="W11" i="21"/>
  <c r="AA11" i="21" s="1"/>
  <c r="U11" i="21"/>
  <c r="S11" i="21"/>
  <c r="K11" i="21"/>
  <c r="O11" i="21" s="1"/>
  <c r="Z10" i="21"/>
  <c r="Y10" i="21"/>
  <c r="X10" i="21"/>
  <c r="AA10" i="21" s="1"/>
  <c r="W10" i="21"/>
  <c r="U10" i="21"/>
  <c r="S10" i="21"/>
  <c r="O10" i="21"/>
  <c r="K10" i="21"/>
  <c r="I10" i="21"/>
  <c r="Z9" i="21"/>
  <c r="Y9" i="21"/>
  <c r="X9" i="21"/>
  <c r="W9" i="21"/>
  <c r="U9" i="21"/>
  <c r="AA9" i="21" s="1"/>
  <c r="S9" i="21"/>
  <c r="K9" i="21"/>
  <c r="O9" i="21" s="1"/>
  <c r="Z8" i="21"/>
  <c r="X8" i="21"/>
  <c r="W8" i="21"/>
  <c r="U8" i="21"/>
  <c r="U116" i="21" s="1"/>
  <c r="S8" i="21"/>
  <c r="K8" i="21"/>
  <c r="K116" i="21" s="1"/>
  <c r="I8" i="21"/>
  <c r="Y8" i="21" s="1"/>
  <c r="AA8" i="21" s="1"/>
  <c r="I24" i="20"/>
  <c r="I20" i="20"/>
  <c r="I19" i="20"/>
  <c r="K19" i="20" s="1"/>
  <c r="I10" i="20"/>
  <c r="K10" i="20" s="1"/>
  <c r="I8" i="20"/>
  <c r="K111" i="20"/>
  <c r="K112" i="20"/>
  <c r="K113" i="20"/>
  <c r="K114" i="20"/>
  <c r="K115" i="20"/>
  <c r="S115" i="20"/>
  <c r="S114" i="20"/>
  <c r="S113" i="20"/>
  <c r="S112" i="20"/>
  <c r="W112" i="20"/>
  <c r="W113" i="20"/>
  <c r="W114" i="20"/>
  <c r="W115" i="20"/>
  <c r="U114" i="20"/>
  <c r="U113" i="20"/>
  <c r="U115" i="20"/>
  <c r="U112" i="20"/>
  <c r="X95" i="20"/>
  <c r="W95" i="20"/>
  <c r="V95" i="20"/>
  <c r="U95" i="20"/>
  <c r="S95" i="20"/>
  <c r="K95" i="20"/>
  <c r="X111" i="20"/>
  <c r="W111" i="20"/>
  <c r="V111" i="20"/>
  <c r="U111" i="20"/>
  <c r="S111" i="20"/>
  <c r="X110" i="20"/>
  <c r="W110" i="20"/>
  <c r="V110" i="20"/>
  <c r="U110" i="20"/>
  <c r="K110" i="20"/>
  <c r="X109" i="20"/>
  <c r="W109" i="20"/>
  <c r="V109" i="20"/>
  <c r="U109" i="20"/>
  <c r="S109" i="20"/>
  <c r="K109" i="20"/>
  <c r="X108" i="20"/>
  <c r="W108" i="20"/>
  <c r="V108" i="20"/>
  <c r="U108" i="20"/>
  <c r="S108" i="20"/>
  <c r="K108" i="20"/>
  <c r="X107" i="20"/>
  <c r="W107" i="20"/>
  <c r="V107" i="20"/>
  <c r="U107" i="20"/>
  <c r="S107" i="20"/>
  <c r="K107" i="20"/>
  <c r="X106" i="20"/>
  <c r="W106" i="20"/>
  <c r="V106" i="20"/>
  <c r="U106" i="20"/>
  <c r="S106" i="20"/>
  <c r="K106" i="20"/>
  <c r="X105" i="20"/>
  <c r="W105" i="20"/>
  <c r="V105" i="20"/>
  <c r="U105" i="20"/>
  <c r="S105" i="20"/>
  <c r="X104" i="20"/>
  <c r="W104" i="20"/>
  <c r="V104" i="20"/>
  <c r="U104" i="20"/>
  <c r="S104" i="20"/>
  <c r="K104" i="20"/>
  <c r="X103" i="20"/>
  <c r="W103" i="20"/>
  <c r="V103" i="20"/>
  <c r="U103" i="20"/>
  <c r="S103" i="20"/>
  <c r="K103" i="20"/>
  <c r="X102" i="20"/>
  <c r="W102" i="20"/>
  <c r="V102" i="20"/>
  <c r="U102" i="20"/>
  <c r="S102" i="20"/>
  <c r="K102" i="20"/>
  <c r="X101" i="20"/>
  <c r="W101" i="20"/>
  <c r="V101" i="20"/>
  <c r="U101" i="20"/>
  <c r="S101" i="20"/>
  <c r="K101" i="20"/>
  <c r="X100" i="20"/>
  <c r="W100" i="20"/>
  <c r="V100" i="20"/>
  <c r="U100" i="20"/>
  <c r="S100" i="20"/>
  <c r="K100" i="20"/>
  <c r="X99" i="20"/>
  <c r="W99" i="20"/>
  <c r="V99" i="20"/>
  <c r="U99" i="20"/>
  <c r="S99" i="20"/>
  <c r="K99" i="20"/>
  <c r="X98" i="20"/>
  <c r="W98" i="20"/>
  <c r="V98" i="20"/>
  <c r="U98" i="20"/>
  <c r="S98" i="20"/>
  <c r="K98" i="20"/>
  <c r="X97" i="20"/>
  <c r="W97" i="20"/>
  <c r="V97" i="20"/>
  <c r="U97" i="20"/>
  <c r="S97" i="20"/>
  <c r="K97" i="20"/>
  <c r="X96" i="20"/>
  <c r="W96" i="20"/>
  <c r="V96" i="20"/>
  <c r="U96" i="20"/>
  <c r="S96" i="20"/>
  <c r="K96" i="20"/>
  <c r="X94" i="20"/>
  <c r="W94" i="20"/>
  <c r="V94" i="20"/>
  <c r="U94" i="20"/>
  <c r="S94" i="20"/>
  <c r="K94" i="20"/>
  <c r="X93" i="20"/>
  <c r="W93" i="20"/>
  <c r="V93" i="20"/>
  <c r="U93" i="20"/>
  <c r="S93" i="20"/>
  <c r="K93" i="20"/>
  <c r="X92" i="20"/>
  <c r="W92" i="20"/>
  <c r="V92" i="20"/>
  <c r="U92" i="20"/>
  <c r="S92" i="20"/>
  <c r="K92" i="20"/>
  <c r="X91" i="20"/>
  <c r="W91" i="20"/>
  <c r="V91" i="20"/>
  <c r="U91" i="20"/>
  <c r="S91" i="20"/>
  <c r="K91" i="20"/>
  <c r="X90" i="20"/>
  <c r="W90" i="20"/>
  <c r="V90" i="20"/>
  <c r="U90" i="20"/>
  <c r="S90" i="20"/>
  <c r="K90" i="20"/>
  <c r="X89" i="20"/>
  <c r="W89" i="20"/>
  <c r="V89" i="20"/>
  <c r="U89" i="20"/>
  <c r="S89" i="20"/>
  <c r="K89" i="20"/>
  <c r="X88" i="20"/>
  <c r="W88" i="20"/>
  <c r="V88" i="20"/>
  <c r="U88" i="20"/>
  <c r="S88" i="20"/>
  <c r="K88" i="20"/>
  <c r="X87" i="20"/>
  <c r="W87" i="20"/>
  <c r="V87" i="20"/>
  <c r="U87" i="20"/>
  <c r="S87" i="20"/>
  <c r="K87" i="20"/>
  <c r="X86" i="20"/>
  <c r="W86" i="20"/>
  <c r="V86" i="20"/>
  <c r="U86" i="20"/>
  <c r="S86" i="20"/>
  <c r="K86" i="20"/>
  <c r="X85" i="20"/>
  <c r="W85" i="20"/>
  <c r="V85" i="20"/>
  <c r="U85" i="20"/>
  <c r="K85" i="20"/>
  <c r="X84" i="20"/>
  <c r="W84" i="20"/>
  <c r="V84" i="20"/>
  <c r="U84" i="20"/>
  <c r="S84" i="20"/>
  <c r="K84" i="20"/>
  <c r="X83" i="20"/>
  <c r="W83" i="20"/>
  <c r="V83" i="20"/>
  <c r="U83" i="20"/>
  <c r="K83" i="20"/>
  <c r="X82" i="20"/>
  <c r="W82" i="20"/>
  <c r="V82" i="20"/>
  <c r="U82" i="20"/>
  <c r="S82" i="20"/>
  <c r="K82" i="20"/>
  <c r="X81" i="20"/>
  <c r="W81" i="20"/>
  <c r="V81" i="20"/>
  <c r="U81" i="20"/>
  <c r="S81" i="20"/>
  <c r="K81" i="20"/>
  <c r="X80" i="20"/>
  <c r="W80" i="20"/>
  <c r="V80" i="20"/>
  <c r="U80" i="20"/>
  <c r="S80" i="20"/>
  <c r="K80" i="20"/>
  <c r="X79" i="20"/>
  <c r="V79" i="20"/>
  <c r="U79" i="20"/>
  <c r="X78" i="20"/>
  <c r="W78" i="20"/>
  <c r="V78" i="20"/>
  <c r="U78" i="20"/>
  <c r="S78" i="20"/>
  <c r="K78" i="20"/>
  <c r="X77" i="20"/>
  <c r="W77" i="20"/>
  <c r="V77" i="20"/>
  <c r="U77" i="20"/>
  <c r="S77" i="20"/>
  <c r="K77" i="20"/>
  <c r="X76" i="20"/>
  <c r="W76" i="20"/>
  <c r="V76" i="20"/>
  <c r="U76" i="20"/>
  <c r="S76" i="20"/>
  <c r="K76" i="20"/>
  <c r="X75" i="20"/>
  <c r="W75" i="20"/>
  <c r="V75" i="20"/>
  <c r="U75" i="20"/>
  <c r="S75" i="20"/>
  <c r="K75" i="20"/>
  <c r="X74" i="20"/>
  <c r="W74" i="20"/>
  <c r="V74" i="20"/>
  <c r="U74" i="20"/>
  <c r="S74" i="20"/>
  <c r="K74" i="20"/>
  <c r="X73" i="20"/>
  <c r="W73" i="20"/>
  <c r="V73" i="20"/>
  <c r="U73" i="20"/>
  <c r="S73" i="20"/>
  <c r="K73" i="20"/>
  <c r="X72" i="20"/>
  <c r="W72" i="20"/>
  <c r="V72" i="20"/>
  <c r="U72" i="20"/>
  <c r="S72" i="20"/>
  <c r="K72" i="20"/>
  <c r="X71" i="20"/>
  <c r="W71" i="20"/>
  <c r="V71" i="20"/>
  <c r="U71" i="20"/>
  <c r="S71" i="20"/>
  <c r="K71" i="20"/>
  <c r="X70" i="20"/>
  <c r="W70" i="20"/>
  <c r="V70" i="20"/>
  <c r="U70" i="20"/>
  <c r="S70" i="20"/>
  <c r="K70" i="20"/>
  <c r="X69" i="20"/>
  <c r="W69" i="20"/>
  <c r="V69" i="20"/>
  <c r="U69" i="20"/>
  <c r="S69" i="20"/>
  <c r="K69" i="20"/>
  <c r="X68" i="20"/>
  <c r="W68" i="20"/>
  <c r="V68" i="20"/>
  <c r="U68" i="20"/>
  <c r="S68" i="20"/>
  <c r="K68" i="20"/>
  <c r="X67" i="20"/>
  <c r="W67" i="20"/>
  <c r="V67" i="20"/>
  <c r="U67" i="20"/>
  <c r="K67" i="20"/>
  <c r="X66" i="20"/>
  <c r="W66" i="20"/>
  <c r="V66" i="20"/>
  <c r="U66" i="20"/>
  <c r="S66" i="20"/>
  <c r="K66" i="20"/>
  <c r="X65" i="20"/>
  <c r="W65" i="20"/>
  <c r="V65" i="20"/>
  <c r="U65" i="20"/>
  <c r="S65" i="20"/>
  <c r="K65" i="20"/>
  <c r="X64" i="20"/>
  <c r="W64" i="20"/>
  <c r="V64" i="20"/>
  <c r="U64" i="20"/>
  <c r="S64" i="20"/>
  <c r="X63" i="20"/>
  <c r="W63" i="20"/>
  <c r="V63" i="20"/>
  <c r="U63" i="20"/>
  <c r="S63" i="20"/>
  <c r="K63" i="20"/>
  <c r="X62" i="20"/>
  <c r="W62" i="20"/>
  <c r="V62" i="20"/>
  <c r="U62" i="20"/>
  <c r="S62" i="20"/>
  <c r="K62" i="20"/>
  <c r="X61" i="20"/>
  <c r="W61" i="20"/>
  <c r="V61" i="20"/>
  <c r="U61" i="20"/>
  <c r="S61" i="20"/>
  <c r="K61" i="20"/>
  <c r="X60" i="20"/>
  <c r="W60" i="20"/>
  <c r="V60" i="20"/>
  <c r="U60" i="20"/>
  <c r="S60" i="20"/>
  <c r="K60" i="20"/>
  <c r="X59" i="20"/>
  <c r="W59" i="20"/>
  <c r="V59" i="20"/>
  <c r="U59" i="20"/>
  <c r="S59" i="20"/>
  <c r="K59" i="20"/>
  <c r="X58" i="20"/>
  <c r="W58" i="20"/>
  <c r="V58" i="20"/>
  <c r="U58" i="20"/>
  <c r="S58" i="20"/>
  <c r="K58" i="20"/>
  <c r="X57" i="20"/>
  <c r="V57" i="20"/>
  <c r="U57" i="20"/>
  <c r="X56" i="20"/>
  <c r="W56" i="20"/>
  <c r="V56" i="20"/>
  <c r="U56" i="20"/>
  <c r="S56" i="20"/>
  <c r="K56" i="20"/>
  <c r="X55" i="20"/>
  <c r="W55" i="20"/>
  <c r="V55" i="20"/>
  <c r="U55" i="20"/>
  <c r="S55" i="20"/>
  <c r="K55" i="20"/>
  <c r="X54" i="20"/>
  <c r="W54" i="20"/>
  <c r="V54" i="20"/>
  <c r="U54" i="20"/>
  <c r="S54" i="20"/>
  <c r="K54" i="20"/>
  <c r="X53" i="20"/>
  <c r="W53" i="20"/>
  <c r="V53" i="20"/>
  <c r="U53" i="20"/>
  <c r="S53" i="20"/>
  <c r="K53" i="20"/>
  <c r="X52" i="20"/>
  <c r="W52" i="20"/>
  <c r="V52" i="20"/>
  <c r="U52" i="20"/>
  <c r="S52" i="20"/>
  <c r="K52" i="20"/>
  <c r="X51" i="20"/>
  <c r="W51" i="20"/>
  <c r="V51" i="20"/>
  <c r="U51" i="20"/>
  <c r="S51" i="20"/>
  <c r="K51" i="20"/>
  <c r="X50" i="20"/>
  <c r="W50" i="20"/>
  <c r="V50" i="20"/>
  <c r="U50" i="20"/>
  <c r="S50" i="20"/>
  <c r="K50" i="20"/>
  <c r="X49" i="20"/>
  <c r="W49" i="20"/>
  <c r="V49" i="20"/>
  <c r="U49" i="20"/>
  <c r="K49" i="20"/>
  <c r="X48" i="20"/>
  <c r="W48" i="20"/>
  <c r="V48" i="20"/>
  <c r="U48" i="20"/>
  <c r="S48" i="20"/>
  <c r="K48" i="20"/>
  <c r="X47" i="20"/>
  <c r="W47" i="20"/>
  <c r="V47" i="20"/>
  <c r="U47" i="20"/>
  <c r="S47" i="20"/>
  <c r="K47" i="20"/>
  <c r="X46" i="20"/>
  <c r="W46" i="20"/>
  <c r="V46" i="20"/>
  <c r="U46" i="20"/>
  <c r="S46" i="20"/>
  <c r="K46" i="20"/>
  <c r="X45" i="20"/>
  <c r="W45" i="20"/>
  <c r="V45" i="20"/>
  <c r="U45" i="20"/>
  <c r="S45" i="20"/>
  <c r="K45" i="20"/>
  <c r="X44" i="20"/>
  <c r="W44" i="20"/>
  <c r="V44" i="20"/>
  <c r="U44" i="20"/>
  <c r="S44" i="20"/>
  <c r="K44" i="20"/>
  <c r="X43" i="20"/>
  <c r="W43" i="20"/>
  <c r="V43" i="20"/>
  <c r="U43" i="20"/>
  <c r="S43" i="20"/>
  <c r="K43" i="20"/>
  <c r="X42" i="20"/>
  <c r="W42" i="20"/>
  <c r="V42" i="20"/>
  <c r="U42" i="20"/>
  <c r="S42" i="20"/>
  <c r="K42" i="20"/>
  <c r="X41" i="20"/>
  <c r="W41" i="20"/>
  <c r="V41" i="20"/>
  <c r="U41" i="20"/>
  <c r="S41" i="20"/>
  <c r="K41" i="20"/>
  <c r="X40" i="20"/>
  <c r="W40" i="20"/>
  <c r="V40" i="20"/>
  <c r="U40" i="20"/>
  <c r="S40" i="20"/>
  <c r="K40" i="20"/>
  <c r="X39" i="20"/>
  <c r="W39" i="20"/>
  <c r="V39" i="20"/>
  <c r="U39" i="20"/>
  <c r="S39" i="20"/>
  <c r="K39" i="20"/>
  <c r="X38" i="20"/>
  <c r="W38" i="20"/>
  <c r="V38" i="20"/>
  <c r="U38" i="20"/>
  <c r="S38" i="20"/>
  <c r="K38" i="20"/>
  <c r="X37" i="20"/>
  <c r="W37" i="20"/>
  <c r="V37" i="20"/>
  <c r="U37" i="20"/>
  <c r="S37" i="20"/>
  <c r="K37" i="20"/>
  <c r="X36" i="20"/>
  <c r="V36" i="20"/>
  <c r="U36" i="20"/>
  <c r="S36" i="20"/>
  <c r="X35" i="20"/>
  <c r="W35" i="20"/>
  <c r="V35" i="20"/>
  <c r="U35" i="20"/>
  <c r="S35" i="20"/>
  <c r="K35" i="20"/>
  <c r="X34" i="20"/>
  <c r="W34" i="20"/>
  <c r="V34" i="20"/>
  <c r="U34" i="20"/>
  <c r="S34" i="20"/>
  <c r="K34" i="20"/>
  <c r="X33" i="20"/>
  <c r="W33" i="20"/>
  <c r="V33" i="20"/>
  <c r="U33" i="20"/>
  <c r="S33" i="20"/>
  <c r="K33" i="20"/>
  <c r="X32" i="20"/>
  <c r="W32" i="20"/>
  <c r="V32" i="20"/>
  <c r="U32" i="20"/>
  <c r="S32" i="20"/>
  <c r="K32" i="20"/>
  <c r="X31" i="20"/>
  <c r="W31" i="20"/>
  <c r="V31" i="20"/>
  <c r="U31" i="20"/>
  <c r="S31" i="20"/>
  <c r="K31" i="20"/>
  <c r="X30" i="20"/>
  <c r="W30" i="20"/>
  <c r="V30" i="20"/>
  <c r="U30" i="20"/>
  <c r="K30" i="20"/>
  <c r="X29" i="20"/>
  <c r="W29" i="20"/>
  <c r="V29" i="20"/>
  <c r="U29" i="20"/>
  <c r="S29" i="20"/>
  <c r="K29" i="20"/>
  <c r="X28" i="20"/>
  <c r="W28" i="20"/>
  <c r="V28" i="20"/>
  <c r="U28" i="20"/>
  <c r="K28" i="20"/>
  <c r="X27" i="20"/>
  <c r="W27" i="20"/>
  <c r="V27" i="20"/>
  <c r="U27" i="20"/>
  <c r="S27" i="20"/>
  <c r="K27" i="20"/>
  <c r="X26" i="20"/>
  <c r="V26" i="20"/>
  <c r="U26" i="20"/>
  <c r="X25" i="20"/>
  <c r="W25" i="20"/>
  <c r="V25" i="20"/>
  <c r="U25" i="20"/>
  <c r="S25" i="20"/>
  <c r="K25" i="20"/>
  <c r="X24" i="20"/>
  <c r="W24" i="20"/>
  <c r="V24" i="20"/>
  <c r="U24" i="20"/>
  <c r="S24" i="20"/>
  <c r="K24" i="20"/>
  <c r="X23" i="20"/>
  <c r="W23" i="20"/>
  <c r="V23" i="20"/>
  <c r="U23" i="20"/>
  <c r="S23" i="20"/>
  <c r="K23" i="20"/>
  <c r="X22" i="20"/>
  <c r="W22" i="20"/>
  <c r="V22" i="20"/>
  <c r="U22" i="20"/>
  <c r="S22" i="20"/>
  <c r="K22" i="20"/>
  <c r="X21" i="20"/>
  <c r="W21" i="20"/>
  <c r="V21" i="20"/>
  <c r="U21" i="20"/>
  <c r="S21" i="20"/>
  <c r="K21" i="20"/>
  <c r="X20" i="20"/>
  <c r="W20" i="20"/>
  <c r="V20" i="20"/>
  <c r="U20" i="20"/>
  <c r="S20" i="20"/>
  <c r="K20" i="20"/>
  <c r="X19" i="20"/>
  <c r="V19" i="20"/>
  <c r="U19" i="20"/>
  <c r="S19" i="20"/>
  <c r="X18" i="20"/>
  <c r="W18" i="20"/>
  <c r="V18" i="20"/>
  <c r="U18" i="20"/>
  <c r="S18" i="20"/>
  <c r="K18" i="20"/>
  <c r="X17" i="20"/>
  <c r="W17" i="20"/>
  <c r="V17" i="20"/>
  <c r="U17" i="20"/>
  <c r="S17" i="20"/>
  <c r="K17" i="20"/>
  <c r="X16" i="20"/>
  <c r="W16" i="20"/>
  <c r="V16" i="20"/>
  <c r="U16" i="20"/>
  <c r="S16" i="20"/>
  <c r="K16" i="20"/>
  <c r="X15" i="20"/>
  <c r="W15" i="20"/>
  <c r="V15" i="20"/>
  <c r="U15" i="20"/>
  <c r="S15" i="20"/>
  <c r="K15" i="20"/>
  <c r="X14" i="20"/>
  <c r="W14" i="20"/>
  <c r="V14" i="20"/>
  <c r="U14" i="20"/>
  <c r="S14" i="20"/>
  <c r="K14" i="20"/>
  <c r="X13" i="20"/>
  <c r="W13" i="20"/>
  <c r="V13" i="20"/>
  <c r="U13" i="20"/>
  <c r="S13" i="20"/>
  <c r="K13" i="20"/>
  <c r="X12" i="20"/>
  <c r="W12" i="20"/>
  <c r="V12" i="20"/>
  <c r="U12" i="20"/>
  <c r="S12" i="20"/>
  <c r="K12" i="20"/>
  <c r="X11" i="20"/>
  <c r="W11" i="20"/>
  <c r="V11" i="20"/>
  <c r="U11" i="20"/>
  <c r="S11" i="20"/>
  <c r="K11" i="20"/>
  <c r="X10" i="20"/>
  <c r="V10" i="20"/>
  <c r="U10" i="20"/>
  <c r="S10" i="20"/>
  <c r="X9" i="20"/>
  <c r="W9" i="20"/>
  <c r="V9" i="20"/>
  <c r="U9" i="20"/>
  <c r="S9" i="20"/>
  <c r="K9" i="20"/>
  <c r="X8" i="20"/>
  <c r="W8" i="20"/>
  <c r="V8" i="20"/>
  <c r="U8" i="20"/>
  <c r="S8" i="20"/>
  <c r="K8" i="20"/>
  <c r="P8" i="20" s="1"/>
  <c r="AF10" i="2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N8" i="10"/>
  <c r="M8" i="10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N8" i="12"/>
  <c r="M8" i="12"/>
  <c r="L116" i="12"/>
  <c r="K116" i="12"/>
  <c r="J116" i="12"/>
  <c r="I116" i="12"/>
  <c r="H116" i="12"/>
  <c r="G116" i="12"/>
  <c r="F116" i="12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196" i="1"/>
  <c r="G186" i="1"/>
  <c r="L116" i="10"/>
  <c r="K116" i="10"/>
  <c r="J116" i="10"/>
  <c r="I116" i="10"/>
  <c r="H116" i="10"/>
  <c r="G116" i="10"/>
  <c r="F116" i="10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P116" i="25" l="1"/>
  <c r="U116" i="25"/>
  <c r="W116" i="25"/>
  <c r="K116" i="25"/>
  <c r="Y36" i="25"/>
  <c r="Y116" i="25" s="1"/>
  <c r="V116" i="20"/>
  <c r="S116" i="20"/>
  <c r="X116" i="20"/>
  <c r="U116" i="20"/>
  <c r="K26" i="20"/>
  <c r="K116" i="20" s="1"/>
  <c r="W79" i="20"/>
  <c r="W57" i="20"/>
  <c r="W36" i="20"/>
  <c r="Y36" i="20" s="1"/>
  <c r="W19" i="20"/>
  <c r="Y19" i="20" s="1"/>
  <c r="W10" i="20"/>
  <c r="AA24" i="21"/>
  <c r="O8" i="21"/>
  <c r="O116" i="21" s="1"/>
  <c r="Y19" i="21"/>
  <c r="AA19" i="21" s="1"/>
  <c r="I116" i="21"/>
  <c r="P112" i="20"/>
  <c r="P113" i="20"/>
  <c r="P114" i="20"/>
  <c r="P115" i="20"/>
  <c r="P111" i="20"/>
  <c r="Y110" i="20"/>
  <c r="P110" i="20"/>
  <c r="Y100" i="20"/>
  <c r="P100" i="20"/>
  <c r="Y78" i="20"/>
  <c r="Y77" i="20"/>
  <c r="P77" i="20"/>
  <c r="Y75" i="20"/>
  <c r="Y74" i="20"/>
  <c r="P74" i="20"/>
  <c r="P72" i="20"/>
  <c r="Y70" i="20"/>
  <c r="P55" i="20"/>
  <c r="Y53" i="20"/>
  <c r="P92" i="20"/>
  <c r="Y91" i="20"/>
  <c r="P91" i="20"/>
  <c r="Y90" i="20"/>
  <c r="P90" i="20"/>
  <c r="Y89" i="20"/>
  <c r="P89" i="20"/>
  <c r="Y88" i="20"/>
  <c r="P88" i="20"/>
  <c r="Y87" i="20"/>
  <c r="P87" i="20"/>
  <c r="Y86" i="20"/>
  <c r="P86" i="20"/>
  <c r="Y85" i="20"/>
  <c r="P85" i="20"/>
  <c r="Y84" i="20"/>
  <c r="P84" i="20"/>
  <c r="Y83" i="20"/>
  <c r="P83" i="20"/>
  <c r="Y82" i="20"/>
  <c r="P82" i="20"/>
  <c r="Y81" i="20"/>
  <c r="P81" i="20"/>
  <c r="P78" i="20"/>
  <c r="Y54" i="20"/>
  <c r="P52" i="20"/>
  <c r="P51" i="20"/>
  <c r="Y49" i="20"/>
  <c r="P70" i="20"/>
  <c r="Y69" i="20"/>
  <c r="P69" i="20"/>
  <c r="Y68" i="20"/>
  <c r="P68" i="20"/>
  <c r="Y67" i="20"/>
  <c r="P67" i="20"/>
  <c r="Y66" i="20"/>
  <c r="P66" i="20"/>
  <c r="Y65" i="20"/>
  <c r="P65" i="20"/>
  <c r="Y64" i="20"/>
  <c r="P64" i="20"/>
  <c r="Y63" i="20"/>
  <c r="P63" i="20"/>
  <c r="Y62" i="20"/>
  <c r="P62" i="20"/>
  <c r="Y61" i="20"/>
  <c r="P61" i="20"/>
  <c r="Y60" i="20"/>
  <c r="P60" i="20"/>
  <c r="Y59" i="20"/>
  <c r="P59" i="20"/>
  <c r="Y58" i="20"/>
  <c r="P58" i="20"/>
  <c r="Y57" i="20"/>
  <c r="P57" i="20"/>
  <c r="Y56" i="20"/>
  <c r="P56" i="20"/>
  <c r="Y55" i="20"/>
  <c r="P54" i="20"/>
  <c r="P53" i="20"/>
  <c r="Y51" i="20"/>
  <c r="Y48" i="20"/>
  <c r="P48" i="20"/>
  <c r="Y47" i="20"/>
  <c r="P47" i="20"/>
  <c r="Y46" i="20"/>
  <c r="P46" i="20"/>
  <c r="Y45" i="20"/>
  <c r="P45" i="20"/>
  <c r="Y44" i="20"/>
  <c r="P44" i="20"/>
  <c r="Y43" i="20"/>
  <c r="P43" i="20"/>
  <c r="Y42" i="20"/>
  <c r="P42" i="20"/>
  <c r="Y41" i="20"/>
  <c r="P41" i="20"/>
  <c r="Y40" i="20"/>
  <c r="P40" i="20"/>
  <c r="Y39" i="20"/>
  <c r="P39" i="20"/>
  <c r="Y38" i="20"/>
  <c r="P38" i="20"/>
  <c r="Y37" i="20"/>
  <c r="P37" i="20"/>
  <c r="P36" i="20"/>
  <c r="Y35" i="20"/>
  <c r="P35" i="20"/>
  <c r="Y34" i="20"/>
  <c r="P34" i="20"/>
  <c r="Y33" i="20"/>
  <c r="P33" i="20"/>
  <c r="Y32" i="20"/>
  <c r="P32" i="20"/>
  <c r="Y31" i="20"/>
  <c r="P31" i="20"/>
  <c r="Y30" i="20"/>
  <c r="P30" i="20"/>
  <c r="Y29" i="20"/>
  <c r="P29" i="20"/>
  <c r="Y28" i="20"/>
  <c r="P28" i="20"/>
  <c r="Y27" i="20"/>
  <c r="P15" i="20"/>
  <c r="P12" i="20"/>
  <c r="P11" i="20"/>
  <c r="P9" i="20"/>
  <c r="Y8" i="20"/>
  <c r="P27" i="20"/>
  <c r="Y26" i="20"/>
  <c r="Y25" i="20"/>
  <c r="P25" i="20"/>
  <c r="Y24" i="20"/>
  <c r="P24" i="20"/>
  <c r="Y23" i="20"/>
  <c r="P23" i="20"/>
  <c r="Y22" i="20"/>
  <c r="P22" i="20"/>
  <c r="Y21" i="20"/>
  <c r="P21" i="20"/>
  <c r="Y20" i="20"/>
  <c r="P20" i="20"/>
  <c r="P19" i="20"/>
  <c r="Y18" i="20"/>
  <c r="P18" i="20"/>
  <c r="Y17" i="20"/>
  <c r="P17" i="20"/>
  <c r="Y16" i="20"/>
  <c r="P16" i="20"/>
  <c r="Y15" i="20"/>
  <c r="Y14" i="20"/>
  <c r="P14" i="20"/>
  <c r="Y13" i="20"/>
  <c r="P13" i="20"/>
  <c r="Y12" i="20"/>
  <c r="Y11" i="20"/>
  <c r="P10" i="20"/>
  <c r="Y9" i="20"/>
  <c r="P95" i="20"/>
  <c r="Y111" i="20"/>
  <c r="Y109" i="20"/>
  <c r="Y108" i="20"/>
  <c r="P108" i="20"/>
  <c r="P106" i="20"/>
  <c r="Y105" i="20"/>
  <c r="P105" i="20"/>
  <c r="P104" i="20"/>
  <c r="Y101" i="20"/>
  <c r="Y98" i="20"/>
  <c r="Y97" i="20"/>
  <c r="P97" i="20"/>
  <c r="Y96" i="20"/>
  <c r="P80" i="20"/>
  <c r="Y79" i="20"/>
  <c r="P76" i="20"/>
  <c r="P75" i="20"/>
  <c r="Y73" i="20"/>
  <c r="Y72" i="20"/>
  <c r="P49" i="20"/>
  <c r="Y95" i="20"/>
  <c r="P109" i="20"/>
  <c r="Y107" i="20"/>
  <c r="P107" i="20"/>
  <c r="Y106" i="20"/>
  <c r="Y104" i="20"/>
  <c r="Y103" i="20"/>
  <c r="P103" i="20"/>
  <c r="Y102" i="20"/>
  <c r="P102" i="20"/>
  <c r="P101" i="20"/>
  <c r="Y99" i="20"/>
  <c r="P99" i="20"/>
  <c r="P98" i="20"/>
  <c r="P96" i="20"/>
  <c r="Y94" i="20"/>
  <c r="P94" i="20"/>
  <c r="Y93" i="20"/>
  <c r="P93" i="20"/>
  <c r="Y92" i="20"/>
  <c r="Y80" i="20"/>
  <c r="P79" i="20"/>
  <c r="Y76" i="20"/>
  <c r="P73" i="20"/>
  <c r="Y71" i="20"/>
  <c r="P71" i="20"/>
  <c r="Y52" i="20"/>
  <c r="Y50" i="20"/>
  <c r="P50" i="20"/>
  <c r="M116" i="10"/>
  <c r="N116" i="10"/>
  <c r="N116" i="12"/>
  <c r="M116" i="12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AF8" i="2"/>
  <c r="AF9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7" i="2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I116" i="8"/>
  <c r="H116" i="8"/>
  <c r="N8" i="8"/>
  <c r="M8" i="8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7" i="1"/>
  <c r="G188" i="1"/>
  <c r="G189" i="1"/>
  <c r="G190" i="1"/>
  <c r="G191" i="1"/>
  <c r="G192" i="1"/>
  <c r="G193" i="1"/>
  <c r="G194" i="1"/>
  <c r="G195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99" i="1"/>
  <c r="G300" i="1"/>
  <c r="G301" i="1"/>
  <c r="G302" i="1"/>
  <c r="G303" i="1"/>
  <c r="G304" i="1"/>
  <c r="G305" i="1"/>
  <c r="G306" i="1"/>
  <c r="G307" i="1"/>
  <c r="G308" i="1"/>
  <c r="G154" i="1"/>
  <c r="G124" i="1"/>
  <c r="G114" i="1"/>
  <c r="L116" i="8"/>
  <c r="K116" i="8"/>
  <c r="J116" i="8"/>
  <c r="G116" i="8"/>
  <c r="F116" i="8"/>
  <c r="P26" i="20" l="1"/>
  <c r="Y10" i="20"/>
  <c r="Y116" i="20" s="1"/>
  <c r="W116" i="20"/>
  <c r="P116" i="20"/>
  <c r="M116" i="8"/>
  <c r="N116" i="8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5" i="1"/>
  <c r="G116" i="1"/>
  <c r="G117" i="1"/>
  <c r="G118" i="1"/>
  <c r="G119" i="1"/>
  <c r="G120" i="1"/>
  <c r="G121" i="1"/>
  <c r="G122" i="1"/>
  <c r="G123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5" i="1"/>
  <c r="L116" i="7" l="1"/>
  <c r="K116" i="7"/>
  <c r="J116" i="7"/>
  <c r="I116" i="7"/>
  <c r="H116" i="7"/>
  <c r="G116" i="7"/>
  <c r="F116" i="7"/>
  <c r="N78" i="7"/>
  <c r="M78" i="7"/>
  <c r="N77" i="7"/>
  <c r="M77" i="7"/>
  <c r="N76" i="7"/>
  <c r="M76" i="7"/>
  <c r="N75" i="7"/>
  <c r="M75" i="7"/>
  <c r="N74" i="7"/>
  <c r="M74" i="7"/>
  <c r="N73" i="7"/>
  <c r="M73" i="7"/>
  <c r="N72" i="7"/>
  <c r="M72" i="7"/>
  <c r="N71" i="7"/>
  <c r="M71" i="7"/>
  <c r="N70" i="7"/>
  <c r="M70" i="7"/>
  <c r="N69" i="7"/>
  <c r="M69" i="7"/>
  <c r="N68" i="7"/>
  <c r="M68" i="7"/>
  <c r="N67" i="7"/>
  <c r="M67" i="7"/>
  <c r="N66" i="7"/>
  <c r="M66" i="7"/>
  <c r="N65" i="7"/>
  <c r="M65" i="7"/>
  <c r="N64" i="7"/>
  <c r="M64" i="7"/>
  <c r="N63" i="7"/>
  <c r="M63" i="7"/>
  <c r="N62" i="7"/>
  <c r="M62" i="7"/>
  <c r="N61" i="7"/>
  <c r="M61" i="7"/>
  <c r="N60" i="7"/>
  <c r="M60" i="7"/>
  <c r="N59" i="7"/>
  <c r="M59" i="7"/>
  <c r="N58" i="7"/>
  <c r="M58" i="7"/>
  <c r="N57" i="7"/>
  <c r="M57" i="7"/>
  <c r="N56" i="7"/>
  <c r="M56" i="7"/>
  <c r="N55" i="7"/>
  <c r="M55" i="7"/>
  <c r="N54" i="7"/>
  <c r="M54" i="7"/>
  <c r="N53" i="7"/>
  <c r="M53" i="7"/>
  <c r="N52" i="7"/>
  <c r="M52" i="7"/>
  <c r="N51" i="7"/>
  <c r="M51" i="7"/>
  <c r="N50" i="7"/>
  <c r="M50" i="7"/>
  <c r="N49" i="7"/>
  <c r="M49" i="7"/>
  <c r="N48" i="7"/>
  <c r="M48" i="7"/>
  <c r="N47" i="7"/>
  <c r="M47" i="7"/>
  <c r="N46" i="7"/>
  <c r="M46" i="7"/>
  <c r="N45" i="7"/>
  <c r="M45" i="7"/>
  <c r="N44" i="7"/>
  <c r="M44" i="7"/>
  <c r="N43" i="7"/>
  <c r="M43" i="7"/>
  <c r="N42" i="7"/>
  <c r="M42" i="7"/>
  <c r="N41" i="7"/>
  <c r="M41" i="7"/>
  <c r="N40" i="7"/>
  <c r="M40" i="7"/>
  <c r="N39" i="7"/>
  <c r="M39" i="7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M116" i="6"/>
  <c r="L116" i="6"/>
  <c r="K116" i="6"/>
  <c r="J116" i="6"/>
  <c r="I116" i="6"/>
  <c r="H116" i="6"/>
  <c r="G116" i="6"/>
  <c r="F116" i="6"/>
  <c r="N115" i="6"/>
  <c r="M115" i="6"/>
  <c r="N114" i="6"/>
  <c r="M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N116" i="6" s="1"/>
  <c r="M10" i="6"/>
  <c r="N9" i="6"/>
  <c r="M9" i="6"/>
  <c r="N8" i="6"/>
  <c r="M8" i="6"/>
  <c r="D100" i="5"/>
  <c r="F491" i="1"/>
  <c r="E491" i="1"/>
  <c r="H124" i="1"/>
  <c r="G491" i="1" l="1"/>
  <c r="M116" i="7"/>
  <c r="N1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tc={8BE8E91E-FEC0-4816-AD8A-EB792C82239C}</author>
    <author>tc={2CDE74E6-4B9A-4275-971E-6FF5F649522C}</author>
    <author>tc={7E1035A1-309B-4E7B-8E60-FC99CA788DA9}</author>
    <author>tc={499B849E-3203-4E28-A65E-4C37480CDDBE}</author>
  </authors>
  <commentList>
    <comment ref="L18" authorId="0" shapeId="0" xr:uid="{8BE8E91E-FEC0-4816-AD8A-EB792C82239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Lo debe el proveedor</t>
      </text>
    </comment>
    <comment ref="M18" authorId="1" shapeId="0" xr:uid="{2CDE74E6-4B9A-4275-971E-6FF5F649522C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6.66 lo debe el zoologico
</t>
      </text>
    </comment>
    <comment ref="I19" authorId="2" shapeId="0" xr:uid="{7E1035A1-309B-4E7B-8E60-FC99CA788DA9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Revisen salidas LILIANA
</t>
      </text>
    </comment>
    <comment ref="I20" authorId="3" shapeId="0" xr:uid="{499B849E-3203-4E28-A65E-4C37480CDDBE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Debe un kilogramo el zoologico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tc={C9918E44-4E93-4541-BFE2-636A6160E7A3}</author>
    <author>tc={90FAE10C-60CA-4B99-85A1-AC6F96E90686}</author>
    <author>tc={B1C0362D-0BB2-474F-B60F-122810446183}</author>
    <author>tc={B4C657C7-A333-46DE-B158-27008579B662}</author>
  </authors>
  <commentList>
    <comment ref="L18" authorId="0" shapeId="0" xr:uid="{C9918E44-4E93-4541-BFE2-636A6160E7A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Lo debe el proveedor</t>
      </text>
    </comment>
    <comment ref="M18" authorId="1" shapeId="0" xr:uid="{90FAE10C-60CA-4B99-85A1-AC6F96E90686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6.66 lo debe el zoologico
</t>
      </text>
    </comment>
    <comment ref="I19" authorId="2" shapeId="0" xr:uid="{B1C0362D-0BB2-474F-B60F-122810446183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Revisen salidas LILIANA
</t>
      </text>
    </comment>
    <comment ref="I20" authorId="3" shapeId="0" xr:uid="{B4C657C7-A333-46DE-B158-27008579B662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Debe un kilogramo el zoologico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tc={1857CDD5-9479-4CA5-A08D-0A81D0405B95}</author>
    <author>tc={6DFE54AC-75CE-4D05-A2C3-657851AA0C37}</author>
    <author>tc={B2923E41-96B9-485E-BD80-23438C23279A}</author>
    <author>tc={FB8FD269-3E00-466C-8362-B55486B583FC}</author>
  </authors>
  <commentList>
    <comment ref="L18" authorId="0" shapeId="0" xr:uid="{1857CDD5-9479-4CA5-A08D-0A81D0405B9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Lo debe el proveedor</t>
      </text>
    </comment>
    <comment ref="M18" authorId="1" shapeId="0" xr:uid="{6DFE54AC-75CE-4D05-A2C3-657851AA0C37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6.66 lo debe el zoologico
</t>
      </text>
    </comment>
    <comment ref="I19" authorId="2" shapeId="0" xr:uid="{B2923E41-96B9-485E-BD80-23438C23279A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Revisen salidas LILIANA
</t>
      </text>
    </comment>
    <comment ref="I20" authorId="3" shapeId="0" xr:uid="{FB8FD269-3E00-466C-8362-B55486B583FC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Debe un kilogramo el zoologico
</t>
      </text>
    </comment>
  </commentList>
</comments>
</file>

<file path=xl/sharedStrings.xml><?xml version="1.0" encoding="utf-8"?>
<sst xmlns="http://schemas.openxmlformats.org/spreadsheetml/2006/main" count="3254" uniqueCount="278">
  <si>
    <t>ZOOLÓGICO Y PARQUE RECREATIVO TAMATÁN</t>
  </si>
  <si>
    <t xml:space="preserve">REGISTRO DE ACTAS DE ENTREGA DEPARTAMENTO NUTRICION MES DE ABRIL   2026 </t>
  </si>
  <si>
    <t>RM-2</t>
  </si>
  <si>
    <t xml:space="preserve">FECHA </t>
  </si>
  <si>
    <t>FOLIO</t>
  </si>
  <si>
    <t>PRODUCTO</t>
  </si>
  <si>
    <t xml:space="preserve">PRODUCTO </t>
  </si>
  <si>
    <t>SOLICITUD DE PEDIDO (ACTA)</t>
  </si>
  <si>
    <t xml:space="preserve">ENTRADA FISICA </t>
  </si>
  <si>
    <t>F/S</t>
  </si>
  <si>
    <t>Columna1</t>
  </si>
  <si>
    <t>FRUTA</t>
  </si>
  <si>
    <t>ACELGAS</t>
  </si>
  <si>
    <t>SIN ACTA</t>
  </si>
  <si>
    <t>ALFALFA VERDE</t>
  </si>
  <si>
    <t xml:space="preserve">APIO </t>
  </si>
  <si>
    <t>BROCOLI</t>
  </si>
  <si>
    <t>CALABAZA</t>
  </si>
  <si>
    <t>CEBOLLA</t>
  </si>
  <si>
    <t>CHAYOTE</t>
  </si>
  <si>
    <t xml:space="preserve">CILANTRO </t>
  </si>
  <si>
    <t>COLIFLOR</t>
  </si>
  <si>
    <t>ELOTE</t>
  </si>
  <si>
    <t>ESPINACA</t>
  </si>
  <si>
    <t>GUAYABA</t>
  </si>
  <si>
    <t>HUEVO</t>
  </si>
  <si>
    <t>LECHUGA</t>
  </si>
  <si>
    <t xml:space="preserve">MANZANA </t>
  </si>
  <si>
    <t>MELON</t>
  </si>
  <si>
    <t>NARANJA</t>
  </si>
  <si>
    <t>NOPAL</t>
  </si>
  <si>
    <t>PAPAYA</t>
  </si>
  <si>
    <t>PEREJIL</t>
  </si>
  <si>
    <t>PLATANO</t>
  </si>
  <si>
    <t>SANDIA</t>
  </si>
  <si>
    <t>TOMATE</t>
  </si>
  <si>
    <t>ZANAHORIA</t>
  </si>
  <si>
    <t>CAMOTE</t>
  </si>
  <si>
    <t xml:space="preserve">MANGO ATAULFO </t>
  </si>
  <si>
    <t xml:space="preserve">CANAL </t>
  </si>
  <si>
    <t xml:space="preserve">CANAL DE RES </t>
  </si>
  <si>
    <t>POLLO</t>
  </si>
  <si>
    <t xml:space="preserve">POLLO ENTERO SIN VICERAS </t>
  </si>
  <si>
    <t xml:space="preserve">FORRAJERA </t>
  </si>
  <si>
    <t xml:space="preserve">ALFALFA ACHICALADA </t>
  </si>
  <si>
    <t>AVENA ROLADA 25 KG</t>
  </si>
  <si>
    <t xml:space="preserve">CONEJINA 25 KG </t>
  </si>
  <si>
    <t>ENGORDA DE CERDO 25 KG</t>
  </si>
  <si>
    <t>NUTRI-PEC 25 KG</t>
  </si>
  <si>
    <t>OMOLIN 25 KG</t>
  </si>
  <si>
    <t xml:space="preserve">ALIMENTO CONCENTRADO PARA VENADO DE 20 KG </t>
  </si>
  <si>
    <t xml:space="preserve">MAIZ ENTERO </t>
  </si>
  <si>
    <t xml:space="preserve">ALIMENTO PARA GALLINA PONEDORA DE 25 KG </t>
  </si>
  <si>
    <t xml:space="preserve">SEMILLA DE GIRASOL </t>
  </si>
  <si>
    <t xml:space="preserve">ZACATE </t>
  </si>
  <si>
    <t xml:space="preserve">VARIOS </t>
  </si>
  <si>
    <t>PAN INTEGRAL 615 GR</t>
  </si>
  <si>
    <t>PAN TOSTADO 210 GR</t>
  </si>
  <si>
    <t>YOGURT NATURAL 900 GR</t>
  </si>
  <si>
    <t xml:space="preserve">MIEL DE ABEJA </t>
  </si>
  <si>
    <t>ARROZ</t>
  </si>
  <si>
    <t>CEREAL INFANTIL 4 CEREALES 270 GR</t>
  </si>
  <si>
    <t>CACAHUATE</t>
  </si>
  <si>
    <t xml:space="preserve">PASAS </t>
  </si>
  <si>
    <t>DEPARTAMENTO NUTRICION MES DE ABRIL 2026</t>
  </si>
  <si>
    <t>SALIDA DE FRUTA Y VERDURA</t>
  </si>
  <si>
    <t>CI-2</t>
  </si>
  <si>
    <t xml:space="preserve">CONCEPTO </t>
  </si>
  <si>
    <t xml:space="preserve">TOTAL </t>
  </si>
  <si>
    <t xml:space="preserve">ACELGAS </t>
  </si>
  <si>
    <t xml:space="preserve">ALFALFA VERDE </t>
  </si>
  <si>
    <t xml:space="preserve">ARROZ </t>
  </si>
  <si>
    <t>CILANTRO</t>
  </si>
  <si>
    <t xml:space="preserve">LECHUGA </t>
  </si>
  <si>
    <t>MANZANA</t>
  </si>
  <si>
    <t>MIEL</t>
  </si>
  <si>
    <t>PAN INTEGRAL</t>
  </si>
  <si>
    <t>PAN TOSTADO</t>
  </si>
  <si>
    <t>PASAS</t>
  </si>
  <si>
    <t>UVA</t>
  </si>
  <si>
    <t>YOGURTH</t>
  </si>
  <si>
    <t xml:space="preserve">ZANAHORIA </t>
  </si>
  <si>
    <t>DEPARTAMENTO NUTRICION MES DE ABRIL  2026</t>
  </si>
  <si>
    <t xml:space="preserve">SALIDA DE POLLO Y CARNE </t>
  </si>
  <si>
    <t>FECHA</t>
  </si>
  <si>
    <t>AREA</t>
  </si>
  <si>
    <t xml:space="preserve">CANTIDAD </t>
  </si>
  <si>
    <t>AFRICANA</t>
  </si>
  <si>
    <t>CANAL</t>
  </si>
  <si>
    <t>ASIATICA</t>
  </si>
  <si>
    <t xml:space="preserve"> </t>
  </si>
  <si>
    <t>CUARENTENA</t>
  </si>
  <si>
    <t xml:space="preserve">INFANTIL </t>
  </si>
  <si>
    <t xml:space="preserve">HOSPITAL </t>
  </si>
  <si>
    <t>AMERICANA</t>
  </si>
  <si>
    <t xml:space="preserve">SALIDA DE FORRAJERA </t>
  </si>
  <si>
    <t>ZACATE</t>
  </si>
  <si>
    <t xml:space="preserve">ALIMENTO PARA VENADO </t>
  </si>
  <si>
    <t>OMOLIN</t>
  </si>
  <si>
    <t>PURIMAS CARNE</t>
  </si>
  <si>
    <t xml:space="preserve">ENGORDA DE CERDO </t>
  </si>
  <si>
    <t xml:space="preserve">CONEJINA </t>
  </si>
  <si>
    <t xml:space="preserve">CUARENTENA </t>
  </si>
  <si>
    <t>NUTRI-PEC</t>
  </si>
  <si>
    <t>N12</t>
  </si>
  <si>
    <t>MAZURI PARA MONO NM</t>
  </si>
  <si>
    <t xml:space="preserve">MAZURI INSECTIVORE </t>
  </si>
  <si>
    <t>AVENA</t>
  </si>
  <si>
    <t>CROQUETA</t>
  </si>
  <si>
    <t xml:space="preserve">ALIMENTO PARA GALLINA </t>
  </si>
  <si>
    <t xml:space="preserve">REVOLTURA </t>
  </si>
  <si>
    <t xml:space="preserve">SALIDA DE VARIOS </t>
  </si>
  <si>
    <t xml:space="preserve">NUTRICION </t>
  </si>
  <si>
    <t>SINUBERASE</t>
  </si>
  <si>
    <t xml:space="preserve">NESTUM CEREAL </t>
  </si>
  <si>
    <t>COMISIÓN DE PARQUES Y BIODIVERSIDAD DE TAMAULIPAS</t>
  </si>
  <si>
    <t xml:space="preserve"> INVENTARIO AL 07 ABRIL </t>
  </si>
  <si>
    <t>CODIGO</t>
  </si>
  <si>
    <t>DESCRIPCION</t>
  </si>
  <si>
    <t>COSTO PROMEDIO 
30 SEPT</t>
  </si>
  <si>
    <t>COSTO PROMEDIO 
31 OCT</t>
  </si>
  <si>
    <t xml:space="preserve">UNIDAD </t>
  </si>
  <si>
    <t xml:space="preserve">INVENTARIO INICIAL CON ACTA </t>
  </si>
  <si>
    <t xml:space="preserve">INVENTARIO INICAL CON FISICO </t>
  </si>
  <si>
    <t>ENTRADAS (ACTA)</t>
  </si>
  <si>
    <t>ENTRADAS (RECIBIDO)</t>
  </si>
  <si>
    <t xml:space="preserve">AJUSTE POR ENTRADA </t>
  </si>
  <si>
    <t xml:space="preserve">SALIDAS </t>
  </si>
  <si>
    <t xml:space="preserve">AJUSTE POR SALIDA </t>
  </si>
  <si>
    <t>INVENTARIO FINAL CON  ACTA</t>
  </si>
  <si>
    <t>INVENTARIO FINAL CON  FISICO</t>
  </si>
  <si>
    <t>MANOJO</t>
  </si>
  <si>
    <t>ALFALFA ACHICALADA</t>
  </si>
  <si>
    <t>PIEZA</t>
  </si>
  <si>
    <t>ALPISTE</t>
  </si>
  <si>
    <t>BULTO</t>
  </si>
  <si>
    <t>APIO</t>
  </si>
  <si>
    <t>KILO</t>
  </si>
  <si>
    <t>ARROZ KG</t>
  </si>
  <si>
    <t xml:space="preserve">AVENA ROLADA 25 KG </t>
  </si>
  <si>
    <t>AVENA ROLADA 40KG</t>
  </si>
  <si>
    <t>BABY CAT MILK</t>
  </si>
  <si>
    <t>BLOCK MINERALES</t>
  </si>
  <si>
    <t>CALAMAR</t>
  </si>
  <si>
    <t>CALTRATE</t>
  </si>
  <si>
    <t>CAMARON</t>
  </si>
  <si>
    <t>CAMPEON CROQUETAS (SILVERT)</t>
  </si>
  <si>
    <t>CANAL DE RES</t>
  </si>
  <si>
    <t>CASEC</t>
  </si>
  <si>
    <t>CENTRUM VITAMINAS Y MINERALES</t>
  </si>
  <si>
    <t>COMPLEJO B</t>
  </si>
  <si>
    <t>CONEJINA 40KG</t>
  </si>
  <si>
    <t>EMULSION SCOTT</t>
  </si>
  <si>
    <t xml:space="preserve">ENGORDA DE CERDO 25 KG </t>
  </si>
  <si>
    <t>ENGORDA DE CERDO 40KG</t>
  </si>
  <si>
    <t>ENGORDINA DE POLLO DE 25 KG</t>
  </si>
  <si>
    <t>ENGORDINA DE POLLO DE 40KG</t>
  </si>
  <si>
    <t>FERVINAC 4.5 KG</t>
  </si>
  <si>
    <t>FERVINAC 500 GR.</t>
  </si>
  <si>
    <t xml:space="preserve">FILETE DE LISA </t>
  </si>
  <si>
    <t>GELCAPS VIT E-400 FCO CON 90 CAPS</t>
  </si>
  <si>
    <t>GROWLAC® PET FORMULA LACTEA PAQ c/12</t>
  </si>
  <si>
    <t>INSECTIVORE DIET MAZURI</t>
  </si>
  <si>
    <t>LECHE ESBILAC</t>
  </si>
  <si>
    <t xml:space="preserve">LECHE NIDO </t>
  </si>
  <si>
    <t>LECHE PARA PERRO/GATO 450 ML.</t>
  </si>
  <si>
    <t>MANGO</t>
  </si>
  <si>
    <t>MANTEQUILLA</t>
  </si>
  <si>
    <t>MAZURI CARNIVORE</t>
  </si>
  <si>
    <t>MAZURI FERRET</t>
  </si>
  <si>
    <t>MAZURI KANGAROO</t>
  </si>
  <si>
    <t>MAZURI P/MONO NVO MUNDO</t>
  </si>
  <si>
    <t xml:space="preserve">MAZURI PARROTS MAINT </t>
  </si>
  <si>
    <t>MAZURI PRIMATE DIETS</t>
  </si>
  <si>
    <t xml:space="preserve">MIEL </t>
  </si>
  <si>
    <t>LITRO</t>
  </si>
  <si>
    <t>MIXTURA PARA AVES</t>
  </si>
  <si>
    <t>NESTUM 4 CEREALES 300GR</t>
  </si>
  <si>
    <t>NUTRI-PEC 25KG (alimento para peces)</t>
  </si>
  <si>
    <t>NUTRI-PLUS GEL</t>
  </si>
  <si>
    <t>OMEGA 3,6,9 TRIPLEX C/60 CAP.</t>
  </si>
  <si>
    <t xml:space="preserve">OMOLIN 25 KG </t>
  </si>
  <si>
    <t>OMOLIN 40KG (equino)</t>
  </si>
  <si>
    <t>OVINA ENGORDA 25 KG</t>
  </si>
  <si>
    <t>OVINA ENGORDA 40KG</t>
  </si>
  <si>
    <t>PAN  BIMBO TOSTADO  210GR</t>
  </si>
  <si>
    <t>PAN INTEGRAL 720GR BIMBO</t>
  </si>
  <si>
    <t>PAPILLA GERBER 100 GR.</t>
  </si>
  <si>
    <t>POLI-VI-SOL PEDIATRICO (FCO/GOTERO) 50 ML</t>
  </si>
  <si>
    <t>POLLO ENTERO</t>
  </si>
  <si>
    <t>POLLO PIERNA Y MUSLO</t>
  </si>
  <si>
    <t xml:space="preserve">PURIMAS CARNE 25 KG </t>
  </si>
  <si>
    <t>PURIMAS CARNE 40KG (bovino)</t>
  </si>
  <si>
    <t>REDOXON INFANTIL</t>
  </si>
  <si>
    <t>REVOLTURA DE 40KG</t>
  </si>
  <si>
    <t>ROYAL CANIN</t>
  </si>
  <si>
    <t>SAL DE GRANO</t>
  </si>
  <si>
    <t>SAL MINERAL</t>
  </si>
  <si>
    <t>SALVADILLO</t>
  </si>
  <si>
    <t>SALVADO 25 KG.</t>
  </si>
  <si>
    <t>SEMILLA DE GIRASOL</t>
  </si>
  <si>
    <t>SIMIFLEX</t>
  </si>
  <si>
    <t>STARTER MOISSE ROYAL CANIN</t>
  </si>
  <si>
    <t>SUPER CRIA MASCOTA</t>
  </si>
  <si>
    <t>SUPER CRIS KITTENS</t>
  </si>
  <si>
    <t>SUPLEMENTO DE CALCIO PARA REPTILES EN REPAASHY SUPER CAL HYD BOTE C/6 OZ</t>
  </si>
  <si>
    <t>SUPLEMENTO VITAMINICOEN SPRAY PARA REPTILES ZILLA BOTE C/ 236 ML.</t>
  </si>
  <si>
    <t>VINAGRE</t>
  </si>
  <si>
    <t>YOGURT NATURAL LALA  1KG</t>
  </si>
  <si>
    <t>900 gr</t>
  </si>
  <si>
    <t>PACA</t>
  </si>
  <si>
    <t>ZULIFE SOFT-BILL DIET MAZURI</t>
  </si>
  <si>
    <t>ALIMENTO CONCENTRADO PARA VENADO DE 20 KG</t>
  </si>
  <si>
    <t>ALIMENTO PARA GALLINA PONEDORA</t>
  </si>
  <si>
    <t xml:space="preserve">CARBONATO DE CALCIO </t>
  </si>
  <si>
    <t>MAIZ</t>
  </si>
  <si>
    <t xml:space="preserve">INVENTARIO AL 14 ABRIL </t>
  </si>
  <si>
    <t xml:space="preserve">COSTO PROMEDIO 
28 FEBRERO </t>
  </si>
  <si>
    <t>COSTO PROMEDIO 
31 MARZO</t>
  </si>
  <si>
    <t xml:space="preserve">SEMILLA GIRASOL </t>
  </si>
  <si>
    <t xml:space="preserve">CAMPEON CROQUETAS ADULTO 25 KG </t>
  </si>
  <si>
    <t xml:space="preserve">PURIMAS CARNE DE 25 KG </t>
  </si>
  <si>
    <t xml:space="preserve">REVOLTURA DE 40 KG </t>
  </si>
  <si>
    <t xml:space="preserve">INVENTARIO AL 21 ABRIL </t>
  </si>
  <si>
    <t xml:space="preserve">VETERINARIA </t>
  </si>
  <si>
    <t xml:space="preserve">NUTRI PLUS GEL </t>
  </si>
  <si>
    <t xml:space="preserve">PAN INTEGRAL 615 GR </t>
  </si>
  <si>
    <t xml:space="preserve">INVENTARIO AL 28 ABRIL </t>
  </si>
  <si>
    <t xml:space="preserve">INVENTARIO AL 30 ABRIL </t>
  </si>
  <si>
    <t>17,,2</t>
  </si>
  <si>
    <t>25</t>
  </si>
  <si>
    <t>29-abr</t>
  </si>
  <si>
    <t>(Todas)</t>
  </si>
  <si>
    <t>Etiquetas de columna</t>
  </si>
  <si>
    <t>(en blanco)</t>
  </si>
  <si>
    <t>Total general</t>
  </si>
  <si>
    <t>Etiquetas de fila</t>
  </si>
  <si>
    <t xml:space="preserve">Suma de CANTIDAD </t>
  </si>
  <si>
    <t>Total 1</t>
  </si>
  <si>
    <t>Total 2</t>
  </si>
  <si>
    <t>Total (en blanco)</t>
  </si>
  <si>
    <t xml:space="preserve">Cuenta de CANTIDAD </t>
  </si>
  <si>
    <t>INVENTARIO INICIAL</t>
  </si>
  <si>
    <t xml:space="preserve">ENTRADAS </t>
  </si>
  <si>
    <t>INVENTARIO FINAL</t>
  </si>
  <si>
    <t>DIFERENCIAS</t>
  </si>
  <si>
    <t>DIFERENCIAS PROVEEDOR</t>
  </si>
  <si>
    <t>COSTO INVENTARIO INICIAL</t>
  </si>
  <si>
    <t>AJUSTE COSTO PROMEDIO</t>
  </si>
  <si>
    <t>COSTO ENTRADAS</t>
  </si>
  <si>
    <t>AJUSTE COSTO ENTRADA</t>
  </si>
  <si>
    <t>COSTOS 
SALIDAS</t>
  </si>
  <si>
    <t>AJUSTE COSTO SALIDA</t>
  </si>
  <si>
    <t>ELABORO</t>
  </si>
  <si>
    <t>REVISÓ</t>
  </si>
  <si>
    <t>AUTORIZO</t>
  </si>
  <si>
    <t>C.P. IVONNE PATRICIA GONZALEZ BALDAZO</t>
  </si>
  <si>
    <t>ING. JUAN CARLOS VALLES DORIA</t>
  </si>
  <si>
    <t>DR. FEDERICO GABRIEL NAVARRO DE LA PIEDRA</t>
  </si>
  <si>
    <t>JEFA DE DEPARTAMENTO DE RECURSOS Y SERVICIOS</t>
  </si>
  <si>
    <t xml:space="preserve">SUBDIRECTOR ADMINISTRATIVO DEL ZOOLÓGICO Y PARQUE RECREATIVO TAMATÁN </t>
  </si>
  <si>
    <t>DIRECTOR DEL ZOOLÓGICO Y PARQUE RECREATIVO TAMATÁN</t>
  </si>
  <si>
    <t xml:space="preserve"> INVENTARIO AL 30 ABRIL</t>
  </si>
  <si>
    <t>COSTO PROMEDIO 
30 ABRIL</t>
  </si>
  <si>
    <t>ALIMENTO CONCENTRADO VENADO 20KG</t>
  </si>
  <si>
    <t>MAIZ ENTERO</t>
  </si>
  <si>
    <t>ALIMENTO PARA GALLINA PONEDORA 25KG</t>
  </si>
  <si>
    <t>CARBONATO DE CALCIO</t>
  </si>
  <si>
    <t>EXCEDENTES SUMA MESES FEBRERO, MARZO Y ABRIL</t>
  </si>
  <si>
    <t>EXCEDENTES DE ENERO</t>
  </si>
  <si>
    <t>proveedor debe 7 desde enero</t>
  </si>
  <si>
    <t>traen faltates pero no afecta porque el proveedor dio de mas</t>
  </si>
  <si>
    <t>El zoologico debe 24 pero no afecta porque el proveedor dio de mas</t>
  </si>
  <si>
    <t>NO DAN SALIDAS, REVISAR INVENTARIO</t>
  </si>
  <si>
    <t>REVISEN FALTANTE, NO AFECTA DEBIDO A QUE EL PROVEEDOR ENTREGO DE MAS</t>
  </si>
  <si>
    <t>COMENTARIOS</t>
  </si>
  <si>
    <t>MENOS 3 SALIDAS POR INDICACION DE CRISTIAN</t>
  </si>
  <si>
    <t>MENOS 2 SALIDAS POR INDICACION DE CRISTIAN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</si>
</sst>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$&quot;#,##0.00;[Red]\-&quot;$&quot;#,##0.00"/>
    <numFmt numFmtId="44" formatCode="_-&quot;$&quot;* #,##0.00_-;\-&quot;$&quot;* #,##0.00_-;_-&quot;$&quot;* &quot;-&quot;??_-;_-@_-"/>
    <numFmt numFmtId="164" formatCode="#,##0.00_ ;[Red]\-#,##0.00\ "/>
    <numFmt numFmtId="165" formatCode="dd/mm"/>
    <numFmt numFmtId="166" formatCode="0.000"/>
    <numFmt numFmtId="167" formatCode="0.0"/>
    <numFmt numFmtId="168" formatCode="#,##0.000"/>
  </numFmts>
  <fonts count="6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8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FFFF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u/>
      <sz val="14"/>
      <color theme="1"/>
      <name val="Calibri"/>
      <family val="2"/>
    </font>
    <font>
      <sz val="11"/>
      <name val="Calibri"/>
      <family val="2"/>
    </font>
    <font>
      <b/>
      <u/>
      <sz val="14"/>
      <color theme="1"/>
      <name val="Calibri"/>
      <family val="2"/>
    </font>
    <font>
      <b/>
      <sz val="12"/>
      <color theme="0"/>
      <name val="Arial"/>
      <family val="2"/>
    </font>
    <font>
      <b/>
      <sz val="7"/>
      <color theme="0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D0D0D"/>
      <name val="Calibri"/>
      <family val="2"/>
    </font>
    <font>
      <sz val="12"/>
      <color rgb="FF0D0D0D"/>
      <name val="Arial"/>
      <family val="2"/>
    </font>
    <font>
      <sz val="8"/>
      <color rgb="FF0D0D0D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7"/>
      <color rgb="FFFFFFFF"/>
      <name val="Arial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0"/>
      <color theme="0"/>
      <name val="Arial Nova"/>
      <family val="2"/>
    </font>
    <font>
      <sz val="10"/>
      <name val="Arial Nova"/>
      <family val="2"/>
    </font>
    <font>
      <b/>
      <sz val="10"/>
      <color theme="1"/>
      <name val="Arial Nova"/>
      <family val="2"/>
    </font>
    <font>
      <sz val="11"/>
      <name val="Arial Nova"/>
      <family val="2"/>
    </font>
    <font>
      <sz val="11"/>
      <color rgb="FF000000"/>
      <name val="Arial Nova"/>
      <family val="2"/>
    </font>
    <font>
      <sz val="11"/>
      <color theme="1"/>
      <name val="Arial Nova"/>
      <family val="2"/>
    </font>
    <font>
      <sz val="11"/>
      <color rgb="FF0D0D0D"/>
      <name val="Arial Nova"/>
      <family val="2"/>
    </font>
    <font>
      <sz val="12"/>
      <color theme="1"/>
      <name val="Calibri"/>
      <family val="2"/>
      <scheme val="minor"/>
    </font>
    <font>
      <b/>
      <sz val="11"/>
      <color theme="1"/>
      <name val="Arial Nova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badi"/>
      <family val="2"/>
    </font>
    <font>
      <sz val="12"/>
      <name val="AriaL"/>
      <family val="2"/>
    </font>
    <font>
      <sz val="12"/>
      <name val="Calibri"/>
      <family val="2"/>
      <scheme val="minor"/>
    </font>
    <font>
      <b/>
      <sz val="11"/>
      <name val="Arial Nova"/>
      <family val="2"/>
    </font>
    <font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DA9694"/>
        <bgColor rgb="FFDA9694"/>
      </patternFill>
    </fill>
    <fill>
      <patternFill patternType="solid">
        <fgColor rgb="FF990033"/>
        <bgColor rgb="FF990033"/>
      </patternFill>
    </fill>
    <fill>
      <patternFill patternType="solid">
        <fgColor rgb="FFBFBFBF"/>
        <bgColor rgb="FFBFBFBF"/>
      </patternFill>
    </fill>
    <fill>
      <patternFill patternType="solid">
        <fgColor rgb="FFD6E3BC"/>
        <bgColor rgb="FFD6E3BC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theme="2" tint="-0.34998626667073579"/>
        <bgColor rgb="FFB8CCE4"/>
      </patternFill>
    </fill>
    <fill>
      <patternFill patternType="solid">
        <fgColor theme="2" tint="-0.34998626667073579"/>
        <bgColor rgb="FFDBE5F1"/>
      </patternFill>
    </fill>
    <fill>
      <patternFill patternType="solid">
        <fgColor theme="2" tint="-0.34998626667073579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4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52" fillId="0" borderId="0"/>
    <xf numFmtId="0" fontId="1" fillId="0" borderId="0"/>
  </cellStyleXfs>
  <cellXfs count="364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" fontId="5" fillId="3" borderId="0" xfId="0" applyNumberFormat="1" applyFont="1" applyFill="1"/>
    <xf numFmtId="0" fontId="8" fillId="3" borderId="0" xfId="0" applyFont="1" applyFill="1"/>
    <xf numFmtId="0" fontId="5" fillId="3" borderId="0" xfId="0" applyFont="1" applyFill="1" applyAlignment="1">
      <alignment horizontal="left"/>
    </xf>
    <xf numFmtId="16" fontId="5" fillId="4" borderId="0" xfId="0" applyNumberFormat="1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16" fontId="5" fillId="3" borderId="1" xfId="0" applyNumberFormat="1" applyFont="1" applyFill="1" applyBorder="1"/>
    <xf numFmtId="16" fontId="5" fillId="4" borderId="1" xfId="0" applyNumberFormat="1" applyFont="1" applyFill="1" applyBorder="1"/>
    <xf numFmtId="0" fontId="10" fillId="4" borderId="0" xfId="0" applyFont="1" applyFill="1"/>
    <xf numFmtId="0" fontId="6" fillId="4" borderId="0" xfId="0" applyFont="1" applyFill="1" applyAlignment="1">
      <alignment horizontal="left"/>
    </xf>
    <xf numFmtId="165" fontId="10" fillId="3" borderId="0" xfId="0" applyNumberFormat="1" applyFont="1" applyFill="1"/>
    <xf numFmtId="0" fontId="10" fillId="3" borderId="0" xfId="0" applyFont="1" applyFill="1"/>
    <xf numFmtId="0" fontId="6" fillId="3" borderId="0" xfId="0" applyFont="1" applyFill="1" applyAlignment="1">
      <alignment horizontal="left" vertical="center"/>
    </xf>
    <xf numFmtId="165" fontId="10" fillId="2" borderId="0" xfId="0" applyNumberFormat="1" applyFont="1" applyFill="1"/>
    <xf numFmtId="0" fontId="10" fillId="2" borderId="0" xfId="0" applyFont="1" applyFill="1"/>
    <xf numFmtId="0" fontId="6" fillId="2" borderId="0" xfId="0" applyFont="1" applyFill="1" applyAlignment="1">
      <alignment horizontal="left" vertical="center"/>
    </xf>
    <xf numFmtId="0" fontId="12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5" borderId="5" xfId="0" applyFont="1" applyFill="1" applyBorder="1" applyAlignment="1">
      <alignment horizontal="left"/>
    </xf>
    <xf numFmtId="16" fontId="12" fillId="0" borderId="6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3" fillId="5" borderId="7" xfId="0" applyFont="1" applyFill="1" applyBorder="1" applyAlignment="1">
      <alignment horizontal="left"/>
    </xf>
    <xf numFmtId="0" fontId="13" fillId="0" borderId="6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3" fontId="13" fillId="0" borderId="8" xfId="0" applyNumberFormat="1" applyFont="1" applyBorder="1" applyAlignment="1">
      <alignment horizontal="center"/>
    </xf>
    <xf numFmtId="2" fontId="13" fillId="0" borderId="8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3" fillId="5" borderId="10" xfId="0" applyFont="1" applyFill="1" applyBorder="1" applyAlignment="1">
      <alignment horizontal="left"/>
    </xf>
    <xf numFmtId="0" fontId="13" fillId="0" borderId="11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5" fillId="6" borderId="12" xfId="0" applyFont="1" applyFill="1" applyBorder="1"/>
    <xf numFmtId="0" fontId="15" fillId="6" borderId="13" xfId="0" applyFont="1" applyFill="1" applyBorder="1"/>
    <xf numFmtId="0" fontId="15" fillId="6" borderId="14" xfId="0" applyFont="1" applyFill="1" applyBorder="1" applyAlignment="1">
      <alignment horizontal="left"/>
    </xf>
    <xf numFmtId="0" fontId="8" fillId="0" borderId="0" xfId="0" applyFont="1"/>
    <xf numFmtId="0" fontId="5" fillId="0" borderId="0" xfId="0" applyFont="1" applyAlignment="1">
      <alignment horizontal="left"/>
    </xf>
    <xf numFmtId="0" fontId="15" fillId="7" borderId="12" xfId="0" applyFont="1" applyFill="1" applyBorder="1"/>
    <xf numFmtId="0" fontId="15" fillId="7" borderId="13" xfId="0" applyFont="1" applyFill="1" applyBorder="1"/>
    <xf numFmtId="0" fontId="15" fillId="7" borderId="14" xfId="0" applyFont="1" applyFill="1" applyBorder="1" applyAlignment="1">
      <alignment horizontal="left"/>
    </xf>
    <xf numFmtId="16" fontId="5" fillId="0" borderId="0" xfId="0" applyNumberFormat="1" applyFont="1"/>
    <xf numFmtId="0" fontId="5" fillId="0" borderId="0" xfId="0" applyFont="1" applyAlignment="1">
      <alignment wrapText="1"/>
    </xf>
    <xf numFmtId="16" fontId="6" fillId="0" borderId="0" xfId="0" applyNumberFormat="1" applyFont="1"/>
    <xf numFmtId="0" fontId="10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166" fontId="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4" fontId="17" fillId="0" borderId="0" xfId="0" applyNumberFormat="1" applyFont="1" applyAlignment="1">
      <alignment vertical="center"/>
    </xf>
    <xf numFmtId="0" fontId="20" fillId="0" borderId="15" xfId="0" applyFont="1" applyBorder="1" applyAlignment="1">
      <alignment horizontal="center"/>
    </xf>
    <xf numFmtId="0" fontId="21" fillId="8" borderId="8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4" fontId="23" fillId="9" borderId="8" xfId="0" applyNumberFormat="1" applyFont="1" applyFill="1" applyBorder="1" applyAlignment="1">
      <alignment horizontal="center" vertical="center" wrapText="1"/>
    </xf>
    <xf numFmtId="0" fontId="23" fillId="10" borderId="8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4" fontId="24" fillId="3" borderId="8" xfId="0" applyNumberFormat="1" applyFont="1" applyFill="1" applyBorder="1" applyAlignment="1">
      <alignment horizontal="center" vertical="center"/>
    </xf>
    <xf numFmtId="4" fontId="25" fillId="11" borderId="16" xfId="0" applyNumberFormat="1" applyFont="1" applyFill="1" applyBorder="1" applyAlignment="1">
      <alignment horizontal="center" vertical="center" wrapText="1"/>
    </xf>
    <xf numFmtId="0" fontId="16" fillId="12" borderId="16" xfId="0" applyFont="1" applyFill="1" applyBorder="1" applyAlignment="1">
      <alignment horizontal="center" vertical="center" wrapText="1"/>
    </xf>
    <xf numFmtId="0" fontId="16" fillId="12" borderId="8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vertical="center"/>
    </xf>
    <xf numFmtId="0" fontId="17" fillId="0" borderId="8" xfId="0" applyFont="1" applyBorder="1" applyAlignment="1">
      <alignment vertical="center" wrapText="1"/>
    </xf>
    <xf numFmtId="0" fontId="26" fillId="0" borderId="8" xfId="0" applyFont="1" applyBorder="1" applyAlignment="1">
      <alignment horizontal="center" vertical="center" wrapText="1"/>
    </xf>
    <xf numFmtId="166" fontId="17" fillId="0" borderId="8" xfId="0" applyNumberFormat="1" applyFont="1" applyBorder="1" applyAlignment="1">
      <alignment horizontal="center" vertical="center"/>
    </xf>
    <xf numFmtId="2" fontId="27" fillId="0" borderId="8" xfId="0" applyNumberFormat="1" applyFont="1" applyBorder="1"/>
    <xf numFmtId="2" fontId="27" fillId="0" borderId="6" xfId="0" applyNumberFormat="1" applyFont="1" applyBorder="1"/>
    <xf numFmtId="2" fontId="27" fillId="0" borderId="6" xfId="0" applyNumberFormat="1" applyFont="1" applyBorder="1" applyAlignment="1">
      <alignment horizontal="center"/>
    </xf>
    <xf numFmtId="166" fontId="17" fillId="0" borderId="17" xfId="0" applyNumberFormat="1" applyFont="1" applyBorder="1" applyAlignment="1">
      <alignment horizontal="center" vertical="center"/>
    </xf>
    <xf numFmtId="2" fontId="27" fillId="0" borderId="18" xfId="0" applyNumberFormat="1" applyFont="1" applyBorder="1"/>
    <xf numFmtId="2" fontId="27" fillId="0" borderId="19" xfId="0" applyNumberFormat="1" applyFont="1" applyBorder="1"/>
    <xf numFmtId="2" fontId="27" fillId="0" borderId="8" xfId="0" applyNumberFormat="1" applyFont="1" applyBorder="1" applyAlignment="1">
      <alignment horizontal="center"/>
    </xf>
    <xf numFmtId="2" fontId="27" fillId="0" borderId="19" xfId="0" applyNumberFormat="1" applyFont="1" applyBorder="1" applyAlignment="1">
      <alignment horizontal="center"/>
    </xf>
    <xf numFmtId="2" fontId="17" fillId="0" borderId="18" xfId="0" applyNumberFormat="1" applyFont="1" applyBorder="1"/>
    <xf numFmtId="2" fontId="17" fillId="0" borderId="19" xfId="0" applyNumberFormat="1" applyFont="1" applyBorder="1"/>
    <xf numFmtId="2" fontId="17" fillId="0" borderId="19" xfId="0" applyNumberFormat="1" applyFont="1" applyBorder="1" applyAlignment="1">
      <alignment horizontal="center"/>
    </xf>
    <xf numFmtId="2" fontId="28" fillId="0" borderId="19" xfId="0" applyNumberFormat="1" applyFont="1" applyBorder="1"/>
    <xf numFmtId="166" fontId="28" fillId="0" borderId="17" xfId="0" applyNumberFormat="1" applyFont="1" applyBorder="1" applyAlignment="1">
      <alignment horizontal="center" vertical="center"/>
    </xf>
    <xf numFmtId="2" fontId="27" fillId="0" borderId="18" xfId="0" applyNumberFormat="1" applyFont="1" applyBorder="1" applyAlignment="1">
      <alignment horizontal="right" vertical="center"/>
    </xf>
    <xf numFmtId="2" fontId="27" fillId="0" borderId="19" xfId="0" applyNumberFormat="1" applyFont="1" applyBorder="1" applyAlignment="1">
      <alignment horizontal="right" vertical="center"/>
    </xf>
    <xf numFmtId="0" fontId="29" fillId="0" borderId="0" xfId="0" applyFont="1" applyAlignment="1">
      <alignment vertical="center"/>
    </xf>
    <xf numFmtId="0" fontId="29" fillId="0" borderId="8" xfId="0" applyFont="1" applyBorder="1" applyAlignment="1">
      <alignment vertical="center"/>
    </xf>
    <xf numFmtId="0" fontId="17" fillId="0" borderId="8" xfId="0" applyFont="1" applyBorder="1" applyAlignment="1">
      <alignment horizontal="left" vertical="center"/>
    </xf>
    <xf numFmtId="0" fontId="26" fillId="0" borderId="8" xfId="0" applyFont="1" applyBorder="1" applyAlignment="1">
      <alignment horizontal="center" vertical="center"/>
    </xf>
    <xf numFmtId="4" fontId="17" fillId="0" borderId="8" xfId="0" applyNumberFormat="1" applyFont="1" applyBorder="1" applyAlignment="1">
      <alignment horizontal="center" vertical="center"/>
    </xf>
    <xf numFmtId="2" fontId="30" fillId="0" borderId="19" xfId="0" applyNumberFormat="1" applyFont="1" applyBorder="1"/>
    <xf numFmtId="0" fontId="29" fillId="0" borderId="17" xfId="0" applyFont="1" applyBorder="1" applyAlignment="1">
      <alignment horizontal="center"/>
    </xf>
    <xf numFmtId="0" fontId="31" fillId="0" borderId="8" xfId="0" applyFont="1" applyBorder="1" applyAlignment="1">
      <alignment vertical="center"/>
    </xf>
    <xf numFmtId="0" fontId="32" fillId="0" borderId="8" xfId="0" applyFont="1" applyBorder="1" applyAlignment="1">
      <alignment horizontal="left" vertical="center"/>
    </xf>
    <xf numFmtId="0" fontId="33" fillId="0" borderId="8" xfId="0" applyFont="1" applyBorder="1" applyAlignment="1">
      <alignment horizontal="center" vertical="center"/>
    </xf>
    <xf numFmtId="2" fontId="32" fillId="0" borderId="8" xfId="0" applyNumberFormat="1" applyFont="1" applyBorder="1" applyAlignment="1">
      <alignment horizontal="center" vertical="center"/>
    </xf>
    <xf numFmtId="2" fontId="17" fillId="0" borderId="8" xfId="0" applyNumberFormat="1" applyFont="1" applyBorder="1" applyAlignment="1">
      <alignment horizontal="center" vertical="center"/>
    </xf>
    <xf numFmtId="2" fontId="34" fillId="0" borderId="18" xfId="0" applyNumberFormat="1" applyFont="1" applyBorder="1"/>
    <xf numFmtId="2" fontId="34" fillId="0" borderId="19" xfId="0" applyNumberFormat="1" applyFont="1" applyBorder="1"/>
    <xf numFmtId="2" fontId="35" fillId="0" borderId="17" xfId="0" applyNumberFormat="1" applyFont="1" applyBorder="1" applyAlignment="1">
      <alignment horizontal="center"/>
    </xf>
    <xf numFmtId="0" fontId="29" fillId="0" borderId="8" xfId="0" applyFont="1" applyBorder="1" applyAlignment="1">
      <alignment vertical="center" wrapText="1"/>
    </xf>
    <xf numFmtId="0" fontId="36" fillId="0" borderId="8" xfId="0" applyFont="1" applyBorder="1" applyAlignment="1">
      <alignment horizontal="center" vertical="center" wrapText="1"/>
    </xf>
    <xf numFmtId="0" fontId="29" fillId="0" borderId="17" xfId="0" applyFont="1" applyBorder="1"/>
    <xf numFmtId="4" fontId="17" fillId="0" borderId="17" xfId="0" applyNumberFormat="1" applyFont="1" applyBorder="1" applyAlignment="1">
      <alignment horizontal="center" vertical="center"/>
    </xf>
    <xf numFmtId="0" fontId="17" fillId="0" borderId="20" xfId="0" applyFont="1" applyBorder="1" applyAlignment="1">
      <alignment vertical="center" wrapText="1"/>
    </xf>
    <xf numFmtId="0" fontId="26" fillId="0" borderId="20" xfId="0" applyFont="1" applyBorder="1" applyAlignment="1">
      <alignment horizontal="center" vertical="center" wrapText="1"/>
    </xf>
    <xf numFmtId="166" fontId="17" fillId="0" borderId="20" xfId="0" applyNumberFormat="1" applyFont="1" applyBorder="1" applyAlignment="1">
      <alignment horizontal="center" vertical="center"/>
    </xf>
    <xf numFmtId="2" fontId="27" fillId="0" borderId="21" xfId="0" applyNumberFormat="1" applyFont="1" applyBorder="1"/>
    <xf numFmtId="2" fontId="27" fillId="0" borderId="22" xfId="0" applyNumberFormat="1" applyFont="1" applyBorder="1"/>
    <xf numFmtId="0" fontId="17" fillId="0" borderId="20" xfId="0" applyFont="1" applyBorder="1" applyAlignment="1">
      <alignment vertical="center"/>
    </xf>
    <xf numFmtId="2" fontId="27" fillId="0" borderId="22" xfId="0" applyNumberFormat="1" applyFont="1" applyBorder="1" applyAlignment="1">
      <alignment horizontal="center"/>
    </xf>
    <xf numFmtId="2" fontId="27" fillId="0" borderId="20" xfId="0" applyNumberFormat="1" applyFont="1" applyBorder="1"/>
    <xf numFmtId="2" fontId="27" fillId="0" borderId="23" xfId="0" applyNumberFormat="1" applyFont="1" applyBorder="1"/>
    <xf numFmtId="2" fontId="27" fillId="0" borderId="23" xfId="0" applyNumberFormat="1" applyFont="1" applyBorder="1" applyAlignment="1">
      <alignment horizontal="center"/>
    </xf>
    <xf numFmtId="0" fontId="17" fillId="0" borderId="8" xfId="0" applyFont="1" applyBorder="1" applyAlignment="1">
      <alignment horizontal="right" vertical="center"/>
    </xf>
    <xf numFmtId="166" fontId="27" fillId="0" borderId="8" xfId="0" applyNumberFormat="1" applyFont="1" applyBorder="1"/>
    <xf numFmtId="166" fontId="27" fillId="0" borderId="8" xfId="0" applyNumberFormat="1" applyFont="1" applyBorder="1" applyAlignment="1">
      <alignment horizontal="center"/>
    </xf>
    <xf numFmtId="0" fontId="29" fillId="0" borderId="20" xfId="0" applyFont="1" applyBorder="1" applyAlignment="1">
      <alignment vertical="center"/>
    </xf>
    <xf numFmtId="0" fontId="17" fillId="0" borderId="20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right" vertical="center"/>
    </xf>
    <xf numFmtId="0" fontId="26" fillId="0" borderId="20" xfId="0" applyFont="1" applyBorder="1" applyAlignment="1">
      <alignment horizontal="center" vertical="center"/>
    </xf>
    <xf numFmtId="166" fontId="27" fillId="0" borderId="20" xfId="0" applyNumberFormat="1" applyFont="1" applyBorder="1"/>
    <xf numFmtId="166" fontId="27" fillId="0" borderId="20" xfId="0" applyNumberFormat="1" applyFont="1" applyBorder="1" applyAlignment="1">
      <alignment horizontal="center"/>
    </xf>
    <xf numFmtId="0" fontId="17" fillId="0" borderId="8" xfId="0" applyFont="1" applyBorder="1" applyAlignment="1">
      <alignment horizontal="left" vertical="center" wrapText="1"/>
    </xf>
    <xf numFmtId="0" fontId="29" fillId="0" borderId="24" xfId="0" applyFont="1" applyBorder="1" applyAlignment="1">
      <alignment vertical="center"/>
    </xf>
    <xf numFmtId="0" fontId="17" fillId="0" borderId="24" xfId="0" applyFont="1" applyBorder="1" applyAlignment="1">
      <alignment horizontal="left" vertical="center" wrapText="1"/>
    </xf>
    <xf numFmtId="0" fontId="17" fillId="0" borderId="24" xfId="0" applyFont="1" applyBorder="1" applyAlignment="1">
      <alignment horizontal="right" vertical="center"/>
    </xf>
    <xf numFmtId="0" fontId="26" fillId="0" borderId="24" xfId="0" applyFont="1" applyBorder="1" applyAlignment="1">
      <alignment horizontal="center" vertical="center"/>
    </xf>
    <xf numFmtId="166" fontId="17" fillId="0" borderId="24" xfId="0" applyNumberFormat="1" applyFont="1" applyBorder="1" applyAlignment="1">
      <alignment horizontal="center" vertical="center"/>
    </xf>
    <xf numFmtId="166" fontId="27" fillId="0" borderId="24" xfId="0" applyNumberFormat="1" applyFont="1" applyBorder="1"/>
    <xf numFmtId="166" fontId="27" fillId="0" borderId="24" xfId="0" applyNumberFormat="1" applyFont="1" applyBorder="1" applyAlignment="1">
      <alignment horizontal="center"/>
    </xf>
    <xf numFmtId="0" fontId="37" fillId="0" borderId="0" xfId="0" applyFont="1" applyAlignment="1">
      <alignment horizontal="right" vertical="center"/>
    </xf>
    <xf numFmtId="0" fontId="37" fillId="0" borderId="0" xfId="0" applyFont="1" applyAlignment="1">
      <alignment horizontal="center" vertical="center"/>
    </xf>
    <xf numFmtId="166" fontId="37" fillId="0" borderId="0" xfId="0" applyNumberFormat="1" applyFont="1"/>
    <xf numFmtId="0" fontId="38" fillId="8" borderId="8" xfId="0" applyFont="1" applyFill="1" applyBorder="1" applyAlignment="1">
      <alignment horizontal="center" vertical="center" wrapText="1"/>
    </xf>
    <xf numFmtId="16" fontId="0" fillId="0" borderId="0" xfId="0" applyNumberFormat="1"/>
    <xf numFmtId="16" fontId="9" fillId="4" borderId="0" xfId="0" applyNumberFormat="1" applyFont="1" applyFill="1"/>
    <xf numFmtId="16" fontId="9" fillId="3" borderId="0" xfId="0" applyNumberFormat="1" applyFont="1" applyFill="1"/>
    <xf numFmtId="0" fontId="9" fillId="4" borderId="0" xfId="0" applyFont="1" applyFill="1"/>
    <xf numFmtId="0" fontId="8" fillId="4" borderId="2" xfId="0" applyFont="1" applyFill="1" applyBorder="1"/>
    <xf numFmtId="0" fontId="5" fillId="4" borderId="0" xfId="0" applyFont="1" applyFill="1"/>
    <xf numFmtId="0" fontId="9" fillId="3" borderId="0" xfId="0" applyFont="1" applyFill="1"/>
    <xf numFmtId="0" fontId="8" fillId="3" borderId="2" xfId="0" applyFont="1" applyFill="1" applyBorder="1"/>
    <xf numFmtId="0" fontId="5" fillId="3" borderId="0" xfId="0" applyFont="1" applyFill="1"/>
    <xf numFmtId="0" fontId="9" fillId="4" borderId="0" xfId="0" applyFont="1" applyFill="1" applyAlignment="1">
      <alignment wrapText="1"/>
    </xf>
    <xf numFmtId="0" fontId="3" fillId="0" borderId="0" xfId="0" applyFont="1"/>
    <xf numFmtId="0" fontId="39" fillId="0" borderId="0" xfId="0" applyFont="1" applyAlignment="1">
      <alignment horizontal="left" vertical="center"/>
    </xf>
    <xf numFmtId="16" fontId="0" fillId="15" borderId="0" xfId="0" applyNumberFormat="1" applyFill="1"/>
    <xf numFmtId="0" fontId="5" fillId="15" borderId="0" xfId="0" applyFont="1" applyFill="1" applyAlignment="1">
      <alignment horizontal="left"/>
    </xf>
    <xf numFmtId="16" fontId="5" fillId="13" borderId="25" xfId="0" applyNumberFormat="1" applyFont="1" applyFill="1" applyBorder="1"/>
    <xf numFmtId="0" fontId="8" fillId="13" borderId="25" xfId="0" applyFont="1" applyFill="1" applyBorder="1"/>
    <xf numFmtId="0" fontId="5" fillId="13" borderId="25" xfId="0" applyFont="1" applyFill="1" applyBorder="1" applyAlignment="1">
      <alignment horizontal="left"/>
    </xf>
    <xf numFmtId="16" fontId="5" fillId="14" borderId="25" xfId="0" applyNumberFormat="1" applyFont="1" applyFill="1" applyBorder="1"/>
    <xf numFmtId="0" fontId="8" fillId="14" borderId="25" xfId="0" applyFont="1" applyFill="1" applyBorder="1"/>
    <xf numFmtId="0" fontId="5" fillId="14" borderId="25" xfId="0" applyFont="1" applyFill="1" applyBorder="1" applyAlignment="1">
      <alignment horizontal="left"/>
    </xf>
    <xf numFmtId="0" fontId="3" fillId="14" borderId="25" xfId="0" applyFont="1" applyFill="1" applyBorder="1"/>
    <xf numFmtId="165" fontId="5" fillId="13" borderId="25" xfId="0" applyNumberFormat="1" applyFont="1" applyFill="1" applyBorder="1"/>
    <xf numFmtId="0" fontId="9" fillId="14" borderId="25" xfId="0" applyFont="1" applyFill="1" applyBorder="1"/>
    <xf numFmtId="0" fontId="9" fillId="14" borderId="25" xfId="0" applyFont="1" applyFill="1" applyBorder="1" applyAlignment="1">
      <alignment horizontal="left"/>
    </xf>
    <xf numFmtId="0" fontId="3" fillId="13" borderId="25" xfId="0" applyFont="1" applyFill="1" applyBorder="1"/>
    <xf numFmtId="0" fontId="0" fillId="13" borderId="25" xfId="0" applyFill="1" applyBorder="1"/>
    <xf numFmtId="0" fontId="0" fillId="14" borderId="25" xfId="0" applyFill="1" applyBorder="1"/>
    <xf numFmtId="0" fontId="0" fillId="15" borderId="25" xfId="0" applyFill="1" applyBorder="1"/>
    <xf numFmtId="16" fontId="0" fillId="15" borderId="25" xfId="0" applyNumberFormat="1" applyFill="1" applyBorder="1"/>
    <xf numFmtId="0" fontId="5" fillId="15" borderId="25" xfId="0" applyFont="1" applyFill="1" applyBorder="1" applyAlignment="1">
      <alignment horizontal="left"/>
    </xf>
    <xf numFmtId="0" fontId="0" fillId="15" borderId="26" xfId="0" applyFill="1" applyBorder="1"/>
    <xf numFmtId="0" fontId="3" fillId="15" borderId="26" xfId="0" applyFont="1" applyFill="1" applyBorder="1"/>
    <xf numFmtId="16" fontId="0" fillId="0" borderId="1" xfId="0" applyNumberFormat="1" applyBorder="1"/>
    <xf numFmtId="16" fontId="5" fillId="4" borderId="3" xfId="0" applyNumberFormat="1" applyFont="1" applyFill="1" applyBorder="1"/>
    <xf numFmtId="0" fontId="0" fillId="0" borderId="2" xfId="0" applyBorder="1"/>
    <xf numFmtId="0" fontId="8" fillId="4" borderId="4" xfId="0" applyFont="1" applyFill="1" applyBorder="1"/>
    <xf numFmtId="0" fontId="2" fillId="14" borderId="25" xfId="0" applyFont="1" applyFill="1" applyBorder="1"/>
    <xf numFmtId="0" fontId="2" fillId="13" borderId="25" xfId="0" applyFont="1" applyFill="1" applyBorder="1"/>
    <xf numFmtId="0" fontId="2" fillId="0" borderId="0" xfId="0" applyFont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pivotButton="1" applyBorder="1"/>
    <xf numFmtId="0" fontId="0" fillId="0" borderId="31" xfId="0" applyBorder="1"/>
    <xf numFmtId="0" fontId="0" fillId="0" borderId="27" xfId="0" pivotButton="1" applyBorder="1"/>
    <xf numFmtId="0" fontId="0" fillId="0" borderId="35" xfId="0" applyBorder="1"/>
    <xf numFmtId="0" fontId="0" fillId="0" borderId="27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7" xfId="0" applyBorder="1"/>
    <xf numFmtId="0" fontId="0" fillId="0" borderId="36" xfId="0" applyBorder="1"/>
    <xf numFmtId="14" fontId="0" fillId="0" borderId="27" xfId="0" applyNumberFormat="1" applyBorder="1"/>
    <xf numFmtId="14" fontId="0" fillId="0" borderId="34" xfId="0" applyNumberFormat="1" applyBorder="1"/>
    <xf numFmtId="0" fontId="0" fillId="0" borderId="28" xfId="0" pivotButton="1" applyBorder="1"/>
    <xf numFmtId="166" fontId="40" fillId="0" borderId="0" xfId="1" applyNumberFormat="1" applyFont="1" applyAlignment="1">
      <alignment vertical="center" wrapText="1"/>
    </xf>
    <xf numFmtId="0" fontId="40" fillId="0" borderId="0" xfId="1" applyFont="1" applyAlignment="1">
      <alignment vertical="center" wrapText="1"/>
    </xf>
    <xf numFmtId="0" fontId="16" fillId="0" borderId="0" xfId="1" applyFont="1" applyAlignment="1">
      <alignment horizontal="center" vertical="center" wrapText="1"/>
    </xf>
    <xf numFmtId="44" fontId="16" fillId="0" borderId="0" xfId="2" applyFont="1" applyAlignment="1">
      <alignment horizontal="center" vertical="center" wrapText="1"/>
    </xf>
    <xf numFmtId="0" fontId="17" fillId="0" borderId="0" xfId="1" applyFont="1" applyAlignment="1">
      <alignment vertical="center" wrapText="1"/>
    </xf>
    <xf numFmtId="4" fontId="17" fillId="0" borderId="0" xfId="1" applyNumberFormat="1" applyFont="1" applyAlignment="1">
      <alignment vertical="center" wrapText="1"/>
    </xf>
    <xf numFmtId="0" fontId="1" fillId="0" borderId="0" xfId="1" applyAlignment="1">
      <alignment vertical="center" wrapText="1"/>
    </xf>
    <xf numFmtId="44" fontId="0" fillId="0" borderId="0" xfId="2" applyFont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wrapText="1"/>
    </xf>
    <xf numFmtId="0" fontId="41" fillId="0" borderId="38" xfId="1" applyFont="1" applyBorder="1" applyAlignment="1">
      <alignment horizontal="center" wrapText="1"/>
    </xf>
    <xf numFmtId="0" fontId="42" fillId="16" borderId="25" xfId="1" applyFont="1" applyFill="1" applyBorder="1" applyAlignment="1">
      <alignment horizontal="center" vertical="center" wrapText="1"/>
    </xf>
    <xf numFmtId="44" fontId="42" fillId="16" borderId="25" xfId="2" applyFont="1" applyFill="1" applyBorder="1" applyAlignment="1">
      <alignment horizontal="center" vertical="center" wrapText="1"/>
    </xf>
    <xf numFmtId="0" fontId="43" fillId="0" borderId="0" xfId="1" applyFont="1" applyAlignment="1">
      <alignment vertical="center" wrapText="1"/>
    </xf>
    <xf numFmtId="4" fontId="44" fillId="17" borderId="25" xfId="1" applyNumberFormat="1" applyFont="1" applyFill="1" applyBorder="1" applyAlignment="1">
      <alignment horizontal="center" vertical="center" wrapText="1"/>
    </xf>
    <xf numFmtId="0" fontId="44" fillId="18" borderId="25" xfId="1" applyFont="1" applyFill="1" applyBorder="1" applyAlignment="1">
      <alignment horizontal="center" vertical="center" wrapText="1"/>
    </xf>
    <xf numFmtId="0" fontId="45" fillId="0" borderId="25" xfId="1" applyFont="1" applyBorder="1" applyAlignment="1">
      <alignment vertical="center" wrapText="1"/>
    </xf>
    <xf numFmtId="44" fontId="45" fillId="0" borderId="25" xfId="2" applyFont="1" applyBorder="1" applyAlignment="1">
      <alignment vertical="center" wrapText="1"/>
    </xf>
    <xf numFmtId="0" fontId="45" fillId="0" borderId="25" xfId="1" applyFont="1" applyBorder="1" applyAlignment="1">
      <alignment horizontal="center" vertical="center" wrapText="1"/>
    </xf>
    <xf numFmtId="2" fontId="45" fillId="0" borderId="25" xfId="1" applyNumberFormat="1" applyFont="1" applyBorder="1" applyAlignment="1">
      <alignment horizontal="center" vertical="center" wrapText="1"/>
    </xf>
    <xf numFmtId="2" fontId="46" fillId="0" borderId="25" xfId="1" applyNumberFormat="1" applyFont="1" applyBorder="1" applyAlignment="1">
      <alignment wrapText="1"/>
    </xf>
    <xf numFmtId="2" fontId="46" fillId="0" borderId="39" xfId="1" applyNumberFormat="1" applyFont="1" applyBorder="1" applyAlignment="1">
      <alignment wrapText="1"/>
    </xf>
    <xf numFmtId="167" fontId="46" fillId="0" borderId="39" xfId="1" applyNumberFormat="1" applyFont="1" applyBorder="1" applyAlignment="1">
      <alignment horizontal="center" wrapText="1"/>
    </xf>
    <xf numFmtId="167" fontId="47" fillId="0" borderId="40" xfId="1" applyNumberFormat="1" applyFont="1" applyBorder="1" applyAlignment="1">
      <alignment horizontal="center" vertical="center" wrapText="1"/>
    </xf>
    <xf numFmtId="167" fontId="47" fillId="0" borderId="25" xfId="1" applyNumberFormat="1" applyFont="1" applyBorder="1" applyAlignment="1">
      <alignment horizontal="center" vertical="center" wrapText="1"/>
    </xf>
    <xf numFmtId="166" fontId="45" fillId="0" borderId="0" xfId="1" applyNumberFormat="1" applyFont="1" applyAlignment="1">
      <alignment horizontal="center" vertical="center" wrapText="1"/>
    </xf>
    <xf numFmtId="166" fontId="45" fillId="0" borderId="25" xfId="1" applyNumberFormat="1" applyFont="1" applyBorder="1" applyAlignment="1">
      <alignment horizontal="center" vertical="center" wrapText="1"/>
    </xf>
    <xf numFmtId="44" fontId="45" fillId="0" borderId="25" xfId="2" applyFont="1" applyBorder="1" applyAlignment="1">
      <alignment vertical="center"/>
    </xf>
    <xf numFmtId="44" fontId="45" fillId="0" borderId="25" xfId="2" applyFont="1" applyFill="1" applyBorder="1" applyAlignment="1">
      <alignment vertical="center"/>
    </xf>
    <xf numFmtId="166" fontId="40" fillId="0" borderId="0" xfId="1" applyNumberFormat="1" applyFont="1" applyAlignment="1">
      <alignment horizontal="center" vertical="center" wrapText="1"/>
    </xf>
    <xf numFmtId="2" fontId="47" fillId="0" borderId="25" xfId="1" applyNumberFormat="1" applyFont="1" applyBorder="1" applyAlignment="1">
      <alignment horizontal="center" vertical="center" wrapText="1"/>
    </xf>
    <xf numFmtId="166" fontId="47" fillId="0" borderId="25" xfId="1" applyNumberFormat="1" applyFont="1" applyBorder="1" applyAlignment="1">
      <alignment horizontal="center" vertical="center" wrapText="1"/>
    </xf>
    <xf numFmtId="0" fontId="45" fillId="0" borderId="0" xfId="1" applyFont="1" applyAlignment="1">
      <alignment vertical="center" wrapText="1"/>
    </xf>
    <xf numFmtId="0" fontId="47" fillId="0" borderId="0" xfId="1" applyFont="1" applyAlignment="1">
      <alignment vertical="center" wrapText="1"/>
    </xf>
    <xf numFmtId="2" fontId="45" fillId="0" borderId="25" xfId="1" quotePrefix="1" applyNumberFormat="1" applyFont="1" applyBorder="1" applyAlignment="1">
      <alignment horizontal="center" vertical="center" wrapText="1"/>
    </xf>
    <xf numFmtId="0" fontId="47" fillId="0" borderId="25" xfId="1" applyFont="1" applyBorder="1" applyAlignment="1">
      <alignment vertical="center" wrapText="1"/>
    </xf>
    <xf numFmtId="44" fontId="47" fillId="0" borderId="25" xfId="2" applyFont="1" applyBorder="1" applyAlignment="1">
      <alignment horizontal="left" vertical="center" wrapText="1"/>
    </xf>
    <xf numFmtId="0" fontId="47" fillId="0" borderId="25" xfId="1" applyFont="1" applyBorder="1" applyAlignment="1">
      <alignment horizontal="center" vertical="center" wrapText="1"/>
    </xf>
    <xf numFmtId="4" fontId="47" fillId="0" borderId="25" xfId="1" applyNumberFormat="1" applyFont="1" applyBorder="1" applyAlignment="1">
      <alignment horizontal="center" vertical="center" wrapText="1"/>
    </xf>
    <xf numFmtId="0" fontId="48" fillId="0" borderId="25" xfId="1" applyFont="1" applyBorder="1" applyAlignment="1">
      <alignment vertical="center" wrapText="1"/>
    </xf>
    <xf numFmtId="44" fontId="48" fillId="0" borderId="25" xfId="2" applyFont="1" applyBorder="1" applyAlignment="1">
      <alignment horizontal="left" vertical="center" wrapText="1"/>
    </xf>
    <xf numFmtId="0" fontId="48" fillId="0" borderId="25" xfId="1" applyFont="1" applyBorder="1" applyAlignment="1">
      <alignment horizontal="center" vertical="center" wrapText="1"/>
    </xf>
    <xf numFmtId="2" fontId="48" fillId="0" borderId="25" xfId="1" applyNumberFormat="1" applyFont="1" applyBorder="1" applyAlignment="1">
      <alignment horizontal="center" vertical="center" wrapText="1"/>
    </xf>
    <xf numFmtId="0" fontId="45" fillId="0" borderId="41" xfId="1" applyFont="1" applyBorder="1" applyAlignment="1">
      <alignment vertical="center" wrapText="1"/>
    </xf>
    <xf numFmtId="44" fontId="45" fillId="0" borderId="41" xfId="2" applyFont="1" applyBorder="1" applyAlignment="1">
      <alignment vertical="center" wrapText="1"/>
    </xf>
    <xf numFmtId="0" fontId="45" fillId="0" borderId="41" xfId="1" applyFont="1" applyBorder="1" applyAlignment="1">
      <alignment horizontal="center" vertical="center" wrapText="1"/>
    </xf>
    <xf numFmtId="2" fontId="45" fillId="0" borderId="41" xfId="1" applyNumberFormat="1" applyFont="1" applyBorder="1" applyAlignment="1">
      <alignment horizontal="center" vertical="center" wrapText="1"/>
    </xf>
    <xf numFmtId="0" fontId="49" fillId="0" borderId="0" xfId="1" applyFont="1" applyAlignment="1">
      <alignment vertical="center" wrapText="1"/>
    </xf>
    <xf numFmtId="2" fontId="46" fillId="0" borderId="42" xfId="1" applyNumberFormat="1" applyFont="1" applyBorder="1" applyAlignment="1">
      <alignment wrapText="1"/>
    </xf>
    <xf numFmtId="0" fontId="45" fillId="0" borderId="25" xfId="1" applyFont="1" applyBorder="1" applyAlignment="1">
      <alignment vertical="center"/>
    </xf>
    <xf numFmtId="2" fontId="50" fillId="0" borderId="43" xfId="1" applyNumberFormat="1" applyFont="1" applyBorder="1" applyAlignment="1">
      <alignment wrapText="1"/>
    </xf>
    <xf numFmtId="44" fontId="50" fillId="19" borderId="44" xfId="2" applyFont="1" applyFill="1" applyBorder="1" applyAlignment="1">
      <alignment horizontal="center" vertical="center"/>
    </xf>
    <xf numFmtId="166" fontId="17" fillId="0" borderId="0" xfId="1" applyNumberFormat="1" applyFont="1" applyAlignment="1">
      <alignment horizontal="center" vertical="center" wrapText="1"/>
    </xf>
    <xf numFmtId="2" fontId="1" fillId="0" borderId="0" xfId="1" applyNumberFormat="1" applyAlignment="1">
      <alignment wrapText="1"/>
    </xf>
    <xf numFmtId="0" fontId="1" fillId="0" borderId="0" xfId="1" applyAlignment="1">
      <alignment vertical="center"/>
    </xf>
    <xf numFmtId="44" fontId="0" fillId="0" borderId="0" xfId="2" applyFont="1" applyAlignment="1">
      <alignment wrapText="1"/>
    </xf>
    <xf numFmtId="0" fontId="1" fillId="0" borderId="0" xfId="1"/>
    <xf numFmtId="44" fontId="51" fillId="0" borderId="0" xfId="2" applyFont="1" applyAlignment="1">
      <alignment horizontal="center" vertical="center" wrapText="1"/>
    </xf>
    <xf numFmtId="0" fontId="51" fillId="0" borderId="0" xfId="1" applyFont="1" applyAlignment="1">
      <alignment horizontal="center" vertical="center"/>
    </xf>
    <xf numFmtId="8" fontId="1" fillId="0" borderId="0" xfId="1" applyNumberFormat="1"/>
    <xf numFmtId="44" fontId="1" fillId="0" borderId="0" xfId="1" applyNumberFormat="1"/>
    <xf numFmtId="0" fontId="53" fillId="0" borderId="0" xfId="3" applyFont="1" applyAlignment="1">
      <alignment horizontal="center" vertical="center"/>
    </xf>
    <xf numFmtId="0" fontId="54" fillId="0" borderId="0" xfId="4" applyFont="1" applyAlignment="1">
      <alignment vertical="center" wrapText="1"/>
    </xf>
    <xf numFmtId="0" fontId="1" fillId="0" borderId="0" xfId="1" applyAlignment="1">
      <alignment horizontal="left"/>
    </xf>
    <xf numFmtId="0" fontId="55" fillId="0" borderId="0" xfId="1" applyFont="1" applyAlignment="1">
      <alignment horizontal="left"/>
    </xf>
    <xf numFmtId="168" fontId="1" fillId="0" borderId="0" xfId="1" applyNumberFormat="1"/>
    <xf numFmtId="2" fontId="46" fillId="20" borderId="25" xfId="1" applyNumberFormat="1" applyFont="1" applyFill="1" applyBorder="1" applyAlignment="1">
      <alignment wrapText="1"/>
    </xf>
    <xf numFmtId="0" fontId="56" fillId="20" borderId="25" xfId="0" applyFont="1" applyFill="1" applyBorder="1" applyAlignment="1">
      <alignment vertical="center" wrapText="1"/>
    </xf>
    <xf numFmtId="0" fontId="56" fillId="21" borderId="25" xfId="0" applyFont="1" applyFill="1" applyBorder="1" applyAlignment="1">
      <alignment vertical="center" wrapText="1"/>
    </xf>
    <xf numFmtId="0" fontId="56" fillId="20" borderId="40" xfId="0" applyFont="1" applyFill="1" applyBorder="1" applyAlignment="1">
      <alignment vertical="center" wrapText="1"/>
    </xf>
    <xf numFmtId="0" fontId="56" fillId="0" borderId="40" xfId="0" applyFont="1" applyBorder="1" applyAlignment="1">
      <alignment vertical="center" wrapText="1"/>
    </xf>
    <xf numFmtId="0" fontId="56" fillId="22" borderId="40" xfId="0" applyFont="1" applyFill="1" applyBorder="1" applyAlignment="1">
      <alignment vertical="center" wrapText="1"/>
    </xf>
    <xf numFmtId="0" fontId="56" fillId="21" borderId="40" xfId="0" applyFont="1" applyFill="1" applyBorder="1" applyAlignment="1">
      <alignment vertical="center" wrapText="1"/>
    </xf>
    <xf numFmtId="0" fontId="56" fillId="23" borderId="40" xfId="0" applyFont="1" applyFill="1" applyBorder="1" applyAlignment="1">
      <alignment vertical="center" wrapText="1"/>
    </xf>
    <xf numFmtId="0" fontId="17" fillId="0" borderId="40" xfId="0" applyFont="1" applyBorder="1" applyAlignment="1">
      <alignment horizontal="left" vertical="center" wrapText="1"/>
    </xf>
    <xf numFmtId="0" fontId="32" fillId="0" borderId="40" xfId="0" applyFont="1" applyBorder="1" applyAlignment="1">
      <alignment horizontal="left" vertical="center" wrapText="1"/>
    </xf>
    <xf numFmtId="0" fontId="56" fillId="20" borderId="46" xfId="0" applyFont="1" applyFill="1" applyBorder="1" applyAlignment="1">
      <alignment vertical="center" wrapText="1"/>
    </xf>
    <xf numFmtId="0" fontId="56" fillId="0" borderId="46" xfId="0" applyFont="1" applyBorder="1" applyAlignment="1">
      <alignment vertical="center" wrapText="1"/>
    </xf>
    <xf numFmtId="0" fontId="57" fillId="0" borderId="46" xfId="0" applyFont="1" applyBorder="1" applyAlignment="1">
      <alignment vertical="center" wrapText="1"/>
    </xf>
    <xf numFmtId="2" fontId="47" fillId="0" borderId="41" xfId="1" applyNumberFormat="1" applyFont="1" applyBorder="1" applyAlignment="1">
      <alignment horizontal="center" vertical="center" wrapText="1"/>
    </xf>
    <xf numFmtId="4" fontId="47" fillId="0" borderId="41" xfId="1" applyNumberFormat="1" applyFont="1" applyBorder="1" applyAlignment="1">
      <alignment horizontal="center" vertical="center" wrapText="1"/>
    </xf>
    <xf numFmtId="44" fontId="45" fillId="0" borderId="45" xfId="2" applyFont="1" applyBorder="1" applyAlignment="1">
      <alignment vertical="center"/>
    </xf>
    <xf numFmtId="44" fontId="45" fillId="0" borderId="45" xfId="2" applyFont="1" applyFill="1" applyBorder="1" applyAlignment="1">
      <alignment vertical="center"/>
    </xf>
    <xf numFmtId="44" fontId="47" fillId="0" borderId="25" xfId="2" applyFont="1" applyBorder="1" applyAlignment="1">
      <alignment horizontal="right" vertical="center" wrapText="1"/>
    </xf>
    <xf numFmtId="0" fontId="56" fillId="0" borderId="25" xfId="0" applyFont="1" applyBorder="1" applyAlignment="1">
      <alignment vertical="center" wrapText="1"/>
    </xf>
    <xf numFmtId="2" fontId="46" fillId="0" borderId="39" xfId="1" applyNumberFormat="1" applyFont="1" applyBorder="1" applyAlignment="1">
      <alignment horizontal="center" wrapText="1"/>
    </xf>
    <xf numFmtId="4" fontId="4" fillId="0" borderId="0" xfId="1" applyNumberFormat="1" applyFont="1" applyAlignment="1">
      <alignment horizontal="center" vertical="center" wrapText="1"/>
    </xf>
    <xf numFmtId="4" fontId="41" fillId="0" borderId="38" xfId="1" applyNumberFormat="1" applyFont="1" applyBorder="1" applyAlignment="1">
      <alignment horizontal="center" wrapText="1"/>
    </xf>
    <xf numFmtId="4" fontId="42" fillId="16" borderId="25" xfId="1" applyNumberFormat="1" applyFont="1" applyFill="1" applyBorder="1" applyAlignment="1">
      <alignment horizontal="center" vertical="center" wrapText="1"/>
    </xf>
    <xf numFmtId="4" fontId="1" fillId="0" borderId="0" xfId="1" applyNumberFormat="1" applyAlignment="1">
      <alignment wrapText="1"/>
    </xf>
    <xf numFmtId="4" fontId="54" fillId="0" borderId="0" xfId="4" applyNumberFormat="1" applyFont="1" applyAlignment="1">
      <alignment horizontal="center" vertical="center" wrapText="1"/>
    </xf>
    <xf numFmtId="4" fontId="54" fillId="0" borderId="0" xfId="4" applyNumberFormat="1" applyFont="1" applyAlignment="1">
      <alignment horizontal="center" wrapText="1"/>
    </xf>
    <xf numFmtId="4" fontId="54" fillId="0" borderId="0" xfId="3" applyNumberFormat="1" applyFont="1" applyAlignment="1">
      <alignment horizontal="center" vertical="top" wrapText="1"/>
    </xf>
    <xf numFmtId="4" fontId="47" fillId="0" borderId="40" xfId="1" applyNumberFormat="1" applyFont="1" applyBorder="1" applyAlignment="1">
      <alignment horizontal="center" vertical="center" wrapText="1"/>
    </xf>
    <xf numFmtId="4" fontId="1" fillId="0" borderId="0" xfId="1" applyNumberFormat="1"/>
    <xf numFmtId="4" fontId="47" fillId="24" borderId="25" xfId="1" applyNumberFormat="1" applyFont="1" applyFill="1" applyBorder="1" applyAlignment="1">
      <alignment horizontal="center" vertical="center" wrapText="1"/>
    </xf>
    <xf numFmtId="0" fontId="45" fillId="0" borderId="20" xfId="1" applyFont="1" applyBorder="1" applyAlignment="1">
      <alignment vertical="center" wrapText="1"/>
    </xf>
    <xf numFmtId="44" fontId="45" fillId="0" borderId="20" xfId="2" applyFont="1" applyBorder="1" applyAlignment="1">
      <alignment vertical="center" wrapText="1"/>
    </xf>
    <xf numFmtId="0" fontId="45" fillId="0" borderId="20" xfId="1" applyFont="1" applyBorder="1" applyAlignment="1">
      <alignment horizontal="center" vertical="center" wrapText="1"/>
    </xf>
    <xf numFmtId="2" fontId="45" fillId="0" borderId="20" xfId="1" applyNumberFormat="1" applyFont="1" applyBorder="1" applyAlignment="1">
      <alignment horizontal="center" vertical="center" wrapText="1"/>
    </xf>
    <xf numFmtId="167" fontId="47" fillId="0" borderId="46" xfId="1" applyNumberFormat="1" applyFont="1" applyBorder="1" applyAlignment="1">
      <alignment horizontal="center" vertical="center" wrapText="1"/>
    </xf>
    <xf numFmtId="4" fontId="47" fillId="0" borderId="46" xfId="1" applyNumberFormat="1" applyFont="1" applyBorder="1" applyAlignment="1">
      <alignment horizontal="center" vertical="center" wrapText="1"/>
    </xf>
    <xf numFmtId="0" fontId="50" fillId="0" borderId="47" xfId="1" applyFont="1" applyBorder="1" applyAlignment="1">
      <alignment horizontal="right" vertical="center" wrapText="1"/>
    </xf>
    <xf numFmtId="44" fontId="50" fillId="0" borderId="47" xfId="2" applyFont="1" applyBorder="1" applyAlignment="1">
      <alignment horizontal="right" vertical="center" wrapText="1"/>
    </xf>
    <xf numFmtId="0" fontId="50" fillId="0" borderId="47" xfId="1" applyFont="1" applyBorder="1" applyAlignment="1">
      <alignment horizontal="center" vertical="center" wrapText="1"/>
    </xf>
    <xf numFmtId="2" fontId="50" fillId="0" borderId="47" xfId="1" applyNumberFormat="1" applyFont="1" applyBorder="1" applyAlignment="1">
      <alignment wrapText="1"/>
    </xf>
    <xf numFmtId="167" fontId="46" fillId="0" borderId="25" xfId="1" applyNumberFormat="1" applyFont="1" applyBorder="1" applyAlignment="1">
      <alignment horizontal="center" wrapText="1"/>
    </xf>
    <xf numFmtId="0" fontId="56" fillId="22" borderId="25" xfId="0" applyFont="1" applyFill="1" applyBorder="1" applyAlignment="1">
      <alignment vertical="center" wrapText="1"/>
    </xf>
    <xf numFmtId="166" fontId="50" fillId="0" borderId="47" xfId="1" applyNumberFormat="1" applyFont="1" applyBorder="1" applyAlignment="1">
      <alignment wrapText="1"/>
    </xf>
    <xf numFmtId="2" fontId="45" fillId="0" borderId="25" xfId="1" applyNumberFormat="1" applyFont="1" applyBorder="1" applyAlignment="1">
      <alignment wrapText="1"/>
    </xf>
    <xf numFmtId="2" fontId="46" fillId="0" borderId="25" xfId="1" applyNumberFormat="1" applyFont="1" applyBorder="1" applyAlignment="1">
      <alignment horizontal="right" vertical="center" wrapText="1"/>
    </xf>
    <xf numFmtId="166" fontId="46" fillId="0" borderId="25" xfId="1" applyNumberFormat="1" applyFont="1" applyBorder="1" applyAlignment="1">
      <alignment wrapText="1"/>
    </xf>
    <xf numFmtId="2" fontId="27" fillId="20" borderId="19" xfId="0" applyNumberFormat="1" applyFont="1" applyFill="1" applyBorder="1" applyAlignment="1">
      <alignment horizontal="center"/>
    </xf>
    <xf numFmtId="2" fontId="27" fillId="20" borderId="8" xfId="0" applyNumberFormat="1" applyFont="1" applyFill="1" applyBorder="1" applyAlignment="1">
      <alignment horizontal="center"/>
    </xf>
    <xf numFmtId="2" fontId="17" fillId="20" borderId="19" xfId="0" applyNumberFormat="1" applyFont="1" applyFill="1" applyBorder="1" applyAlignment="1">
      <alignment horizontal="center"/>
    </xf>
    <xf numFmtId="166" fontId="27" fillId="20" borderId="24" xfId="0" applyNumberFormat="1" applyFont="1" applyFill="1" applyBorder="1" applyAlignment="1">
      <alignment horizontal="center"/>
    </xf>
    <xf numFmtId="2" fontId="27" fillId="20" borderId="22" xfId="0" applyNumberFormat="1" applyFont="1" applyFill="1" applyBorder="1" applyAlignment="1">
      <alignment horizontal="center"/>
    </xf>
    <xf numFmtId="2" fontId="27" fillId="20" borderId="23" xfId="0" applyNumberFormat="1" applyFont="1" applyFill="1" applyBorder="1" applyAlignment="1">
      <alignment horizontal="center"/>
    </xf>
    <xf numFmtId="166" fontId="27" fillId="20" borderId="20" xfId="0" applyNumberFormat="1" applyFont="1" applyFill="1" applyBorder="1" applyAlignment="1">
      <alignment horizontal="center"/>
    </xf>
    <xf numFmtId="166" fontId="27" fillId="20" borderId="8" xfId="0" applyNumberFormat="1" applyFont="1" applyFill="1" applyBorder="1" applyAlignment="1">
      <alignment horizontal="center"/>
    </xf>
    <xf numFmtId="2" fontId="46" fillId="25" borderId="25" xfId="1" applyNumberFormat="1" applyFont="1" applyFill="1" applyBorder="1" applyAlignment="1">
      <alignment wrapText="1"/>
    </xf>
    <xf numFmtId="2" fontId="46" fillId="25" borderId="39" xfId="1" applyNumberFormat="1" applyFont="1" applyFill="1" applyBorder="1" applyAlignment="1">
      <alignment wrapText="1"/>
    </xf>
    <xf numFmtId="2" fontId="46" fillId="25" borderId="39" xfId="1" applyNumberFormat="1" applyFont="1" applyFill="1" applyBorder="1" applyAlignment="1">
      <alignment horizontal="center" wrapText="1"/>
    </xf>
    <xf numFmtId="2" fontId="46" fillId="25" borderId="41" xfId="1" applyNumberFormat="1" applyFont="1" applyFill="1" applyBorder="1" applyAlignment="1">
      <alignment wrapText="1"/>
    </xf>
    <xf numFmtId="2" fontId="46" fillId="25" borderId="42" xfId="1" applyNumberFormat="1" applyFont="1" applyFill="1" applyBorder="1" applyAlignment="1">
      <alignment horizontal="center" wrapText="1"/>
    </xf>
    <xf numFmtId="2" fontId="46" fillId="25" borderId="25" xfId="1" applyNumberFormat="1" applyFont="1" applyFill="1" applyBorder="1" applyAlignment="1">
      <alignment horizontal="center" wrapText="1"/>
    </xf>
    <xf numFmtId="167" fontId="46" fillId="25" borderId="39" xfId="1" applyNumberFormat="1" applyFont="1" applyFill="1" applyBorder="1" applyAlignment="1">
      <alignment horizontal="center" wrapText="1"/>
    </xf>
    <xf numFmtId="167" fontId="46" fillId="25" borderId="25" xfId="1" applyNumberFormat="1" applyFont="1" applyFill="1" applyBorder="1" applyAlignment="1">
      <alignment horizontal="center" wrapText="1"/>
    </xf>
    <xf numFmtId="2" fontId="40" fillId="0" borderId="0" xfId="1" applyNumberFormat="1" applyFont="1" applyAlignment="1">
      <alignment vertical="center" wrapText="1"/>
    </xf>
    <xf numFmtId="4" fontId="41" fillId="0" borderId="0" xfId="1" applyNumberFormat="1" applyFont="1" applyAlignment="1">
      <alignment horizontal="center" wrapText="1"/>
    </xf>
    <xf numFmtId="4" fontId="49" fillId="0" borderId="0" xfId="2" applyNumberFormat="1" applyFont="1" applyBorder="1" applyAlignment="1">
      <alignment horizontal="center"/>
    </xf>
    <xf numFmtId="44" fontId="45" fillId="0" borderId="25" xfId="2" applyFont="1" applyFill="1" applyBorder="1" applyAlignment="1">
      <alignment vertical="center" wrapText="1"/>
    </xf>
    <xf numFmtId="44" fontId="47" fillId="0" borderId="25" xfId="2" applyFont="1" applyFill="1" applyBorder="1" applyAlignment="1">
      <alignment horizontal="left" vertical="center" wrapText="1"/>
    </xf>
    <xf numFmtId="44" fontId="48" fillId="0" borderId="25" xfId="2" applyFont="1" applyFill="1" applyBorder="1" applyAlignment="1">
      <alignment horizontal="left" vertical="center" wrapText="1"/>
    </xf>
    <xf numFmtId="2" fontId="46" fillId="0" borderId="25" xfId="1" applyNumberFormat="1" applyFont="1" applyBorder="1" applyAlignment="1">
      <alignment horizontal="center" wrapText="1"/>
    </xf>
    <xf numFmtId="44" fontId="47" fillId="0" borderId="25" xfId="2" applyFont="1" applyFill="1" applyBorder="1" applyAlignment="1">
      <alignment horizontal="right" vertical="center" wrapText="1"/>
    </xf>
    <xf numFmtId="4" fontId="47" fillId="0" borderId="45" xfId="1" applyNumberFormat="1" applyFont="1" applyBorder="1" applyAlignment="1">
      <alignment horizontal="center" vertical="center" wrapText="1"/>
    </xf>
    <xf numFmtId="4" fontId="47" fillId="0" borderId="48" xfId="1" applyNumberFormat="1" applyFont="1" applyBorder="1" applyAlignment="1">
      <alignment horizontal="center" vertical="center" wrapText="1"/>
    </xf>
    <xf numFmtId="4" fontId="47" fillId="0" borderId="39" xfId="1" applyNumberFormat="1" applyFont="1" applyBorder="1" applyAlignment="1">
      <alignment horizontal="center" vertical="center" wrapText="1"/>
    </xf>
    <xf numFmtId="0" fontId="17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57" fillId="0" borderId="25" xfId="0" applyFont="1" applyBorder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4" fontId="4" fillId="0" borderId="0" xfId="1" applyNumberFormat="1" applyFont="1" applyAlignment="1">
      <alignment horizontal="center" vertical="center" wrapText="1"/>
    </xf>
    <xf numFmtId="0" fontId="41" fillId="0" borderId="38" xfId="1" applyFont="1" applyBorder="1" applyAlignment="1">
      <alignment horizontal="center" wrapText="1"/>
    </xf>
    <xf numFmtId="4" fontId="41" fillId="0" borderId="38" xfId="1" applyNumberFormat="1" applyFont="1" applyBorder="1" applyAlignment="1">
      <alignment horizontal="center" wrapText="1"/>
    </xf>
    <xf numFmtId="0" fontId="53" fillId="0" borderId="0" xfId="3" applyFont="1" applyAlignment="1">
      <alignment horizontal="center" vertical="center"/>
    </xf>
    <xf numFmtId="0" fontId="54" fillId="0" borderId="0" xfId="4" applyFont="1" applyAlignment="1">
      <alignment horizontal="center" vertical="center" wrapText="1"/>
    </xf>
    <xf numFmtId="4" fontId="54" fillId="0" borderId="0" xfId="4" applyNumberFormat="1" applyFont="1" applyAlignment="1">
      <alignment horizontal="center" vertical="center" wrapText="1"/>
    </xf>
    <xf numFmtId="0" fontId="54" fillId="0" borderId="0" xfId="3" applyFont="1" applyAlignment="1">
      <alignment horizontal="center" vertical="top" wrapText="1"/>
    </xf>
    <xf numFmtId="4" fontId="54" fillId="0" borderId="0" xfId="3" applyNumberFormat="1" applyFont="1" applyAlignment="1">
      <alignment horizontal="center" vertical="top" wrapText="1"/>
    </xf>
    <xf numFmtId="0" fontId="0" fillId="0" borderId="38" xfId="3" applyFont="1" applyBorder="1" applyAlignment="1">
      <alignment horizontal="center"/>
    </xf>
    <xf numFmtId="44" fontId="49" fillId="0" borderId="38" xfId="2" applyFont="1" applyBorder="1" applyAlignment="1">
      <alignment horizontal="center"/>
    </xf>
    <xf numFmtId="4" fontId="49" fillId="0" borderId="38" xfId="2" applyNumberFormat="1" applyFont="1" applyBorder="1" applyAlignment="1">
      <alignment horizontal="center"/>
    </xf>
    <xf numFmtId="0" fontId="1" fillId="0" borderId="38" xfId="1" applyBorder="1" applyAlignment="1">
      <alignment horizontal="center"/>
    </xf>
    <xf numFmtId="0" fontId="54" fillId="0" borderId="45" xfId="4" applyFont="1" applyBorder="1" applyAlignment="1">
      <alignment horizontal="center"/>
    </xf>
    <xf numFmtId="0" fontId="54" fillId="0" borderId="0" xfId="4" applyFont="1" applyAlignment="1">
      <alignment horizontal="center" wrapText="1"/>
    </xf>
    <xf numFmtId="4" fontId="54" fillId="0" borderId="0" xfId="4" applyNumberFormat="1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8" fillId="0" borderId="15" xfId="0" applyFont="1" applyBorder="1" applyAlignment="1">
      <alignment horizontal="center"/>
    </xf>
    <xf numFmtId="0" fontId="19" fillId="0" borderId="15" xfId="0" applyFont="1" applyBorder="1"/>
    <xf numFmtId="2" fontId="58" fillId="0" borderId="25" xfId="1" applyNumberFormat="1" applyFont="1" applyBorder="1" applyAlignment="1">
      <alignment horizontal="center" vertical="center" wrapText="1"/>
    </xf>
  </cellXfs>
  <cellStyles count="5">
    <cellStyle name="Moneda 2" xfId="2" xr:uid="{E745EAF6-60D7-4EB4-B575-EC37791FBB6E}"/>
    <cellStyle name="Normal" xfId="0" builtinId="0"/>
    <cellStyle name="Normal 11" xfId="4" xr:uid="{C73B908C-0E64-4E59-ACDF-21F6625F1592}"/>
    <cellStyle name="Normal 2" xfId="1" xr:uid="{E6A59F54-548F-4B1C-92EF-1CBCF960BF83}"/>
    <cellStyle name="Normal 3 2" xfId="3" xr:uid="{08131A77-8749-400D-A3FC-C9E6E678F509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21" formatCode="dd\-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21" formatCode="dd\-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theme="5"/>
          <bgColor theme="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ALIDA FORRAJERA-style" pivot="0" count="4" xr9:uid="{00000000-0011-0000-FFFF-FFFF00000000}">
      <tableStyleElement type="headerRow" dxfId="26"/>
      <tableStyleElement type="totalRow" dxfId="25"/>
      <tableStyleElement type="firstRowStripe" dxfId="24"/>
      <tableStyleElement type="secondRowStripe" dxfId="23"/>
    </tableStyle>
    <tableStyle name="SALIDA VARIOS -style" pivot="0" count="4" xr9:uid="{00000000-0011-0000-FFFF-FFFF01000000}">
      <tableStyleElement type="headerRow" dxfId="22"/>
      <tableStyleElement type="totalRow" dxfId="21"/>
      <tableStyleElement type="firstRowStripe" dxfId="20"/>
      <tableStyleElement type="secondRowStripe" dxfId="19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61570</xdr:colOff>
      <xdr:row>0</xdr:row>
      <xdr:rowOff>85974</xdr:rowOff>
    </xdr:from>
    <xdr:to>
      <xdr:col>1</xdr:col>
      <xdr:colOff>1501588</xdr:colOff>
      <xdr:row>5</xdr:row>
      <xdr:rowOff>57851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AC7BC41-6D0A-4FD0-B4E0-19CE9D7CA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60" y="87879"/>
          <a:ext cx="2224878" cy="97009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22</xdr:col>
      <xdr:colOff>618229</xdr:colOff>
      <xdr:row>0</xdr:row>
      <xdr:rowOff>93457</xdr:rowOff>
    </xdr:from>
    <xdr:to>
      <xdr:col>24</xdr:col>
      <xdr:colOff>438021</xdr:colOff>
      <xdr:row>4</xdr:row>
      <xdr:rowOff>97955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96C439-54F6-421D-9118-3273662F32F7}"/>
            </a:ext>
            <a:ext uri="{147F2762-F138-4A5C-976F-8EAC2B608ADB}">
              <a16:predDERef xmlns:a16="http://schemas.microsoft.com/office/drawing/2014/main" pred="{A298FB8A-0925-41D9-994F-5944784572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3" t="21556" r="4226" b="25619"/>
        <a:stretch/>
      </xdr:blipFill>
      <xdr:spPr bwMode="auto">
        <a:xfrm>
          <a:off x="16865158" y="93457"/>
          <a:ext cx="1983328" cy="7801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61570</xdr:colOff>
      <xdr:row>0</xdr:row>
      <xdr:rowOff>85974</xdr:rowOff>
    </xdr:from>
    <xdr:to>
      <xdr:col>1</xdr:col>
      <xdr:colOff>1501588</xdr:colOff>
      <xdr:row>5</xdr:row>
      <xdr:rowOff>57851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680B43C3-7719-4DA7-8024-B4D174451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70" y="85974"/>
          <a:ext cx="2202018" cy="97009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22</xdr:col>
      <xdr:colOff>616324</xdr:colOff>
      <xdr:row>0</xdr:row>
      <xdr:rowOff>89647</xdr:rowOff>
    </xdr:from>
    <xdr:to>
      <xdr:col>24</xdr:col>
      <xdr:colOff>482652</xdr:colOff>
      <xdr:row>4</xdr:row>
      <xdr:rowOff>94145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75822A-EA79-4A44-8D81-6AD79980D018}"/>
            </a:ext>
            <a:ext uri="{147F2762-F138-4A5C-976F-8EAC2B608ADB}">
              <a16:predDERef xmlns:a16="http://schemas.microsoft.com/office/drawing/2014/main" pred="{A298FB8A-0925-41D9-994F-5944784572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3" t="21556" r="4226" b="25619"/>
        <a:stretch/>
      </xdr:blipFill>
      <xdr:spPr bwMode="auto">
        <a:xfrm>
          <a:off x="15160999" y="89647"/>
          <a:ext cx="1932437" cy="7760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61570</xdr:colOff>
      <xdr:row>0</xdr:row>
      <xdr:rowOff>85974</xdr:rowOff>
    </xdr:from>
    <xdr:to>
      <xdr:col>1</xdr:col>
      <xdr:colOff>1501588</xdr:colOff>
      <xdr:row>5</xdr:row>
      <xdr:rowOff>46421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489C764B-7E71-439B-961B-5D58850C9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70" y="85974"/>
          <a:ext cx="2224878" cy="95866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24</xdr:col>
      <xdr:colOff>616324</xdr:colOff>
      <xdr:row>0</xdr:row>
      <xdr:rowOff>89647</xdr:rowOff>
    </xdr:from>
    <xdr:to>
      <xdr:col>26</xdr:col>
      <xdr:colOff>815211</xdr:colOff>
      <xdr:row>4</xdr:row>
      <xdr:rowOff>94145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802488-3C89-4107-99D4-011E639067A7}"/>
            </a:ext>
            <a:ext uri="{147F2762-F138-4A5C-976F-8EAC2B608ADB}">
              <a16:predDERef xmlns:a16="http://schemas.microsoft.com/office/drawing/2014/main" pred="{A298FB8A-0925-41D9-994F-5944784572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3" t="21556" r="4226" b="25619"/>
        <a:stretch/>
      </xdr:blipFill>
      <xdr:spPr bwMode="auto">
        <a:xfrm>
          <a:off x="23179144" y="89647"/>
          <a:ext cx="1981967" cy="77411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419100</xdr:colOff>
      <xdr:row>0</xdr:row>
      <xdr:rowOff>114300</xdr:rowOff>
    </xdr:from>
    <xdr:ext cx="1514475" cy="933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419100</xdr:colOff>
      <xdr:row>0</xdr:row>
      <xdr:rowOff>114300</xdr:rowOff>
    </xdr:from>
    <xdr:ext cx="1514475" cy="933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419100</xdr:colOff>
      <xdr:row>0</xdr:row>
      <xdr:rowOff>114300</xdr:rowOff>
    </xdr:from>
    <xdr:ext cx="1514475" cy="933450"/>
    <xdr:pic>
      <xdr:nvPicPr>
        <xdr:cNvPr id="2" name="image1.png">
          <a:extLst>
            <a:ext uri="{FF2B5EF4-FFF2-40B4-BE49-F238E27FC236}">
              <a16:creationId xmlns:a16="http://schemas.microsoft.com/office/drawing/2014/main" id="{92E94EE6-9CE2-45FA-AEFE-6159453F64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81100" y="114300"/>
          <a:ext cx="1514475" cy="9334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419100</xdr:colOff>
      <xdr:row>0</xdr:row>
      <xdr:rowOff>114300</xdr:rowOff>
    </xdr:from>
    <xdr:ext cx="1514475" cy="933450"/>
    <xdr:pic>
      <xdr:nvPicPr>
        <xdr:cNvPr id="2" name="image1.png">
          <a:extLst>
            <a:ext uri="{FF2B5EF4-FFF2-40B4-BE49-F238E27FC236}">
              <a16:creationId xmlns:a16="http://schemas.microsoft.com/office/drawing/2014/main" id="{6EE6EC88-F4AD-4121-90E5-E868C8F215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81100" y="114300"/>
          <a:ext cx="1514475" cy="9334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419100</xdr:colOff>
      <xdr:row>0</xdr:row>
      <xdr:rowOff>114300</xdr:rowOff>
    </xdr:from>
    <xdr:ext cx="1514475" cy="933450"/>
    <xdr:pic>
      <xdr:nvPicPr>
        <xdr:cNvPr id="2" name="image1.png">
          <a:extLst>
            <a:ext uri="{FF2B5EF4-FFF2-40B4-BE49-F238E27FC236}">
              <a16:creationId xmlns:a16="http://schemas.microsoft.com/office/drawing/2014/main" id="{D3735235-4D69-4E9E-9E9C-89A5604079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81100" y="114300"/>
          <a:ext cx="1514475" cy="93345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ul Meza" id="{0CC25C2A-49CD-4F0E-AF0E-EE7B476B1DF6}" userId="ab39644a82a9faca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liana" refreshedDate="46148.429502893516" createdVersion="8" refreshedVersion="8" minRefreshableVersion="3" recordCount="96" xr:uid="{3CE1ADD6-D7EA-45C1-8040-6B56DC8223F4}">
  <cacheSource type="worksheet">
    <worksheetSource name="Table_1"/>
  </cacheSource>
  <cacheFields count="4">
    <cacheField name="FECHA" numFmtId="16">
      <sharedItems containsNonDate="0" containsDate="1" containsString="0" containsBlank="1" minDate="2026-04-01T00:00:00" maxDate="2026-04-30T00:00:00"/>
    </cacheField>
    <cacheField name="AREA" numFmtId="0">
      <sharedItems containsBlank="1"/>
    </cacheField>
    <cacheField name="CONCEPTO " numFmtId="0">
      <sharedItems containsBlank="1" count="18">
        <s v="ZACATE"/>
        <s v="ALFALFA ACHICALADA "/>
        <s v="ALIMENTO PARA VENADO "/>
        <s v="OMOLIN"/>
        <s v="PURIMAS CARNE"/>
        <s v="ENGORDA DE CERDO "/>
        <s v="CONEJINA "/>
        <s v="NUTRI-PEC"/>
        <s v="MAZURI PARA MONO NM"/>
        <s v="MAZURI INSECTIVORE "/>
        <s v="AVENA"/>
        <s v="CROQUETA"/>
        <s v="ALIMENTO PARA GALLINA "/>
        <s v="REVOLTURA "/>
        <s v="ZACATE "/>
        <s v="SEMILLA GIRASOL "/>
        <s v="MAIZ"/>
        <m/>
      </sharedItems>
    </cacheField>
    <cacheField name="CANTIDAD " numFmtId="0">
      <sharedItems containsString="0" containsBlank="1" containsNumber="1" containsInteger="1" minValue="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liana" refreshedDate="46148.442544907404" createdVersion="8" refreshedVersion="8" minRefreshableVersion="3" recordCount="94" xr:uid="{4D1145A9-8338-4E31-9CA2-48B5947C426F}">
  <cacheSource type="worksheet">
    <worksheetSource name="Table_2"/>
  </cacheSource>
  <cacheFields count="4">
    <cacheField name="FECHA" numFmtId="16">
      <sharedItems containsNonDate="0" containsDate="1" containsString="0" containsBlank="1" minDate="2026-04-14T00:00:00" maxDate="2026-04-29T00:00:00" count="4">
        <d v="2026-04-14T00:00:00"/>
        <d v="2026-04-22T00:00:00"/>
        <d v="2026-04-28T00:00:00"/>
        <m/>
      </sharedItems>
    </cacheField>
    <cacheField name="AREA" numFmtId="0">
      <sharedItems containsBlank="1" count="3">
        <s v="NUTRICION "/>
        <s v="VETERINARIA "/>
        <m/>
      </sharedItems>
    </cacheField>
    <cacheField name="CONCEPTO " numFmtId="0">
      <sharedItems containsBlank="1" count="4">
        <s v="SINUBERASE"/>
        <s v="NESTUM CEREAL "/>
        <s v="NUTRI PLUS GEL "/>
        <m/>
      </sharedItems>
    </cacheField>
    <cacheField name="CANTIDAD " numFmtId="0">
      <sharedItems containsString="0" containsBlank="1" containsNumber="1" containsInteger="1" minValue="1" maxValue="2" count="3">
        <n v="2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liana" refreshedDate="46148.589432060187" createdVersion="8" refreshedVersion="8" minRefreshableVersion="3" recordCount="174" xr:uid="{938464A0-BF39-4C87-9570-771B950AB368}">
  <cacheSource type="worksheet">
    <worksheetSource ref="A5:D179" sheet="SALIDA POLLO-CANAL"/>
  </cacheSource>
  <cacheFields count="4">
    <cacheField name="FECHA" numFmtId="0">
      <sharedItems containsNonDate="0" containsDate="1" containsString="0" containsBlank="1" minDate="2026-04-01T00:00:00" maxDate="2026-05-01T00:00:00"/>
    </cacheField>
    <cacheField name="AREA" numFmtId="0">
      <sharedItems/>
    </cacheField>
    <cacheField name="CONCEPTO " numFmtId="0">
      <sharedItems count="3">
        <s v="CANAL"/>
        <s v="POLLO"/>
        <s v="CANAL "/>
      </sharedItems>
    </cacheField>
    <cacheField name="CANTIDAD " numFmtId="0">
      <sharedItems containsMixedTypes="1" containsNumber="1" minValue="1.1499999999999999" maxValue="38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d v="2026-04-01T00:00:00"/>
    <s v="INFANTIL "/>
    <x v="0"/>
    <n v="2"/>
  </r>
  <r>
    <d v="2026-04-01T00:00:00"/>
    <s v="AFRICANA"/>
    <x v="1"/>
    <n v="34"/>
  </r>
  <r>
    <d v="2026-04-06T00:00:00"/>
    <s v="AMERICANA"/>
    <x v="2"/>
    <n v="4"/>
  </r>
  <r>
    <d v="2026-04-06T00:00:00"/>
    <s v="AMERICANA"/>
    <x v="3"/>
    <n v="3"/>
  </r>
  <r>
    <d v="2026-04-06T00:00:00"/>
    <s v="AMERICANA"/>
    <x v="4"/>
    <n v="3"/>
  </r>
  <r>
    <d v="2026-04-06T00:00:00"/>
    <s v="AMERICANA"/>
    <x v="5"/>
    <n v="2"/>
  </r>
  <r>
    <d v="2026-04-06T00:00:00"/>
    <s v="INFANTIL "/>
    <x v="6"/>
    <n v="1"/>
  </r>
  <r>
    <d v="2026-04-07T00:00:00"/>
    <s v="ASIATICA"/>
    <x v="1"/>
    <n v="100"/>
  </r>
  <r>
    <d v="2026-04-07T00:00:00"/>
    <s v="AFRICANA"/>
    <x v="1"/>
    <n v="40"/>
  </r>
  <r>
    <d v="2026-04-07T00:00:00"/>
    <s v="AMERICANA"/>
    <x v="1"/>
    <n v="60"/>
  </r>
  <r>
    <d v="2026-04-07T00:00:00"/>
    <s v="CUARENTENA "/>
    <x v="5"/>
    <n v="1"/>
  </r>
  <r>
    <d v="2026-04-07T00:00:00"/>
    <s v="AMERICANA"/>
    <x v="3"/>
    <n v="2"/>
  </r>
  <r>
    <d v="2026-04-07T00:00:00"/>
    <s v="AMERICANA"/>
    <x v="5"/>
    <n v="2"/>
  </r>
  <r>
    <d v="2026-04-07T00:00:00"/>
    <s v="AMERICANA"/>
    <x v="2"/>
    <n v="4"/>
  </r>
  <r>
    <d v="2026-04-07T00:00:00"/>
    <s v="AMERICANA"/>
    <x v="4"/>
    <n v="4"/>
  </r>
  <r>
    <d v="2026-04-07T00:00:00"/>
    <s v="AMERICANA"/>
    <x v="7"/>
    <n v="1"/>
  </r>
  <r>
    <d v="2026-04-07T00:00:00"/>
    <s v="AFRICANA"/>
    <x v="1"/>
    <n v="20"/>
  </r>
  <r>
    <d v="2026-04-08T00:00:00"/>
    <s v="INFANTIL "/>
    <x v="4"/>
    <n v="1"/>
  </r>
  <r>
    <d v="2026-04-08T00:00:00"/>
    <s v="CUARENTENA "/>
    <x v="2"/>
    <n v="1"/>
  </r>
  <r>
    <d v="2026-04-10T00:00:00"/>
    <s v="N12"/>
    <x v="8"/>
    <n v="1"/>
  </r>
  <r>
    <d v="2026-04-10T00:00:00"/>
    <s v="N12"/>
    <x v="9"/>
    <n v="1"/>
  </r>
  <r>
    <d v="2026-04-10T00:00:00"/>
    <s v="N12"/>
    <x v="10"/>
    <n v="1"/>
  </r>
  <r>
    <d v="2026-04-10T00:00:00"/>
    <s v="N12"/>
    <x v="11"/>
    <n v="2"/>
  </r>
  <r>
    <d v="2026-04-10T00:00:00"/>
    <s v="N12"/>
    <x v="6"/>
    <n v="2"/>
  </r>
  <r>
    <d v="2026-04-10T00:00:00"/>
    <s v="N12"/>
    <x v="12"/>
    <n v="1"/>
  </r>
  <r>
    <d v="2026-04-10T00:00:00"/>
    <s v="N12"/>
    <x v="13"/>
    <n v="1"/>
  </r>
  <r>
    <d v="2026-04-10T00:00:00"/>
    <s v="N12"/>
    <x v="5"/>
    <n v="1"/>
  </r>
  <r>
    <d v="2026-04-14T00:00:00"/>
    <s v="AFRICANA"/>
    <x v="1"/>
    <n v="20"/>
  </r>
  <r>
    <d v="2026-04-14T00:00:00"/>
    <s v="AFRICANA"/>
    <x v="3"/>
    <n v="1"/>
  </r>
  <r>
    <d v="2026-04-14T00:00:00"/>
    <s v="AFRICANA"/>
    <x v="4"/>
    <n v="7"/>
  </r>
  <r>
    <d v="2026-04-14T00:00:00"/>
    <s v="ASIATICA"/>
    <x v="1"/>
    <n v="90"/>
  </r>
  <r>
    <d v="2026-04-14T00:00:00"/>
    <s v="AFRICANA"/>
    <x v="1"/>
    <n v="30"/>
  </r>
  <r>
    <d v="2026-04-14T00:00:00"/>
    <s v="AMERICANA"/>
    <x v="2"/>
    <n v="3"/>
  </r>
  <r>
    <d v="2026-04-14T00:00:00"/>
    <s v="AMERICANA"/>
    <x v="4"/>
    <n v="4"/>
  </r>
  <r>
    <d v="2026-04-14T00:00:00"/>
    <s v="AMERICANA"/>
    <x v="5"/>
    <n v="3"/>
  </r>
  <r>
    <d v="2026-04-15T00:00:00"/>
    <s v="AMERICANA"/>
    <x v="3"/>
    <n v="3"/>
  </r>
  <r>
    <d v="2026-04-16T00:00:00"/>
    <s v="CUARENTENA "/>
    <x v="12"/>
    <n v="1"/>
  </r>
  <r>
    <d v="2026-04-16T00:00:00"/>
    <s v="CUARENTENA "/>
    <x v="6"/>
    <n v="1"/>
  </r>
  <r>
    <d v="2026-04-16T00:00:00"/>
    <s v="CUARENTENA "/>
    <x v="5"/>
    <n v="1"/>
  </r>
  <r>
    <d v="2026-04-16T00:00:00"/>
    <s v="CUARENTENA "/>
    <x v="1"/>
    <n v="16"/>
  </r>
  <r>
    <d v="2026-04-16T00:00:00"/>
    <s v="AMERICANA"/>
    <x v="1"/>
    <n v="30"/>
  </r>
  <r>
    <d v="2026-04-17T00:00:00"/>
    <s v="INFANTIL "/>
    <x v="14"/>
    <n v="1"/>
  </r>
  <r>
    <d v="2026-04-17T00:00:00"/>
    <s v="N12"/>
    <x v="10"/>
    <n v="1"/>
  </r>
  <r>
    <d v="2026-04-17T00:00:00"/>
    <s v="N12"/>
    <x v="11"/>
    <n v="2"/>
  </r>
  <r>
    <d v="2026-04-17T00:00:00"/>
    <s v="N12"/>
    <x v="6"/>
    <n v="2"/>
  </r>
  <r>
    <d v="2026-04-17T00:00:00"/>
    <s v="N12"/>
    <x v="12"/>
    <n v="1"/>
  </r>
  <r>
    <d v="2026-04-17T00:00:00"/>
    <s v="N12"/>
    <x v="5"/>
    <n v="2"/>
  </r>
  <r>
    <d v="2026-04-17T00:00:00"/>
    <s v="N12"/>
    <x v="15"/>
    <n v="1"/>
  </r>
  <r>
    <d v="2026-04-20T00:00:00"/>
    <s v="AFRICANA"/>
    <x v="3"/>
    <n v="6"/>
  </r>
  <r>
    <d v="2026-04-20T00:00:00"/>
    <s v="AFRICANA"/>
    <x v="6"/>
    <n v="5"/>
  </r>
  <r>
    <d v="2026-04-20T00:00:00"/>
    <s v="AFRICANA"/>
    <x v="4"/>
    <n v="6"/>
  </r>
  <r>
    <d v="2026-04-20T00:00:00"/>
    <s v="N12"/>
    <x v="13"/>
    <n v="1"/>
  </r>
  <r>
    <d v="2026-04-20T00:00:00"/>
    <s v="N12"/>
    <x v="5"/>
    <n v="1"/>
  </r>
  <r>
    <d v="2026-04-20T00:00:00"/>
    <s v="N12"/>
    <x v="15"/>
    <n v="1"/>
  </r>
  <r>
    <d v="2026-04-20T00:00:00"/>
    <s v="N12"/>
    <x v="6"/>
    <n v="1"/>
  </r>
  <r>
    <d v="2026-04-20T00:00:00"/>
    <s v="INFANTIL "/>
    <x v="3"/>
    <n v="1"/>
  </r>
  <r>
    <d v="2026-04-20T00:00:00"/>
    <s v="INFANTIL "/>
    <x v="6"/>
    <n v="1"/>
  </r>
  <r>
    <d v="2026-04-20T00:00:00"/>
    <s v="INFANTIL "/>
    <x v="12"/>
    <n v="1"/>
  </r>
  <r>
    <d v="2026-04-21T00:00:00"/>
    <s v="AMERICANA"/>
    <x v="1"/>
    <n v="10"/>
  </r>
  <r>
    <d v="2026-04-21T00:00:00"/>
    <s v="AMERICANA"/>
    <x v="3"/>
    <n v="2"/>
  </r>
  <r>
    <d v="2026-04-21T00:00:00"/>
    <s v="AMERICANA"/>
    <x v="2"/>
    <n v="3"/>
  </r>
  <r>
    <d v="2026-04-21T00:00:00"/>
    <s v="AMERICANA"/>
    <x v="4"/>
    <n v="4"/>
  </r>
  <r>
    <d v="2026-04-21T00:00:00"/>
    <s v="AMERICANA"/>
    <x v="5"/>
    <n v="2"/>
  </r>
  <r>
    <d v="2026-04-21T00:00:00"/>
    <s v="CUARENTENA "/>
    <x v="6"/>
    <n v="1"/>
  </r>
  <r>
    <d v="2026-04-21T00:00:00"/>
    <s v="CUARENTENA "/>
    <x v="5"/>
    <n v="1"/>
  </r>
  <r>
    <d v="2026-04-21T00:00:00"/>
    <s v="CUARENTENA "/>
    <x v="12"/>
    <n v="1"/>
  </r>
  <r>
    <d v="2026-04-21T00:00:00"/>
    <s v="N12"/>
    <x v="11"/>
    <n v="2"/>
  </r>
  <r>
    <d v="2026-04-21T00:00:00"/>
    <s v="AMERICANA"/>
    <x v="1"/>
    <n v="40"/>
  </r>
  <r>
    <d v="2026-04-21T00:00:00"/>
    <s v="ASIATICA"/>
    <x v="1"/>
    <n v="100"/>
  </r>
  <r>
    <d v="2026-04-21T00:00:00"/>
    <s v="AFRICANA"/>
    <x v="1"/>
    <n v="33"/>
  </r>
  <r>
    <d v="2026-04-23T00:00:00"/>
    <s v="AFRICANA"/>
    <x v="7"/>
    <n v="1"/>
  </r>
  <r>
    <d v="2026-04-28T00:00:00"/>
    <s v="CUARENTENA "/>
    <x v="6"/>
    <n v="1"/>
  </r>
  <r>
    <d v="2026-04-28T00:00:00"/>
    <s v="CUARENTENA "/>
    <x v="5"/>
    <n v="1"/>
  </r>
  <r>
    <d v="2026-04-28T00:00:00"/>
    <s v="N12"/>
    <x v="10"/>
    <n v="2"/>
  </r>
  <r>
    <d v="2026-04-28T00:00:00"/>
    <s v="N12"/>
    <x v="5"/>
    <n v="2"/>
  </r>
  <r>
    <d v="2026-04-28T00:00:00"/>
    <s v="N12"/>
    <x v="13"/>
    <n v="1"/>
  </r>
  <r>
    <d v="2026-04-28T00:00:00"/>
    <s v="N12"/>
    <x v="11"/>
    <n v="2"/>
  </r>
  <r>
    <d v="2026-04-28T00:00:00"/>
    <s v="N12"/>
    <x v="13"/>
    <n v="1"/>
  </r>
  <r>
    <d v="2026-04-28T00:00:00"/>
    <s v="N12"/>
    <x v="12"/>
    <n v="1"/>
  </r>
  <r>
    <d v="2026-04-28T00:00:00"/>
    <s v="N12"/>
    <x v="16"/>
    <n v="1"/>
  </r>
  <r>
    <d v="2026-04-28T00:00:00"/>
    <s v="N12"/>
    <x v="6"/>
    <n v="2"/>
  </r>
  <r>
    <d v="2026-04-28T00:00:00"/>
    <s v="N12"/>
    <x v="15"/>
    <n v="1"/>
  </r>
  <r>
    <d v="2026-04-28T00:00:00"/>
    <s v="AFRICANA"/>
    <x v="7"/>
    <n v="1"/>
  </r>
  <r>
    <d v="2026-04-28T00:00:00"/>
    <s v="AFRICANA"/>
    <x v="6"/>
    <n v="4"/>
  </r>
  <r>
    <d v="2026-04-28T00:00:00"/>
    <s v="AFRICANA"/>
    <x v="3"/>
    <n v="4"/>
  </r>
  <r>
    <d v="2026-04-28T00:00:00"/>
    <s v="AFRICANA"/>
    <x v="4"/>
    <n v="6"/>
  </r>
  <r>
    <d v="2026-04-28T00:00:00"/>
    <s v="AMERICANA"/>
    <x v="5"/>
    <n v="3"/>
  </r>
  <r>
    <d v="2026-04-28T00:00:00"/>
    <s v="AMERICANA"/>
    <x v="3"/>
    <n v="2"/>
  </r>
  <r>
    <d v="2026-04-28T00:00:00"/>
    <s v="AMERICANA"/>
    <x v="2"/>
    <n v="6"/>
  </r>
  <r>
    <d v="2026-04-28T00:00:00"/>
    <s v="AMERICANA"/>
    <x v="4"/>
    <n v="5"/>
  </r>
  <r>
    <d v="2026-04-28T00:00:00"/>
    <s v="INFANTIL "/>
    <x v="6"/>
    <n v="2"/>
  </r>
  <r>
    <d v="2026-04-28T00:00:00"/>
    <s v="INFANTIL "/>
    <x v="3"/>
    <n v="1"/>
  </r>
  <r>
    <d v="2026-04-29T00:00:00"/>
    <s v="ASIATICA"/>
    <x v="1"/>
    <n v="80"/>
  </r>
  <r>
    <d v="2026-04-29T00:00:00"/>
    <s v="AMERICANA"/>
    <x v="1"/>
    <n v="30"/>
  </r>
  <r>
    <d v="2026-04-29T00:00:00"/>
    <s v="AFRICANA"/>
    <x v="1"/>
    <n v="25"/>
  </r>
  <r>
    <m/>
    <m/>
    <x v="1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x v="0"/>
    <x v="0"/>
  </r>
  <r>
    <x v="0"/>
    <x v="0"/>
    <x v="1"/>
    <x v="0"/>
  </r>
  <r>
    <x v="1"/>
    <x v="0"/>
    <x v="1"/>
    <x v="1"/>
  </r>
  <r>
    <x v="1"/>
    <x v="0"/>
    <x v="0"/>
    <x v="1"/>
  </r>
  <r>
    <x v="2"/>
    <x v="1"/>
    <x v="2"/>
    <x v="0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  <r>
    <x v="3"/>
    <x v="2"/>
    <x v="3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d v="2026-04-01T00:00:00"/>
    <s v="AFRICANA"/>
    <x v="0"/>
    <n v="37.200000000000003"/>
  </r>
  <r>
    <d v="2026-04-01T00:00:00"/>
    <s v="ASIATICA"/>
    <x v="0"/>
    <n v="24.1"/>
  </r>
  <r>
    <d v="2026-04-01T00:00:00"/>
    <s v="AMERICANA"/>
    <x v="0"/>
    <n v="23.9"/>
  </r>
  <r>
    <d v="2026-04-01T00:00:00"/>
    <s v="CUARENTENA"/>
    <x v="0"/>
    <n v="16.2"/>
  </r>
  <r>
    <d v="2026-04-01T00:00:00"/>
    <s v="CUARENTENA"/>
    <x v="1"/>
    <n v="2.1"/>
  </r>
  <r>
    <d v="2026-04-01T00:00:00"/>
    <s v="INFANTIL "/>
    <x v="1"/>
    <n v="4.0999999999999996"/>
  </r>
  <r>
    <d v="2026-04-01T00:00:00"/>
    <s v="HOSPITAL "/>
    <x v="1"/>
    <n v="3.8"/>
  </r>
  <r>
    <d v="2026-04-02T00:00:00"/>
    <s v="AMERICANA"/>
    <x v="0"/>
    <n v="29.1"/>
  </r>
  <r>
    <d v="2026-04-02T00:00:00"/>
    <s v="AFRICANA"/>
    <x v="0"/>
    <n v="37.1"/>
  </r>
  <r>
    <d v="2026-04-02T00:00:00"/>
    <s v="ASIATICA"/>
    <x v="0"/>
    <n v="23.6"/>
  </r>
  <r>
    <d v="2026-04-02T00:00:00"/>
    <s v="CUARENTENA"/>
    <x v="0"/>
    <n v="7.9"/>
  </r>
  <r>
    <d v="2026-04-02T00:00:00"/>
    <s v="INFANTIL "/>
    <x v="1"/>
    <n v="4.0999999999999996"/>
  </r>
  <r>
    <d v="2026-04-02T00:00:00"/>
    <s v="HOSPITAL "/>
    <x v="1"/>
    <n v="3.6"/>
  </r>
  <r>
    <d v="2026-04-03T00:00:00"/>
    <s v="AMERICANA"/>
    <x v="1"/>
    <n v="23.85"/>
  </r>
  <r>
    <d v="2026-04-03T00:00:00"/>
    <s v="AMERICANA"/>
    <x v="1"/>
    <n v="13"/>
  </r>
  <r>
    <d v="2026-04-03T00:00:00"/>
    <s v="ASIATICA"/>
    <x v="1"/>
    <n v="21.15"/>
  </r>
  <r>
    <d v="2026-04-03T00:00:00"/>
    <s v="AFRICANA"/>
    <x v="1"/>
    <n v="34.450000000000003"/>
  </r>
  <r>
    <d v="2026-04-03T00:00:00"/>
    <s v="CUARENTENA"/>
    <x v="1"/>
    <n v="6.3"/>
  </r>
  <r>
    <d v="2026-04-03T00:00:00"/>
    <s v="CUARENTENA"/>
    <x v="1"/>
    <n v="5.8"/>
  </r>
  <r>
    <d v="2026-04-03T00:00:00"/>
    <s v="CUARENTENA"/>
    <x v="0"/>
    <n v="4"/>
  </r>
  <r>
    <d v="2026-04-03T00:00:00"/>
    <s v="AMERICANA"/>
    <x v="0"/>
    <n v="19.600000000000001"/>
  </r>
  <r>
    <d v="2026-04-03T00:00:00"/>
    <s v="ASIATICA"/>
    <x v="0"/>
    <n v="23.3"/>
  </r>
  <r>
    <d v="2026-04-03T00:00:00"/>
    <s v="AFRICANA"/>
    <x v="0"/>
    <n v="35.65"/>
  </r>
  <r>
    <d v="2026-04-06T00:00:00"/>
    <s v="CUARENTENA"/>
    <x v="1"/>
    <n v="17.100000000000001"/>
  </r>
  <r>
    <d v="2026-04-06T00:00:00"/>
    <s v="AFRICANA"/>
    <x v="1"/>
    <n v="36.25"/>
  </r>
  <r>
    <d v="2026-04-06T00:00:00"/>
    <s v="AMERICANA"/>
    <x v="1"/>
    <n v="29.75"/>
  </r>
  <r>
    <d v="2026-04-06T00:00:00"/>
    <s v="ASIATICA"/>
    <x v="1"/>
    <n v="21.9"/>
  </r>
  <r>
    <d v="2026-04-06T00:00:00"/>
    <s v="HOSPITAL "/>
    <x v="1"/>
    <n v="2.4500000000000002"/>
  </r>
  <r>
    <d v="2026-04-06T00:00:00"/>
    <s v="INFANTIL "/>
    <x v="1"/>
    <n v="1.7"/>
  </r>
  <r>
    <d v="2026-04-07T00:00:00"/>
    <s v="CUARENTENA"/>
    <x v="0"/>
    <n v="4.0999999999999996"/>
  </r>
  <r>
    <d v="2026-04-07T00:00:00"/>
    <s v="CUARENTENA"/>
    <x v="1"/>
    <n v="5.25"/>
  </r>
  <r>
    <d v="2026-04-07T00:00:00"/>
    <s v="ASIATICA"/>
    <x v="0"/>
    <n v="18.649999999999999"/>
  </r>
  <r>
    <d v="2026-04-07T00:00:00"/>
    <s v="AFRICANA"/>
    <x v="0"/>
    <n v="12.25"/>
  </r>
  <r>
    <d v="2026-04-07T00:00:00"/>
    <s v="AMERICANA"/>
    <x v="0"/>
    <n v="18.149999999999999"/>
  </r>
  <r>
    <d v="2026-04-07T00:00:00"/>
    <s v="AMERICANA"/>
    <x v="1"/>
    <n v="10.199999999999999"/>
  </r>
  <r>
    <d v="2026-04-07T00:00:00"/>
    <s v="INFANTIL "/>
    <x v="1"/>
    <n v="4.9000000000000004"/>
  </r>
  <r>
    <d v="2026-04-07T00:00:00"/>
    <s v="HOSPITAL "/>
    <x v="1"/>
    <n v="3.6"/>
  </r>
  <r>
    <d v="2026-04-07T00:00:00"/>
    <s v="AFRICANA"/>
    <x v="1"/>
    <n v="18.75"/>
  </r>
  <r>
    <d v="2026-04-08T00:00:00"/>
    <s v="CUARENTENA"/>
    <x v="1"/>
    <n v="7.2"/>
  </r>
  <r>
    <d v="2026-04-08T00:00:00"/>
    <s v="HOSPITAL "/>
    <x v="1"/>
    <n v="2.5"/>
  </r>
  <r>
    <d v="2026-04-08T00:00:00"/>
    <s v="CUARENTENA"/>
    <x v="0"/>
    <n v="2.6"/>
  </r>
  <r>
    <d v="2026-04-08T00:00:00"/>
    <s v="CUARENTENA"/>
    <x v="2"/>
    <n v="3.25"/>
  </r>
  <r>
    <d v="2026-04-08T00:00:00"/>
    <s v="AFRICANA"/>
    <x v="0"/>
    <n v="38.9"/>
  </r>
  <r>
    <d v="2026-04-08T00:00:00"/>
    <s v="ASIATICA"/>
    <x v="2"/>
    <n v="21.75"/>
  </r>
  <r>
    <d v="2026-04-08T00:00:00"/>
    <s v="AMERICANA"/>
    <x v="2"/>
    <n v="21.9"/>
  </r>
  <r>
    <d v="2026-04-08T00:00:00"/>
    <s v="AMERICANA"/>
    <x v="1"/>
    <n v="12.7"/>
  </r>
  <r>
    <d v="2026-04-09T00:00:00"/>
    <s v="HOSPITAL "/>
    <x v="1"/>
    <n v="2.7"/>
  </r>
  <r>
    <d v="2026-04-09T00:00:00"/>
    <s v="CUARENTENA"/>
    <x v="0"/>
    <n v="3.4"/>
  </r>
  <r>
    <d v="2026-04-09T00:00:00"/>
    <s v="AFRICANA"/>
    <x v="0"/>
    <n v="32.200000000000003"/>
  </r>
  <r>
    <d v="2026-04-09T00:00:00"/>
    <s v="CUARENTENA"/>
    <x v="1"/>
    <n v="11.4"/>
  </r>
  <r>
    <d v="2026-04-09T00:00:00"/>
    <s v="ASIATICA"/>
    <x v="0"/>
    <n v="23.15"/>
  </r>
  <r>
    <d v="2026-04-09T00:00:00"/>
    <s v="AMERICANA"/>
    <x v="0"/>
    <n v="19"/>
  </r>
  <r>
    <d v="2026-04-09T00:00:00"/>
    <s v="INFANTIL "/>
    <x v="1"/>
    <n v="3.7"/>
  </r>
  <r>
    <d v="2026-04-09T00:00:00"/>
    <s v="AMERICANA"/>
    <x v="1"/>
    <n v="10.8"/>
  </r>
  <r>
    <d v="2026-04-10T00:00:00"/>
    <s v="INFANTIL "/>
    <x v="1"/>
    <n v="12.9"/>
  </r>
  <r>
    <d v="2026-04-10T00:00:00"/>
    <s v="HOSPITAL "/>
    <x v="1"/>
    <n v="11.35"/>
  </r>
  <r>
    <d v="2026-04-10T00:00:00"/>
    <s v="INFANTIL "/>
    <x v="0"/>
    <n v="1.8"/>
  </r>
  <r>
    <d v="2026-04-10T00:00:00"/>
    <s v="AMERICANA"/>
    <x v="0"/>
    <n v="19.350000000000001"/>
  </r>
  <r>
    <d v="2026-04-10T00:00:00"/>
    <s v="AFRICANA"/>
    <x v="2"/>
    <n v="35.200000000000003"/>
  </r>
  <r>
    <d v="2026-04-10T00:00:00"/>
    <s v="CUARENTENA"/>
    <x v="1"/>
    <n v="5.45"/>
  </r>
  <r>
    <d v="2026-04-10T00:00:00"/>
    <s v="CUARENTENA"/>
    <x v="2"/>
    <n v="6.55"/>
  </r>
  <r>
    <d v="2026-04-10T00:00:00"/>
    <s v="ASIATICA"/>
    <x v="2"/>
    <n v="4.3499999999999996"/>
  </r>
  <r>
    <d v="2026-04-10T00:00:00"/>
    <s v="ASIATICA"/>
    <x v="1"/>
    <n v="4.55"/>
  </r>
  <r>
    <d v="2026-04-10T00:00:00"/>
    <s v="AMERICANA"/>
    <x v="1"/>
    <n v="20.7"/>
  </r>
  <r>
    <d v="2026-04-10T00:00:00"/>
    <s v="AMERICANA"/>
    <x v="1"/>
    <n v="17.7"/>
  </r>
  <r>
    <d v="2026-04-10T00:00:00"/>
    <s v="AFRICANA"/>
    <x v="1"/>
    <n v="32.700000000000003"/>
  </r>
  <r>
    <d v="2026-04-10T00:00:00"/>
    <s v="ASIATICA"/>
    <x v="1"/>
    <n v="25.32"/>
  </r>
  <r>
    <d v="2026-04-13T00:00:00"/>
    <s v="AFRICANA"/>
    <x v="0"/>
    <n v="34"/>
  </r>
  <r>
    <d v="2026-04-13T00:00:00"/>
    <s v="INFANTIL "/>
    <x v="1"/>
    <n v="5.05"/>
  </r>
  <r>
    <d v="2026-04-13T00:00:00"/>
    <s v="CUARENTENA"/>
    <x v="2"/>
    <n v="4.3499999999999996"/>
  </r>
  <r>
    <d v="2026-04-13T00:00:00"/>
    <s v="AMERICANA"/>
    <x v="0"/>
    <n v="22.85"/>
  </r>
  <r>
    <d v="2026-04-13T00:00:00"/>
    <s v="ASIATICA"/>
    <x v="0"/>
    <n v="22.5"/>
  </r>
  <r>
    <d v="2026-04-13T00:00:00"/>
    <s v="CUARENTENA"/>
    <x v="1"/>
    <n v="9.4"/>
  </r>
  <r>
    <d v="2026-04-13T00:00:00"/>
    <s v="AMERICANA"/>
    <x v="1"/>
    <n v="11.5"/>
  </r>
  <r>
    <d v="2026-04-13T00:00:00"/>
    <s v="HOSPITAL "/>
    <x v="1"/>
    <n v="3.9"/>
  </r>
  <r>
    <d v="2026-04-14T00:00:00"/>
    <s v="HOSPITAL "/>
    <x v="1"/>
    <n v="2.75"/>
  </r>
  <r>
    <d v="2026-04-14T00:00:00"/>
    <s v="CUARENTENA"/>
    <x v="1"/>
    <n v="5.45"/>
  </r>
  <r>
    <d v="2026-04-14T00:00:00"/>
    <s v="CUARENTENA"/>
    <x v="0"/>
    <n v="5.15"/>
  </r>
  <r>
    <d v="2026-04-14T00:00:00"/>
    <s v="ASIATICA"/>
    <x v="0"/>
    <n v="14"/>
  </r>
  <r>
    <d v="2026-04-14T00:00:00"/>
    <s v="AMERICANA"/>
    <x v="1"/>
    <n v="24.8"/>
  </r>
  <r>
    <d v="2026-04-14T00:00:00"/>
    <s v="AFRICANA"/>
    <x v="1"/>
    <n v="36.799999999999997"/>
  </r>
  <r>
    <d v="2026-04-14T00:00:00"/>
    <s v="INFANTIL "/>
    <x v="1"/>
    <n v="3.7"/>
  </r>
  <r>
    <d v="2026-04-15T00:00:00"/>
    <s v="AMERICANA"/>
    <x v="1"/>
    <n v="30"/>
  </r>
  <r>
    <d v="2026-04-15T00:00:00"/>
    <s v="AFRICANA"/>
    <x v="1"/>
    <n v="33.25"/>
  </r>
  <r>
    <d v="2026-04-15T00:00:00"/>
    <s v="ASIATICA"/>
    <x v="1"/>
    <n v="22.75"/>
  </r>
  <r>
    <d v="2026-04-15T00:00:00"/>
    <s v="CUARENTENA"/>
    <x v="1"/>
    <n v="14.9"/>
  </r>
  <r>
    <d v="2026-04-15T00:00:00"/>
    <s v="INFANTIL "/>
    <x v="1"/>
    <n v="1.35"/>
  </r>
  <r>
    <d v="2026-04-15T00:00:00"/>
    <s v="HOSPITAL "/>
    <x v="1"/>
    <n v="1.3"/>
  </r>
  <r>
    <d v="2026-04-16T00:00:00"/>
    <s v="CUARENTENA"/>
    <x v="1"/>
    <n v="10.95"/>
  </r>
  <r>
    <d v="2026-04-16T00:00:00"/>
    <s v="CUARENTENA"/>
    <x v="1"/>
    <n v="5.75"/>
  </r>
  <r>
    <d v="2026-04-16T00:00:00"/>
    <s v="AFRICANA"/>
    <x v="2"/>
    <n v="33.5"/>
  </r>
  <r>
    <d v="2026-04-16T00:00:00"/>
    <s v="ASIATICA"/>
    <x v="2"/>
    <n v="23.3"/>
  </r>
  <r>
    <d v="2026-04-16T00:00:00"/>
    <s v="AMERICANA"/>
    <x v="2"/>
    <n v="27.1"/>
  </r>
  <r>
    <d v="2026-04-16T00:00:00"/>
    <s v="CUARENTENA"/>
    <x v="2"/>
    <n v="4.45"/>
  </r>
  <r>
    <d v="2026-04-16T00:00:00"/>
    <s v="AMERICANA"/>
    <x v="1"/>
    <n v="9.0500000000000007"/>
  </r>
  <r>
    <d v="2026-04-16T00:00:00"/>
    <s v="ASIATICA"/>
    <x v="1"/>
    <n v="4.6500000000000004"/>
  </r>
  <r>
    <d v="2026-04-16T00:00:00"/>
    <s v="HOSPITAL "/>
    <x v="1"/>
    <n v="2.35"/>
  </r>
  <r>
    <d v="2026-04-17T00:00:00"/>
    <s v="ASIATICA"/>
    <x v="0"/>
    <n v="22.4"/>
  </r>
  <r>
    <d v="2026-04-17T00:00:00"/>
    <s v="AFRICANA"/>
    <x v="2"/>
    <n v="37.950000000000003"/>
  </r>
  <r>
    <d v="2026-04-17T00:00:00"/>
    <s v="HOSPITAL "/>
    <x v="2"/>
    <n v="3.1"/>
  </r>
  <r>
    <d v="2026-04-17T00:00:00"/>
    <s v="AMERICANA"/>
    <x v="2"/>
    <n v="24.45"/>
  </r>
  <r>
    <d v="2026-04-17T00:00:00"/>
    <s v="AFRICANA"/>
    <x v="1"/>
    <n v="34.4"/>
  </r>
  <r>
    <d v="2026-04-17T00:00:00"/>
    <s v="INFANTIL "/>
    <x v="1"/>
    <n v="7.2"/>
  </r>
  <r>
    <d v="2026-04-17T00:00:00"/>
    <s v="HOSPITAL "/>
    <x v="1"/>
    <n v="8.15"/>
  </r>
  <r>
    <d v="2026-04-17T00:00:00"/>
    <s v="ASIATICA"/>
    <x v="1"/>
    <n v="21.4"/>
  </r>
  <r>
    <d v="2026-04-17T00:00:00"/>
    <s v="AMERICANA"/>
    <x v="1"/>
    <n v="32.25"/>
  </r>
  <r>
    <d v="2026-04-17T00:00:00"/>
    <s v="AMERICANA"/>
    <x v="1"/>
    <n v="21.45"/>
  </r>
  <r>
    <d v="2026-04-17T00:00:00"/>
    <s v="CUARENTENA"/>
    <x v="1"/>
    <n v="9.0500000000000007"/>
  </r>
  <r>
    <d v="2026-04-20T00:00:00"/>
    <s v="INFANTIL "/>
    <x v="1"/>
    <n v="2.0499999999999998"/>
  </r>
  <r>
    <d v="2026-04-20T00:00:00"/>
    <s v="HOSPITAL "/>
    <x v="1"/>
    <n v="2.15"/>
  </r>
  <r>
    <d v="2026-04-20T00:00:00"/>
    <s v="ASIATICA"/>
    <x v="1"/>
    <n v="25"/>
  </r>
  <r>
    <d v="2026-04-20T00:00:00"/>
    <s v="CUARENTENA"/>
    <x v="1"/>
    <n v="11.05"/>
  </r>
  <r>
    <d v="2026-04-20T00:00:00"/>
    <s v="AMERICANA"/>
    <x v="1"/>
    <n v="33.049999999999997"/>
  </r>
  <r>
    <d v="2026-04-20T00:00:00"/>
    <s v="AFRICANA"/>
    <x v="1"/>
    <n v="35.299999999999997"/>
  </r>
  <r>
    <d v="2026-04-21T00:00:00"/>
    <s v="AFRICANA"/>
    <x v="2"/>
    <n v="36.65"/>
  </r>
  <r>
    <d v="2026-04-21T00:00:00"/>
    <s v="CUARENTENA"/>
    <x v="0"/>
    <n v="5.45"/>
  </r>
  <r>
    <d v="2026-04-21T00:00:00"/>
    <s v="CUARENTENA"/>
    <x v="1"/>
    <n v="5.9"/>
  </r>
  <r>
    <d v="2026-04-21T00:00:00"/>
    <s v="ASIATICA"/>
    <x v="0"/>
    <n v="31"/>
  </r>
  <r>
    <d v="2026-04-21T00:00:00"/>
    <s v="AMERICANA"/>
    <x v="0"/>
    <n v="31.25"/>
  </r>
  <r>
    <d v="2026-04-21T00:00:00"/>
    <s v="AMERICANA"/>
    <x v="1"/>
    <n v="9.65"/>
  </r>
  <r>
    <d v="2026-04-21T00:00:00"/>
    <s v="HOSPITAL "/>
    <x v="1"/>
    <n v="2.2999999999999998"/>
  </r>
  <r>
    <d v="2026-04-21T00:00:00"/>
    <s v="INFANTIL "/>
    <x v="1"/>
    <n v="3.7"/>
  </r>
  <r>
    <d v="2026-04-22T00:00:00"/>
    <s v="AFRICANA"/>
    <x v="1"/>
    <n v="34"/>
  </r>
  <r>
    <d v="2026-04-22T00:00:00"/>
    <s v="AMERICANA"/>
    <x v="1"/>
    <n v="24.55"/>
  </r>
  <r>
    <d v="2026-04-22T00:00:00"/>
    <s v="ASIATICA"/>
    <x v="1"/>
    <n v="9"/>
  </r>
  <r>
    <d v="2026-04-22T00:00:00"/>
    <s v="CUARENTENA"/>
    <x v="1"/>
    <n v="2.6"/>
  </r>
  <r>
    <d v="2026-04-22T00:00:00"/>
    <s v="HOSPITAL "/>
    <x v="1"/>
    <n v="2.25"/>
  </r>
  <r>
    <d v="2026-04-22T00:00:00"/>
    <s v="AMERICANA"/>
    <x v="1"/>
    <n v="6.2"/>
  </r>
  <r>
    <d v="2026-04-23T00:00:00"/>
    <s v="CUARENTENA"/>
    <x v="0"/>
    <n v="4.5"/>
  </r>
  <r>
    <d v="2026-04-23T00:00:00"/>
    <s v="CUARENTENA"/>
    <x v="0"/>
    <n v="2.5"/>
  </r>
  <r>
    <d v="2026-04-23T00:00:00"/>
    <s v="AFRICANA"/>
    <x v="2"/>
    <n v="36.1"/>
  </r>
  <r>
    <d v="2026-04-23T00:00:00"/>
    <s v="ASIATICA"/>
    <x v="2"/>
    <n v="23.8"/>
  </r>
  <r>
    <d v="2026-04-23T00:00:00"/>
    <s v="CUARENTENA"/>
    <x v="1"/>
    <n v="5"/>
  </r>
  <r>
    <d v="2026-04-23T00:00:00"/>
    <s v="AMERICANA"/>
    <x v="0"/>
    <n v="24.5"/>
  </r>
  <r>
    <d v="2026-04-23T00:00:00"/>
    <s v="HOSPITAL "/>
    <x v="1"/>
    <n v="2.15"/>
  </r>
  <r>
    <d v="2026-04-23T00:00:00"/>
    <s v="INFANTIL "/>
    <x v="1"/>
    <n v="3.45"/>
  </r>
  <r>
    <d v="2026-04-23T00:00:00"/>
    <s v="AMERICANA"/>
    <x v="1"/>
    <n v="8.5"/>
  </r>
  <r>
    <d v="2026-04-24T00:00:00"/>
    <s v="AFRICANA"/>
    <x v="2"/>
    <n v="26.2"/>
  </r>
  <r>
    <m/>
    <s v="ASIATICA"/>
    <x v="0"/>
    <n v="24.1"/>
  </r>
  <r>
    <m/>
    <s v="CUARENTENA"/>
    <x v="2"/>
    <n v="8.1999999999999993"/>
  </r>
  <r>
    <m/>
    <s v="AMERICANA"/>
    <x v="2"/>
    <s v="17,,2"/>
  </r>
  <r>
    <m/>
    <s v="INFANTIL "/>
    <x v="1"/>
    <n v="2.9"/>
  </r>
  <r>
    <m/>
    <s v="HOSPITAL "/>
    <x v="1"/>
    <n v="2.6"/>
  </r>
  <r>
    <m/>
    <s v="CUARENTENA"/>
    <x v="1"/>
    <n v="16.100000000000001"/>
  </r>
  <r>
    <m/>
    <s v="ASIATICA"/>
    <x v="1"/>
    <n v="21.2"/>
  </r>
  <r>
    <m/>
    <s v="AFRICANA"/>
    <x v="1"/>
    <n v="24.6"/>
  </r>
  <r>
    <m/>
    <s v="AMERICANA"/>
    <x v="1"/>
    <n v="24.2"/>
  </r>
  <r>
    <m/>
    <s v="CUARENTENA"/>
    <x v="1"/>
    <n v="12.1"/>
  </r>
  <r>
    <m/>
    <s v="INFANTIL "/>
    <x v="1"/>
    <n v="3.9"/>
  </r>
  <r>
    <m/>
    <s v="HOSPITAL "/>
    <x v="1"/>
    <n v="2.8"/>
  </r>
  <r>
    <m/>
    <s v="AMERICANA"/>
    <x v="0"/>
    <n v="16.2"/>
  </r>
  <r>
    <m/>
    <s v="AFRICANA"/>
    <x v="2"/>
    <n v="26.8"/>
  </r>
  <r>
    <m/>
    <s v="ASIATICA"/>
    <x v="2"/>
    <n v="14.6"/>
  </r>
  <r>
    <d v="2026-04-28T00:00:00"/>
    <s v="HOSPITAL "/>
    <x v="1"/>
    <n v="3.2"/>
  </r>
  <r>
    <d v="2026-04-28T00:00:00"/>
    <s v="ASIATICA"/>
    <x v="1"/>
    <n v="24"/>
  </r>
  <r>
    <d v="2026-04-28T00:00:00"/>
    <s v="AFRICANA"/>
    <x v="1"/>
    <n v="35.1"/>
  </r>
  <r>
    <d v="2026-04-28T00:00:00"/>
    <s v="AMERICANA"/>
    <x v="1"/>
    <n v="24"/>
  </r>
  <r>
    <d v="2026-04-28T00:00:00"/>
    <s v="CUARENTENA"/>
    <x v="1"/>
    <n v="9.15"/>
  </r>
  <r>
    <d v="2026-04-28T00:00:00"/>
    <s v="INFANTIL "/>
    <x v="1"/>
    <n v="3.3"/>
  </r>
  <r>
    <d v="2026-04-28T00:00:00"/>
    <s v="HOSPITAL "/>
    <x v="1"/>
    <n v="1.1499999999999999"/>
  </r>
  <r>
    <d v="2026-04-29T00:00:00"/>
    <s v="INFANTIL "/>
    <x v="1"/>
    <n v="1.75"/>
  </r>
  <r>
    <d v="2026-04-29T00:00:00"/>
    <s v="CUARENTENA"/>
    <x v="1"/>
    <n v="7.9"/>
  </r>
  <r>
    <d v="2026-04-29T00:00:00"/>
    <s v="AMERICANA"/>
    <x v="1"/>
    <n v="28.9"/>
  </r>
  <r>
    <d v="2026-04-29T00:00:00"/>
    <s v="AFRICANA"/>
    <x v="1"/>
    <n v="35.04"/>
  </r>
  <r>
    <d v="2026-04-29T00:00:00"/>
    <s v="HOSPITAL "/>
    <x v="1"/>
    <n v="2.2999999999999998"/>
  </r>
  <r>
    <d v="2026-04-29T00:00:00"/>
    <s v="ASIATICA"/>
    <x v="1"/>
    <n v="23"/>
  </r>
  <r>
    <d v="2026-04-30T00:00:00"/>
    <s v="CUARENTENA"/>
    <x v="2"/>
    <n v="2.85"/>
  </r>
  <r>
    <d v="2026-04-30T00:00:00"/>
    <s v="CUARENTENA"/>
    <x v="1"/>
    <n v="4.1500000000000004"/>
  </r>
  <r>
    <d v="2026-04-30T00:00:00"/>
    <s v="AMERICANA"/>
    <x v="0"/>
    <n v="23.8"/>
  </r>
  <r>
    <d v="2026-04-30T00:00:00"/>
    <s v="ASIATICA"/>
    <x v="2"/>
    <n v="21.4"/>
  </r>
  <r>
    <d v="2026-04-30T00:00:00"/>
    <s v="AMERICANA"/>
    <x v="1"/>
    <n v="10.4"/>
  </r>
  <r>
    <d v="2026-04-30T00:00:00"/>
    <s v="AFRICANA"/>
    <x v="2"/>
    <n v="36.549999999999997"/>
  </r>
  <r>
    <d v="2026-04-30T00:00:00"/>
    <s v="INFANTIL "/>
    <x v="1"/>
    <n v="2.85"/>
  </r>
  <r>
    <d v="2026-04-30T00:00:00"/>
    <s v="HOSPITAL "/>
    <x v="1"/>
    <n v="2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89680-951F-4985-8877-1E183C9ED098}" name="TablaDinámica17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ANTIDAD " fld="3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6F910-2263-4236-A605-603D1D2A950D}" name="TablaDinámica7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2" firstHeaderRow="1" firstDataRow="1" firstDataCol="1"/>
  <pivotFields count="4">
    <pivotField showAll="0"/>
    <pivotField showAll="0"/>
    <pivotField axis="axisRow" showAll="0">
      <items count="19">
        <item x="1"/>
        <item x="12"/>
        <item x="2"/>
        <item x="10"/>
        <item x="6"/>
        <item x="11"/>
        <item x="5"/>
        <item x="16"/>
        <item x="9"/>
        <item x="8"/>
        <item x="7"/>
        <item x="3"/>
        <item x="4"/>
        <item x="13"/>
        <item x="15"/>
        <item x="0"/>
        <item x="14"/>
        <item x="17"/>
        <item t="default"/>
      </items>
    </pivotField>
    <pivotField dataField="1"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a de CANTIDAD " fld="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EE403-1617-4E82-9897-C3E3E3D19EC2}" name="TablaDinámica8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8:H27" firstHeaderRow="1" firstDataRow="1" firstDataCol="1"/>
  <pivotFields count="4">
    <pivotField showAll="0"/>
    <pivotField showAll="0"/>
    <pivotField axis="axisRow" showAll="0">
      <items count="19">
        <item x="1"/>
        <item x="12"/>
        <item x="2"/>
        <item x="10"/>
        <item x="6"/>
        <item x="11"/>
        <item x="5"/>
        <item x="16"/>
        <item x="9"/>
        <item x="8"/>
        <item x="7"/>
        <item x="3"/>
        <item x="4"/>
        <item x="13"/>
        <item x="15"/>
        <item x="0"/>
        <item x="14"/>
        <item x="17"/>
        <item t="default"/>
      </items>
    </pivotField>
    <pivotField dataField="1"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a de CANTIDAD " fld="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FB539-4DC5-4AD0-8D10-C40B18ECDCDD}" name="TablaDinámica1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8:N15" firstHeaderRow="1" firstDataRow="3" firstDataCol="1" rowPageCount="1" colPageCount="1"/>
  <pivotFields count="4">
    <pivotField axis="axisCol" showAll="0">
      <items count="5">
        <item x="0"/>
        <item x="1"/>
        <item x="2"/>
        <item x="3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axis="axisCol" dataField="1" showAll="0">
      <items count="4">
        <item x="1"/>
        <item x="0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0"/>
  </colFields>
  <colItems count="8">
    <i>
      <x/>
      <x v="1"/>
    </i>
    <i t="default">
      <x/>
    </i>
    <i>
      <x v="1"/>
      <x/>
    </i>
    <i r="1">
      <x v="2"/>
    </i>
    <i t="default">
      <x v="1"/>
    </i>
    <i>
      <x v="2"/>
      <x v="3"/>
    </i>
    <i t="default">
      <x v="2"/>
    </i>
    <i t="grand">
      <x/>
    </i>
  </colItems>
  <pageFields count="1">
    <pageField fld="1" hier="-1"/>
  </pageFields>
  <dataFields count="1">
    <dataField name="Suma de CANTIDAD " fld="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E38AF6-2B37-4B0B-A486-CE8D64E16224}" name="Tabla3" displayName="Tabla3" ref="A4:H505" totalsRowShown="0" headerRowDxfId="18">
  <autoFilter ref="A4:H505" xr:uid="{2AE38AF6-2B37-4B0B-A486-CE8D64E16224}"/>
  <sortState xmlns:xlrd2="http://schemas.microsoft.com/office/spreadsheetml/2017/richdata2" ref="A5:H505">
    <sortCondition ref="A4:A505"/>
  </sortState>
  <tableColumns count="8">
    <tableColumn id="1" xr3:uid="{AF52C4E1-3044-4C51-BE87-3D9F2DC7814E}" name="FECHA "/>
    <tableColumn id="2" xr3:uid="{F2294639-81A3-4FA6-AD08-82EA2E5F4BF9}" name="FOLIO"/>
    <tableColumn id="3" xr3:uid="{4C8013F8-E1CE-402B-8FB0-235188550C23}" name="PRODUCTO"/>
    <tableColumn id="4" xr3:uid="{CF56DC4F-5652-4FE4-91F2-9881D57EEEB7}" name="PRODUCTO "/>
    <tableColumn id="5" xr3:uid="{BA3747C0-0BC2-47F9-A3FD-D0A1465E08A2}" name="SOLICITUD DE PEDIDO (ACTA)"/>
    <tableColumn id="6" xr3:uid="{2DBD7920-13B9-45A6-8DC2-A725F4BE5144}" name="ENTRADA FISICA "/>
    <tableColumn id="7" xr3:uid="{3C9266B1-4415-4DAD-BAB7-380C60A19449}" name="F/S"/>
    <tableColumn id="8" xr3:uid="{D2FE2A13-562E-4636-9FCD-C64EF8EBAF74}" name="Columna1" dataDxfId="17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D102" totalsRowCount="1">
  <autoFilter ref="A5:D101" xr:uid="{00000000-000C-0000-FFFF-FFFF00000000}"/>
  <sortState xmlns:xlrd2="http://schemas.microsoft.com/office/spreadsheetml/2017/richdata2" ref="A6:D99">
    <sortCondition ref="A5:A99"/>
  </sortState>
  <tableColumns count="4">
    <tableColumn id="1" xr3:uid="{00000000-0010-0000-0000-000001000000}" name="FECHA" totalsRowLabel="29-abr" totalsRowDxfId="16"/>
    <tableColumn id="2" xr3:uid="{00000000-0010-0000-0000-000002000000}" name="AREA" totalsRowLabel="AFRICANA" totalsRowDxfId="15"/>
    <tableColumn id="3" xr3:uid="{00000000-0010-0000-0000-000003000000}" name="CONCEPTO " totalsRowLabel="ALFALFA ACHICALADA " totalsRowDxfId="14"/>
    <tableColumn id="4" xr3:uid="{00000000-0010-0000-0000-000004000000}" name="CANTIDAD " totalsRowLabel="25" totalsRowDxfId="13"/>
  </tableColumns>
  <tableStyleInfo name="TableStyleLight1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D100" totalsRowCount="1">
  <autoFilter ref="A5:D99" xr:uid="{00000000-000C-0000-FFFF-FFFF01000000}"/>
  <tableColumns count="4">
    <tableColumn id="1" xr3:uid="{00000000-0010-0000-0100-000001000000}" name="FECHA" totalsRowDxfId="12"/>
    <tableColumn id="2" xr3:uid="{00000000-0010-0000-0100-000002000000}" name="AREA" totalsRowDxfId="11"/>
    <tableColumn id="3" xr3:uid="{00000000-0010-0000-0100-000003000000}" name="CONCEPTO " totalsRowDxfId="10"/>
    <tableColumn id="4" xr3:uid="{00000000-0010-0000-0100-000004000000}" name="CANTIDAD " totalsRowFunction="custom" totalsRowDxfId="9">
      <totalsRowFormula>SUBTOTAL(109,'SALIDA VARIOS '!$D$6:$D$99)</totalsRowFormula>
    </tableColumn>
  </tableColumns>
  <tableStyleInfo name="SALIDA VARIOS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8" dT="2026-05-27T04:47:37.95" personId="{0CC25C2A-49CD-4F0E-AF0E-EE7B476B1DF6}" id="{8BE8E91E-FEC0-4816-AD8A-EB792C82239C}">
    <text>Lo debe el proveedor</text>
  </threadedComment>
  <threadedComment ref="M18" dT="2026-05-27T04:47:29.63" personId="{0CC25C2A-49CD-4F0E-AF0E-EE7B476B1DF6}" id="{2CDE74E6-4B9A-4275-971E-6FF5F649522C}">
    <text xml:space="preserve">6.66 lo debe el zoologico
</text>
  </threadedComment>
  <threadedComment ref="I19" dT="2026-05-27T04:52:32.29" personId="{0CC25C2A-49CD-4F0E-AF0E-EE7B476B1DF6}" id="{7E1035A1-309B-4E7B-8E60-FC99CA788DA9}">
    <text xml:space="preserve">Revisen salidas LILIANA
</text>
  </threadedComment>
  <threadedComment ref="I20" dT="2026-05-27T04:55:20.77" personId="{0CC25C2A-49CD-4F0E-AF0E-EE7B476B1DF6}" id="{499B849E-3203-4E28-A65E-4C37480CDDBE}">
    <text xml:space="preserve">Debe un kilogramo el zoologico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8" dT="2026-05-27T04:47:37.95" personId="{0CC25C2A-49CD-4F0E-AF0E-EE7B476B1DF6}" id="{C9918E44-4E93-4541-BFE2-636A6160E7A3}">
    <text>Lo debe el proveedor</text>
  </threadedComment>
  <threadedComment ref="M18" dT="2026-05-27T04:47:29.63" personId="{0CC25C2A-49CD-4F0E-AF0E-EE7B476B1DF6}" id="{90FAE10C-60CA-4B99-85A1-AC6F96E90686}">
    <text xml:space="preserve">6.66 lo debe el zoologico
</text>
  </threadedComment>
  <threadedComment ref="I19" dT="2026-05-27T04:52:32.29" personId="{0CC25C2A-49CD-4F0E-AF0E-EE7B476B1DF6}" id="{B1C0362D-0BB2-474F-B60F-122810446183}">
    <text xml:space="preserve">Revisen salidas LILIANA
</text>
  </threadedComment>
  <threadedComment ref="I20" dT="2026-05-27T04:55:20.77" personId="{0CC25C2A-49CD-4F0E-AF0E-EE7B476B1DF6}" id="{B4C657C7-A333-46DE-B158-27008579B662}">
    <text xml:space="preserve">Debe un kilogramo el zoologico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8" dT="2026-05-27T04:47:37.95" personId="{0CC25C2A-49CD-4F0E-AF0E-EE7B476B1DF6}" id="{1857CDD5-9479-4CA5-A08D-0A81D0405B95}">
    <text>Lo debe el proveedor</text>
  </threadedComment>
  <threadedComment ref="M18" dT="2026-05-27T04:47:29.63" personId="{0CC25C2A-49CD-4F0E-AF0E-EE7B476B1DF6}" id="{6DFE54AC-75CE-4D05-A2C3-657851AA0C37}">
    <text xml:space="preserve">6.66 lo debe el zoologico
</text>
  </threadedComment>
  <threadedComment ref="I19" dT="2026-05-27T04:52:32.29" personId="{0CC25C2A-49CD-4F0E-AF0E-EE7B476B1DF6}" id="{B2923E41-96B9-485E-BD80-23438C23279A}">
    <text xml:space="preserve">Revisen salidas LILIANA
</text>
  </threadedComment>
  <threadedComment ref="I20" dT="2026-05-27T04:55:20.77" personId="{0CC25C2A-49CD-4F0E-AF0E-EE7B476B1DF6}" id="{FB8FD269-3E00-466C-8362-B55486B583FC}">
    <text xml:space="preserve">Debe un kilogramo el zoologico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B07F-1BC1-4C97-8F07-6DCB68EBDCB5}">
  <sheetPr>
    <tabColor rgb="FFFF0000"/>
    <pageSetUpPr fitToPage="1"/>
  </sheetPr>
  <dimension ref="A1:Y123"/>
  <sheetViews>
    <sheetView tabSelected="1" zoomScale="70" zoomScaleNormal="70" workbookViewId="0">
      <pane ySplit="7" topLeftCell="A73" activePane="bottomLeft" state="frozen"/>
      <selection activeCell="B1" sqref="B1"/>
      <selection pane="bottomLeft" activeCell="K80" sqref="K80"/>
    </sheetView>
  </sheetViews>
  <sheetFormatPr baseColWidth="10" defaultColWidth="11.44140625" defaultRowHeight="14.4" x14ac:dyDescent="0.3"/>
  <cols>
    <col min="1" max="1" width="11.44140625" style="205"/>
    <col min="2" max="2" width="38.44140625" style="205" customWidth="1"/>
    <col min="3" max="4" width="13.6640625" style="206" customWidth="1"/>
    <col min="5" max="5" width="10.109375" style="207" customWidth="1"/>
    <col min="6" max="6" width="14.109375" style="208" customWidth="1"/>
    <col min="7" max="7" width="14.33203125" style="208" customWidth="1"/>
    <col min="8" max="8" width="12.88671875" style="208" customWidth="1"/>
    <col min="9" max="9" width="13.33203125" style="208" customWidth="1"/>
    <col min="10" max="10" width="13" style="208" customWidth="1"/>
    <col min="11" max="11" width="19.109375" style="288" customWidth="1"/>
    <col min="12" max="12" width="15.88671875" style="288" hidden="1" customWidth="1"/>
    <col min="13" max="13" width="18.109375" style="288" hidden="1" customWidth="1"/>
    <col min="14" max="14" width="15.33203125" style="288" hidden="1" customWidth="1"/>
    <col min="15" max="15" width="11.5546875" style="288" hidden="1" customWidth="1"/>
    <col min="16" max="16" width="7.44140625" style="199" hidden="1" customWidth="1"/>
    <col min="17" max="17" width="7.6640625" style="200" customWidth="1"/>
    <col min="18" max="18" width="3.44140625" style="200" hidden="1" customWidth="1"/>
    <col min="19" max="19" width="16.33203125" style="200" customWidth="1"/>
    <col min="20" max="20" width="11.44140625" style="200" customWidth="1"/>
    <col min="21" max="21" width="21.109375" style="200" customWidth="1"/>
    <col min="22" max="22" width="11.44140625" style="200" customWidth="1"/>
    <col min="23" max="23" width="20.21875" style="200" customWidth="1"/>
    <col min="24" max="24" width="11.44140625" style="200" customWidth="1"/>
    <col min="25" max="25" width="18" style="200" customWidth="1"/>
    <col min="26" max="26" width="11.44140625" style="200" customWidth="1"/>
    <col min="27" max="16384" width="11.44140625" style="200"/>
  </cols>
  <sheetData>
    <row r="1" spans="1:25" ht="15" customHeight="1" x14ac:dyDescent="0.3">
      <c r="A1" s="341" t="s">
        <v>115</v>
      </c>
      <c r="B1" s="341"/>
      <c r="C1" s="341"/>
      <c r="D1" s="341"/>
      <c r="E1" s="341"/>
      <c r="F1" s="341"/>
      <c r="G1" s="341"/>
      <c r="H1" s="341"/>
      <c r="I1" s="341"/>
      <c r="J1" s="341"/>
      <c r="K1" s="342"/>
      <c r="L1" s="342"/>
      <c r="M1" s="342"/>
      <c r="N1" s="342"/>
      <c r="O1" s="285"/>
    </row>
    <row r="2" spans="1:25" ht="15" customHeight="1" x14ac:dyDescent="0.3">
      <c r="A2" s="341" t="s">
        <v>0</v>
      </c>
      <c r="B2" s="341"/>
      <c r="C2" s="341"/>
      <c r="D2" s="341"/>
      <c r="E2" s="341"/>
      <c r="F2" s="341"/>
      <c r="G2" s="341"/>
      <c r="H2" s="341"/>
      <c r="I2" s="341"/>
      <c r="J2" s="341"/>
      <c r="K2" s="342"/>
      <c r="L2" s="342"/>
      <c r="M2" s="342"/>
      <c r="N2" s="342"/>
      <c r="O2" s="285"/>
    </row>
    <row r="3" spans="1:25" ht="15" customHeight="1" x14ac:dyDescent="0.3">
      <c r="A3" s="341" t="s">
        <v>64</v>
      </c>
      <c r="B3" s="341"/>
      <c r="C3" s="341"/>
      <c r="D3" s="341"/>
      <c r="E3" s="341"/>
      <c r="F3" s="341"/>
      <c r="G3" s="341"/>
      <c r="H3" s="341"/>
      <c r="I3" s="341"/>
      <c r="J3" s="341"/>
      <c r="K3" s="342"/>
      <c r="L3" s="342"/>
      <c r="M3" s="342"/>
      <c r="N3" s="342"/>
      <c r="O3" s="285"/>
    </row>
    <row r="4" spans="1:25" ht="15.75" customHeight="1" x14ac:dyDescent="0.3">
      <c r="A4" s="201"/>
      <c r="B4" s="201"/>
      <c r="C4" s="202"/>
      <c r="D4" s="202"/>
      <c r="E4" s="201"/>
      <c r="F4" s="201"/>
      <c r="G4" s="201"/>
      <c r="H4" s="201"/>
      <c r="I4" s="203"/>
      <c r="J4" s="203"/>
      <c r="K4" s="204"/>
      <c r="L4" s="204"/>
      <c r="M4" s="204"/>
      <c r="N4" s="204"/>
      <c r="O4" s="204"/>
    </row>
    <row r="5" spans="1:25" ht="18" x14ac:dyDescent="0.35">
      <c r="G5" s="343" t="s">
        <v>262</v>
      </c>
      <c r="H5" s="343"/>
      <c r="I5" s="343"/>
      <c r="J5" s="343"/>
      <c r="K5" s="344"/>
      <c r="L5" s="344"/>
      <c r="M5" s="344"/>
      <c r="N5" s="344"/>
      <c r="O5" s="328"/>
    </row>
    <row r="6" spans="1:25" ht="18" x14ac:dyDescent="0.35">
      <c r="G6" s="209"/>
      <c r="H6" s="209"/>
      <c r="I6" s="209"/>
      <c r="J6" s="209"/>
      <c r="K6" s="286"/>
      <c r="L6" s="286"/>
      <c r="M6" s="286"/>
      <c r="N6" s="286"/>
      <c r="O6" s="328"/>
    </row>
    <row r="7" spans="1:25" ht="66" customHeight="1" x14ac:dyDescent="0.3">
      <c r="A7" s="210" t="s">
        <v>117</v>
      </c>
      <c r="B7" s="210" t="s">
        <v>118</v>
      </c>
      <c r="C7" s="211" t="s">
        <v>218</v>
      </c>
      <c r="D7" s="211" t="s">
        <v>263</v>
      </c>
      <c r="E7" s="210" t="s">
        <v>121</v>
      </c>
      <c r="F7" s="210" t="s">
        <v>242</v>
      </c>
      <c r="G7" s="210" t="s">
        <v>243</v>
      </c>
      <c r="H7" s="210" t="s">
        <v>126</v>
      </c>
      <c r="I7" s="210" t="s">
        <v>127</v>
      </c>
      <c r="J7" s="210" t="s">
        <v>128</v>
      </c>
      <c r="K7" s="287" t="s">
        <v>244</v>
      </c>
      <c r="L7" s="287" t="s">
        <v>268</v>
      </c>
      <c r="M7" s="287" t="s">
        <v>269</v>
      </c>
      <c r="N7" s="287" t="s">
        <v>130</v>
      </c>
      <c r="O7" s="287" t="s">
        <v>275</v>
      </c>
      <c r="P7" s="210" t="s">
        <v>245</v>
      </c>
      <c r="Q7" s="212"/>
      <c r="R7" s="212"/>
      <c r="S7" s="210" t="s">
        <v>247</v>
      </c>
      <c r="T7" s="210" t="s">
        <v>248</v>
      </c>
      <c r="U7" s="210" t="s">
        <v>249</v>
      </c>
      <c r="V7" s="210" t="s">
        <v>250</v>
      </c>
      <c r="W7" s="210" t="s">
        <v>251</v>
      </c>
      <c r="X7" s="210" t="s">
        <v>252</v>
      </c>
      <c r="Y7" s="210" t="s">
        <v>68</v>
      </c>
    </row>
    <row r="8" spans="1:25" s="228" customFormat="1" ht="15" x14ac:dyDescent="0.25">
      <c r="A8" s="215">
        <v>2220001</v>
      </c>
      <c r="B8" s="283" t="s">
        <v>12</v>
      </c>
      <c r="C8" s="330">
        <v>36.5</v>
      </c>
      <c r="D8" s="330">
        <v>36.5</v>
      </c>
      <c r="E8" s="217" t="s">
        <v>131</v>
      </c>
      <c r="F8" s="218">
        <v>0</v>
      </c>
      <c r="G8" s="219">
        <v>1271</v>
      </c>
      <c r="H8" s="219">
        <v>0</v>
      </c>
      <c r="I8" s="333">
        <f>1295-25</f>
        <v>1270</v>
      </c>
      <c r="J8" s="223">
        <v>0</v>
      </c>
      <c r="K8" s="237">
        <f t="shared" ref="K8:K71" si="0">F8+G8+H8-I8-J8</f>
        <v>1</v>
      </c>
      <c r="L8" s="336">
        <v>25</v>
      </c>
      <c r="M8" s="292">
        <v>15</v>
      </c>
      <c r="N8" s="237">
        <v>16</v>
      </c>
      <c r="O8" s="237"/>
      <c r="P8" s="225">
        <f>N8-K8</f>
        <v>15</v>
      </c>
      <c r="Q8" s="224"/>
      <c r="R8" s="224"/>
      <c r="S8" s="226">
        <f t="shared" ref="S8:S25" si="1">C8*F8</f>
        <v>0</v>
      </c>
      <c r="T8" s="227">
        <v>0</v>
      </c>
      <c r="U8" s="226">
        <f t="shared" ref="U8:U71" si="2">G8*D8</f>
        <v>46391.5</v>
      </c>
      <c r="V8" s="226">
        <f t="shared" ref="V8:V71" si="3">H8*D8</f>
        <v>0</v>
      </c>
      <c r="W8" s="226">
        <f t="shared" ref="W8:W71" si="4">I8*D8</f>
        <v>46355</v>
      </c>
      <c r="X8" s="226">
        <f t="shared" ref="X8:X71" si="5">J8*D8</f>
        <v>0</v>
      </c>
      <c r="Y8" s="226">
        <f t="shared" ref="Y8:Y71" si="6">S8+T8+U8+V8-W8-X8</f>
        <v>36.5</v>
      </c>
    </row>
    <row r="9" spans="1:25" s="228" customFormat="1" ht="15" x14ac:dyDescent="0.25">
      <c r="A9" s="215">
        <v>2220044</v>
      </c>
      <c r="B9" s="283" t="s">
        <v>132</v>
      </c>
      <c r="C9" s="330">
        <v>305</v>
      </c>
      <c r="D9" s="330">
        <v>305</v>
      </c>
      <c r="E9" s="217" t="s">
        <v>133</v>
      </c>
      <c r="F9" s="218">
        <v>0</v>
      </c>
      <c r="G9" s="219">
        <f>2500+36</f>
        <v>2536</v>
      </c>
      <c r="H9" s="219">
        <v>0</v>
      </c>
      <c r="I9" s="305">
        <f>2452+36</f>
        <v>2488</v>
      </c>
      <c r="J9" s="223">
        <v>0</v>
      </c>
      <c r="K9" s="237">
        <f t="shared" si="0"/>
        <v>48</v>
      </c>
      <c r="L9" s="336">
        <v>0</v>
      </c>
      <c r="N9" s="237">
        <v>48</v>
      </c>
      <c r="O9" s="237"/>
      <c r="P9" s="225">
        <f t="shared" ref="P9:P72" si="7">N9-K9</f>
        <v>0</v>
      </c>
      <c r="Q9" s="224"/>
      <c r="R9" s="224"/>
      <c r="S9" s="226">
        <f t="shared" si="1"/>
        <v>0</v>
      </c>
      <c r="T9" s="227">
        <v>0</v>
      </c>
      <c r="U9" s="226">
        <f t="shared" si="2"/>
        <v>773480</v>
      </c>
      <c r="V9" s="226">
        <f t="shared" si="3"/>
        <v>0</v>
      </c>
      <c r="W9" s="226">
        <f t="shared" si="4"/>
        <v>758840</v>
      </c>
      <c r="X9" s="226">
        <f t="shared" si="5"/>
        <v>0</v>
      </c>
      <c r="Y9" s="226">
        <f t="shared" si="6"/>
        <v>14640</v>
      </c>
    </row>
    <row r="10" spans="1:25" s="228" customFormat="1" ht="15" x14ac:dyDescent="0.25">
      <c r="A10" s="215">
        <v>2220002</v>
      </c>
      <c r="B10" s="283" t="s">
        <v>14</v>
      </c>
      <c r="C10" s="330">
        <v>57.3</v>
      </c>
      <c r="D10" s="330">
        <v>57.3</v>
      </c>
      <c r="E10" s="217" t="s">
        <v>131</v>
      </c>
      <c r="F10" s="229">
        <v>0</v>
      </c>
      <c r="G10" s="219">
        <v>2445</v>
      </c>
      <c r="H10" s="219">
        <v>0</v>
      </c>
      <c r="I10" s="333">
        <f>2612-167</f>
        <v>2445</v>
      </c>
      <c r="J10" s="223">
        <v>0</v>
      </c>
      <c r="K10" s="237">
        <f>F10+G10+H10-I10-J10</f>
        <v>0</v>
      </c>
      <c r="L10" s="336">
        <v>111</v>
      </c>
      <c r="M10" s="292">
        <v>90</v>
      </c>
      <c r="N10" s="237">
        <v>34</v>
      </c>
      <c r="O10" s="237"/>
      <c r="P10" s="225">
        <f t="shared" si="7"/>
        <v>34</v>
      </c>
      <c r="Q10" s="224"/>
      <c r="R10" s="224"/>
      <c r="S10" s="226">
        <f t="shared" si="1"/>
        <v>0</v>
      </c>
      <c r="T10" s="227">
        <v>0</v>
      </c>
      <c r="U10" s="226">
        <f t="shared" si="2"/>
        <v>140098.5</v>
      </c>
      <c r="V10" s="226">
        <f t="shared" si="3"/>
        <v>0</v>
      </c>
      <c r="W10" s="226">
        <f t="shared" si="4"/>
        <v>140098.5</v>
      </c>
      <c r="X10" s="226">
        <f t="shared" si="5"/>
        <v>0</v>
      </c>
      <c r="Y10" s="226">
        <f t="shared" si="6"/>
        <v>0</v>
      </c>
    </row>
    <row r="11" spans="1:25" s="228" customFormat="1" ht="15" x14ac:dyDescent="0.25">
      <c r="A11" s="215">
        <v>2220085</v>
      </c>
      <c r="B11" s="283" t="s">
        <v>134</v>
      </c>
      <c r="C11" s="330">
        <v>2725</v>
      </c>
      <c r="D11" s="330">
        <v>2725</v>
      </c>
      <c r="E11" s="217" t="s">
        <v>135</v>
      </c>
      <c r="F11" s="218">
        <v>1</v>
      </c>
      <c r="G11" s="219">
        <v>0</v>
      </c>
      <c r="H11" s="219">
        <v>0</v>
      </c>
      <c r="I11" s="305">
        <v>0</v>
      </c>
      <c r="J11" s="223">
        <v>0</v>
      </c>
      <c r="K11" s="237">
        <f t="shared" si="0"/>
        <v>1</v>
      </c>
      <c r="L11" s="336"/>
      <c r="M11" s="292"/>
      <c r="N11" s="237">
        <v>1</v>
      </c>
      <c r="O11" s="237"/>
      <c r="P11" s="225">
        <f t="shared" si="7"/>
        <v>0</v>
      </c>
      <c r="Q11" s="224"/>
      <c r="R11" s="224"/>
      <c r="S11" s="226">
        <f t="shared" si="1"/>
        <v>2725</v>
      </c>
      <c r="T11" s="227">
        <v>0</v>
      </c>
      <c r="U11" s="226">
        <f t="shared" si="2"/>
        <v>0</v>
      </c>
      <c r="V11" s="226">
        <f t="shared" si="3"/>
        <v>0</v>
      </c>
      <c r="W11" s="226">
        <f t="shared" si="4"/>
        <v>0</v>
      </c>
      <c r="X11" s="226">
        <f t="shared" si="5"/>
        <v>0</v>
      </c>
      <c r="Y11" s="226">
        <f t="shared" si="6"/>
        <v>2725</v>
      </c>
    </row>
    <row r="12" spans="1:25" s="228" customFormat="1" ht="15" x14ac:dyDescent="0.25">
      <c r="A12" s="215">
        <v>2220003</v>
      </c>
      <c r="B12" s="283" t="s">
        <v>136</v>
      </c>
      <c r="C12" s="330">
        <v>29.2</v>
      </c>
      <c r="D12" s="330">
        <v>29.2</v>
      </c>
      <c r="E12" s="217" t="s">
        <v>137</v>
      </c>
      <c r="F12" s="218">
        <v>0</v>
      </c>
      <c r="G12" s="219">
        <v>50</v>
      </c>
      <c r="H12" s="219">
        <v>0</v>
      </c>
      <c r="I12" s="333">
        <f>54.15-4.15</f>
        <v>50</v>
      </c>
      <c r="J12" s="223">
        <v>0</v>
      </c>
      <c r="K12" s="237">
        <f t="shared" si="0"/>
        <v>0</v>
      </c>
      <c r="L12" s="336">
        <v>3.15</v>
      </c>
      <c r="M12" s="292">
        <v>1.6</v>
      </c>
      <c r="N12" s="237">
        <v>0.6</v>
      </c>
      <c r="O12" s="237"/>
      <c r="P12" s="225">
        <f t="shared" si="7"/>
        <v>0.6</v>
      </c>
      <c r="Q12" s="224"/>
      <c r="R12" s="224"/>
      <c r="S12" s="226">
        <f t="shared" si="1"/>
        <v>0</v>
      </c>
      <c r="T12" s="227">
        <v>0</v>
      </c>
      <c r="U12" s="226">
        <f t="shared" si="2"/>
        <v>1460</v>
      </c>
      <c r="V12" s="226">
        <f t="shared" si="3"/>
        <v>0</v>
      </c>
      <c r="W12" s="226">
        <f t="shared" si="4"/>
        <v>1460</v>
      </c>
      <c r="X12" s="226">
        <f t="shared" si="5"/>
        <v>0</v>
      </c>
      <c r="Y12" s="226">
        <f t="shared" si="6"/>
        <v>0</v>
      </c>
    </row>
    <row r="13" spans="1:25" s="228" customFormat="1" ht="15" x14ac:dyDescent="0.25">
      <c r="A13" s="215">
        <v>2220030</v>
      </c>
      <c r="B13" s="283" t="s">
        <v>138</v>
      </c>
      <c r="C13" s="330">
        <v>62.5</v>
      </c>
      <c r="D13" s="330">
        <v>62.5</v>
      </c>
      <c r="E13" s="217" t="s">
        <v>137</v>
      </c>
      <c r="F13" s="218">
        <v>0</v>
      </c>
      <c r="G13" s="219">
        <v>43</v>
      </c>
      <c r="H13" s="219">
        <v>0</v>
      </c>
      <c r="I13" s="305">
        <v>26</v>
      </c>
      <c r="J13" s="223">
        <v>0</v>
      </c>
      <c r="K13" s="237">
        <f t="shared" si="0"/>
        <v>17</v>
      </c>
      <c r="L13" s="336"/>
      <c r="M13" s="292"/>
      <c r="N13" s="237">
        <v>17</v>
      </c>
      <c r="O13" s="237"/>
      <c r="P13" s="225">
        <f t="shared" si="7"/>
        <v>0</v>
      </c>
      <c r="Q13" s="224"/>
      <c r="R13" s="224"/>
      <c r="S13" s="226">
        <f t="shared" si="1"/>
        <v>0</v>
      </c>
      <c r="T13" s="227">
        <v>0</v>
      </c>
      <c r="U13" s="226">
        <f t="shared" si="2"/>
        <v>2687.5</v>
      </c>
      <c r="V13" s="226">
        <f t="shared" si="3"/>
        <v>0</v>
      </c>
      <c r="W13" s="226">
        <f t="shared" si="4"/>
        <v>1625</v>
      </c>
      <c r="X13" s="226">
        <f t="shared" si="5"/>
        <v>0</v>
      </c>
      <c r="Y13" s="226">
        <f t="shared" si="6"/>
        <v>1062.5</v>
      </c>
    </row>
    <row r="14" spans="1:25" s="228" customFormat="1" ht="15" x14ac:dyDescent="0.25">
      <c r="A14" s="215">
        <v>2220138</v>
      </c>
      <c r="B14" s="283" t="s">
        <v>139</v>
      </c>
      <c r="C14" s="330">
        <v>1100</v>
      </c>
      <c r="D14" s="330">
        <v>1100</v>
      </c>
      <c r="E14" s="217" t="s">
        <v>135</v>
      </c>
      <c r="F14" s="218">
        <v>0</v>
      </c>
      <c r="G14" s="219">
        <v>14</v>
      </c>
      <c r="H14" s="219">
        <v>0</v>
      </c>
      <c r="I14" s="305">
        <v>11</v>
      </c>
      <c r="J14" s="223">
        <v>0</v>
      </c>
      <c r="K14" s="237">
        <f t="shared" si="0"/>
        <v>3</v>
      </c>
      <c r="L14" s="336"/>
      <c r="M14" s="292"/>
      <c r="N14" s="237">
        <v>3</v>
      </c>
      <c r="O14" s="237"/>
      <c r="P14" s="225">
        <f t="shared" si="7"/>
        <v>0</v>
      </c>
      <c r="Q14" s="224"/>
      <c r="R14" s="224"/>
      <c r="S14" s="226">
        <f t="shared" si="1"/>
        <v>0</v>
      </c>
      <c r="T14" s="227">
        <v>0</v>
      </c>
      <c r="U14" s="226">
        <f t="shared" si="2"/>
        <v>15400</v>
      </c>
      <c r="V14" s="226">
        <f t="shared" si="3"/>
        <v>0</v>
      </c>
      <c r="W14" s="226">
        <f t="shared" si="4"/>
        <v>12100</v>
      </c>
      <c r="X14" s="226">
        <f t="shared" si="5"/>
        <v>0</v>
      </c>
      <c r="Y14" s="226">
        <f t="shared" si="6"/>
        <v>3300</v>
      </c>
    </row>
    <row r="15" spans="1:25" ht="15" x14ac:dyDescent="0.25">
      <c r="A15" s="215">
        <v>2220046</v>
      </c>
      <c r="B15" s="283" t="s">
        <v>140</v>
      </c>
      <c r="C15" s="330">
        <v>1250</v>
      </c>
      <c r="D15" s="330">
        <v>1250</v>
      </c>
      <c r="E15" s="217" t="s">
        <v>135</v>
      </c>
      <c r="F15" s="218">
        <v>0</v>
      </c>
      <c r="G15" s="219">
        <v>0</v>
      </c>
      <c r="H15" s="219">
        <v>0</v>
      </c>
      <c r="I15" s="305">
        <v>0</v>
      </c>
      <c r="J15" s="223">
        <v>0</v>
      </c>
      <c r="K15" s="237">
        <f t="shared" si="0"/>
        <v>0</v>
      </c>
      <c r="L15" s="336"/>
      <c r="M15" s="292"/>
      <c r="N15" s="237">
        <v>0</v>
      </c>
      <c r="O15" s="237"/>
      <c r="P15" s="225">
        <f t="shared" si="7"/>
        <v>0</v>
      </c>
      <c r="Q15" s="224"/>
      <c r="R15" s="224"/>
      <c r="S15" s="226">
        <f t="shared" si="1"/>
        <v>0</v>
      </c>
      <c r="T15" s="227">
        <v>0</v>
      </c>
      <c r="U15" s="226">
        <f t="shared" si="2"/>
        <v>0</v>
      </c>
      <c r="V15" s="226">
        <f t="shared" si="3"/>
        <v>0</v>
      </c>
      <c r="W15" s="226">
        <f t="shared" si="4"/>
        <v>0</v>
      </c>
      <c r="X15" s="226">
        <f t="shared" si="5"/>
        <v>0</v>
      </c>
      <c r="Y15" s="226">
        <f t="shared" si="6"/>
        <v>0</v>
      </c>
    </row>
    <row r="16" spans="1:25" ht="15" x14ac:dyDescent="0.25">
      <c r="A16" s="215">
        <v>2220134</v>
      </c>
      <c r="B16" s="283" t="s">
        <v>141</v>
      </c>
      <c r="C16" s="330">
        <v>1197.1199999999999</v>
      </c>
      <c r="D16" s="330">
        <v>1197.1199999999999</v>
      </c>
      <c r="E16" s="217" t="s">
        <v>133</v>
      </c>
      <c r="F16" s="218">
        <v>0</v>
      </c>
      <c r="G16" s="219">
        <v>0</v>
      </c>
      <c r="H16" s="219">
        <v>0</v>
      </c>
      <c r="I16" s="305">
        <v>0</v>
      </c>
      <c r="J16" s="223">
        <v>0</v>
      </c>
      <c r="K16" s="237">
        <f t="shared" si="0"/>
        <v>0</v>
      </c>
      <c r="L16" s="336"/>
      <c r="M16" s="292"/>
      <c r="N16" s="237">
        <v>0</v>
      </c>
      <c r="O16" s="237"/>
      <c r="P16" s="225">
        <f t="shared" si="7"/>
        <v>0</v>
      </c>
      <c r="Q16" s="224"/>
      <c r="R16" s="224"/>
      <c r="S16" s="226">
        <f t="shared" si="1"/>
        <v>0</v>
      </c>
      <c r="T16" s="227">
        <v>0</v>
      </c>
      <c r="U16" s="226">
        <f t="shared" si="2"/>
        <v>0</v>
      </c>
      <c r="V16" s="226">
        <f t="shared" si="3"/>
        <v>0</v>
      </c>
      <c r="W16" s="226">
        <f t="shared" si="4"/>
        <v>0</v>
      </c>
      <c r="X16" s="226">
        <f t="shared" si="5"/>
        <v>0</v>
      </c>
      <c r="Y16" s="226">
        <f t="shared" si="6"/>
        <v>0</v>
      </c>
    </row>
    <row r="17" spans="1:25" ht="15" x14ac:dyDescent="0.25">
      <c r="A17" s="215">
        <v>2220094</v>
      </c>
      <c r="B17" s="283" t="s">
        <v>142</v>
      </c>
      <c r="C17" s="330">
        <v>850</v>
      </c>
      <c r="D17" s="330">
        <v>850</v>
      </c>
      <c r="E17" s="217" t="s">
        <v>133</v>
      </c>
      <c r="F17" s="218">
        <v>0</v>
      </c>
      <c r="G17" s="219">
        <v>0</v>
      </c>
      <c r="H17" s="219">
        <v>0</v>
      </c>
      <c r="I17" s="305">
        <v>0</v>
      </c>
      <c r="J17" s="223">
        <v>0</v>
      </c>
      <c r="K17" s="237">
        <f t="shared" si="0"/>
        <v>0</v>
      </c>
      <c r="L17" s="336"/>
      <c r="M17" s="292"/>
      <c r="N17" s="237">
        <v>0</v>
      </c>
      <c r="O17" s="237"/>
      <c r="P17" s="225">
        <f t="shared" si="7"/>
        <v>0</v>
      </c>
      <c r="Q17" s="231"/>
      <c r="R17" s="231"/>
      <c r="S17" s="226">
        <f t="shared" si="1"/>
        <v>0</v>
      </c>
      <c r="T17" s="227">
        <v>0</v>
      </c>
      <c r="U17" s="226">
        <f t="shared" si="2"/>
        <v>0</v>
      </c>
      <c r="V17" s="226">
        <f t="shared" si="3"/>
        <v>0</v>
      </c>
      <c r="W17" s="226">
        <f t="shared" si="4"/>
        <v>0</v>
      </c>
      <c r="X17" s="226">
        <f t="shared" si="5"/>
        <v>0</v>
      </c>
      <c r="Y17" s="226">
        <f t="shared" si="6"/>
        <v>0</v>
      </c>
    </row>
    <row r="18" spans="1:25" ht="15" x14ac:dyDescent="0.25">
      <c r="A18" s="215">
        <v>2220004</v>
      </c>
      <c r="B18" s="283" t="s">
        <v>16</v>
      </c>
      <c r="C18" s="330">
        <v>39.1</v>
      </c>
      <c r="D18" s="330">
        <v>39.1</v>
      </c>
      <c r="E18" s="217" t="s">
        <v>137</v>
      </c>
      <c r="F18" s="218">
        <v>0</v>
      </c>
      <c r="G18" s="219">
        <v>269</v>
      </c>
      <c r="H18" s="219">
        <v>0</v>
      </c>
      <c r="I18" s="333">
        <v>257.16000000000003</v>
      </c>
      <c r="J18" s="223">
        <v>0</v>
      </c>
      <c r="K18" s="237">
        <f t="shared" si="0"/>
        <v>11.839999999999975</v>
      </c>
      <c r="L18" s="336">
        <v>-2.15</v>
      </c>
      <c r="M18" s="292">
        <v>-6.66</v>
      </c>
      <c r="N18" s="237">
        <v>3</v>
      </c>
      <c r="O18" s="237"/>
      <c r="P18" s="225">
        <f t="shared" si="7"/>
        <v>-8.839999999999975</v>
      </c>
      <c r="Q18" s="231"/>
      <c r="R18" s="231"/>
      <c r="S18" s="226">
        <f t="shared" si="1"/>
        <v>0</v>
      </c>
      <c r="T18" s="227">
        <v>0</v>
      </c>
      <c r="U18" s="226">
        <f t="shared" si="2"/>
        <v>10517.9</v>
      </c>
      <c r="V18" s="226">
        <f t="shared" si="3"/>
        <v>0</v>
      </c>
      <c r="W18" s="226">
        <f t="shared" si="4"/>
        <v>10054.956000000002</v>
      </c>
      <c r="X18" s="226">
        <f t="shared" si="5"/>
        <v>0</v>
      </c>
      <c r="Y18" s="226">
        <f t="shared" si="6"/>
        <v>462.94399999999769</v>
      </c>
    </row>
    <row r="19" spans="1:25" ht="15" x14ac:dyDescent="0.25">
      <c r="A19" s="215">
        <v>2220005</v>
      </c>
      <c r="B19" s="283" t="s">
        <v>62</v>
      </c>
      <c r="C19" s="330">
        <v>93.5</v>
      </c>
      <c r="D19" s="330">
        <v>93.5</v>
      </c>
      <c r="E19" s="217" t="s">
        <v>137</v>
      </c>
      <c r="F19" s="218">
        <v>2.6645352591003757E-15</v>
      </c>
      <c r="G19" s="219">
        <f>65+65</f>
        <v>130</v>
      </c>
      <c r="H19" s="219">
        <v>0</v>
      </c>
      <c r="I19" s="333">
        <f>66.65-1.65+65</f>
        <v>130</v>
      </c>
      <c r="J19" s="223">
        <v>0</v>
      </c>
      <c r="K19" s="237">
        <f t="shared" si="0"/>
        <v>0</v>
      </c>
      <c r="L19" s="336"/>
      <c r="M19" s="292"/>
      <c r="N19" s="237">
        <v>2.85</v>
      </c>
      <c r="O19" s="237"/>
      <c r="P19" s="225">
        <f t="shared" si="7"/>
        <v>2.85</v>
      </c>
      <c r="Q19" s="231"/>
      <c r="R19" s="231"/>
      <c r="S19" s="226">
        <f t="shared" si="1"/>
        <v>2.4913404672588513E-13</v>
      </c>
      <c r="T19" s="227">
        <v>0</v>
      </c>
      <c r="U19" s="226">
        <f t="shared" si="2"/>
        <v>12155</v>
      </c>
      <c r="V19" s="226">
        <f t="shared" si="3"/>
        <v>0</v>
      </c>
      <c r="W19" s="226">
        <f t="shared" si="4"/>
        <v>12155</v>
      </c>
      <c r="X19" s="226">
        <f t="shared" si="5"/>
        <v>0</v>
      </c>
      <c r="Y19" s="226">
        <f t="shared" si="6"/>
        <v>0</v>
      </c>
    </row>
    <row r="20" spans="1:25" ht="15" x14ac:dyDescent="0.25">
      <c r="A20" s="215">
        <v>2220006</v>
      </c>
      <c r="B20" s="283" t="s">
        <v>17</v>
      </c>
      <c r="C20" s="330">
        <v>36.5</v>
      </c>
      <c r="D20" s="330">
        <v>36.5</v>
      </c>
      <c r="E20" s="217" t="s">
        <v>137</v>
      </c>
      <c r="F20" s="218">
        <v>4.9999999999954499E-3</v>
      </c>
      <c r="G20" s="219">
        <v>182</v>
      </c>
      <c r="H20" s="219">
        <v>0</v>
      </c>
      <c r="I20" s="333">
        <f>182.75-0.75</f>
        <v>182</v>
      </c>
      <c r="J20" s="223">
        <v>0</v>
      </c>
      <c r="K20" s="237">
        <f t="shared" si="0"/>
        <v>4.9999999999954525E-3</v>
      </c>
      <c r="L20" s="336">
        <v>-3.25</v>
      </c>
      <c r="M20" s="292">
        <v>6.99</v>
      </c>
      <c r="N20" s="237">
        <v>2</v>
      </c>
      <c r="O20" s="237"/>
      <c r="P20" s="225">
        <f t="shared" si="7"/>
        <v>1.9950000000000045</v>
      </c>
      <c r="Q20" s="231"/>
      <c r="R20" s="231"/>
      <c r="S20" s="226">
        <f t="shared" si="1"/>
        <v>0.18249999999983393</v>
      </c>
      <c r="T20" s="227">
        <v>0</v>
      </c>
      <c r="U20" s="226">
        <f t="shared" si="2"/>
        <v>6643</v>
      </c>
      <c r="V20" s="226">
        <f t="shared" si="3"/>
        <v>0</v>
      </c>
      <c r="W20" s="226">
        <f t="shared" si="4"/>
        <v>6643</v>
      </c>
      <c r="X20" s="226">
        <f t="shared" si="5"/>
        <v>0</v>
      </c>
      <c r="Y20" s="226">
        <f t="shared" si="6"/>
        <v>0.18249999999989086</v>
      </c>
    </row>
    <row r="21" spans="1:25" ht="15" x14ac:dyDescent="0.25">
      <c r="A21" s="215">
        <v>2220089</v>
      </c>
      <c r="B21" s="283" t="s">
        <v>143</v>
      </c>
      <c r="C21" s="330">
        <v>420</v>
      </c>
      <c r="D21" s="330">
        <v>420</v>
      </c>
      <c r="E21" s="217" t="s">
        <v>137</v>
      </c>
      <c r="F21" s="218">
        <v>0</v>
      </c>
      <c r="G21" s="219">
        <v>0</v>
      </c>
      <c r="H21" s="219">
        <v>0</v>
      </c>
      <c r="I21" s="305">
        <v>0</v>
      </c>
      <c r="J21" s="223">
        <v>0</v>
      </c>
      <c r="K21" s="237">
        <f t="shared" si="0"/>
        <v>0</v>
      </c>
      <c r="L21" s="336"/>
      <c r="M21" s="292"/>
      <c r="N21" s="237">
        <v>0</v>
      </c>
      <c r="O21" s="237"/>
      <c r="P21" s="225">
        <f t="shared" si="7"/>
        <v>0</v>
      </c>
      <c r="Q21" s="231"/>
      <c r="R21" s="231"/>
      <c r="S21" s="226">
        <f t="shared" si="1"/>
        <v>0</v>
      </c>
      <c r="T21" s="227">
        <v>0</v>
      </c>
      <c r="U21" s="226">
        <f t="shared" si="2"/>
        <v>0</v>
      </c>
      <c r="V21" s="226">
        <f t="shared" si="3"/>
        <v>0</v>
      </c>
      <c r="W21" s="226">
        <f t="shared" si="4"/>
        <v>0</v>
      </c>
      <c r="X21" s="226">
        <f t="shared" si="5"/>
        <v>0</v>
      </c>
      <c r="Y21" s="226">
        <f t="shared" si="6"/>
        <v>0</v>
      </c>
    </row>
    <row r="22" spans="1:25" ht="15" x14ac:dyDescent="0.25">
      <c r="A22" s="215">
        <v>2220072</v>
      </c>
      <c r="B22" s="283" t="s">
        <v>144</v>
      </c>
      <c r="C22" s="330">
        <v>350</v>
      </c>
      <c r="D22" s="330">
        <v>350</v>
      </c>
      <c r="E22" s="217" t="s">
        <v>133</v>
      </c>
      <c r="F22" s="218">
        <v>1</v>
      </c>
      <c r="G22" s="219">
        <v>0</v>
      </c>
      <c r="H22" s="219">
        <v>0</v>
      </c>
      <c r="I22" s="305">
        <v>0</v>
      </c>
      <c r="J22" s="223">
        <v>0</v>
      </c>
      <c r="K22" s="237">
        <f t="shared" si="0"/>
        <v>1</v>
      </c>
      <c r="L22" s="336"/>
      <c r="M22" s="292"/>
      <c r="N22" s="237">
        <v>1</v>
      </c>
      <c r="O22" s="237"/>
      <c r="P22" s="225">
        <f t="shared" si="7"/>
        <v>0</v>
      </c>
      <c r="Q22" s="231"/>
      <c r="R22" s="231"/>
      <c r="S22" s="226">
        <f t="shared" si="1"/>
        <v>350</v>
      </c>
      <c r="T22" s="227">
        <v>0</v>
      </c>
      <c r="U22" s="226">
        <f t="shared" si="2"/>
        <v>0</v>
      </c>
      <c r="V22" s="226">
        <f t="shared" si="3"/>
        <v>0</v>
      </c>
      <c r="W22" s="226">
        <f t="shared" si="4"/>
        <v>0</v>
      </c>
      <c r="X22" s="226">
        <f t="shared" si="5"/>
        <v>0</v>
      </c>
      <c r="Y22" s="226">
        <f t="shared" si="6"/>
        <v>350</v>
      </c>
    </row>
    <row r="23" spans="1:25" ht="15" x14ac:dyDescent="0.25">
      <c r="A23" s="215">
        <v>2220090</v>
      </c>
      <c r="B23" s="283" t="s">
        <v>145</v>
      </c>
      <c r="C23" s="330">
        <v>520</v>
      </c>
      <c r="D23" s="330">
        <v>520</v>
      </c>
      <c r="E23" s="217" t="s">
        <v>137</v>
      </c>
      <c r="F23" s="218">
        <v>0</v>
      </c>
      <c r="G23" s="219">
        <v>0</v>
      </c>
      <c r="H23" s="219">
        <v>0</v>
      </c>
      <c r="I23" s="305">
        <v>0</v>
      </c>
      <c r="J23" s="223">
        <v>0</v>
      </c>
      <c r="K23" s="237">
        <f t="shared" si="0"/>
        <v>0</v>
      </c>
      <c r="L23" s="336"/>
      <c r="M23" s="292"/>
      <c r="N23" s="237">
        <v>0</v>
      </c>
      <c r="O23" s="237"/>
      <c r="P23" s="225">
        <f t="shared" si="7"/>
        <v>0</v>
      </c>
      <c r="Q23" s="231"/>
      <c r="R23" s="231"/>
      <c r="S23" s="226">
        <f t="shared" si="1"/>
        <v>0</v>
      </c>
      <c r="T23" s="227">
        <v>0</v>
      </c>
      <c r="U23" s="226">
        <f t="shared" si="2"/>
        <v>0</v>
      </c>
      <c r="V23" s="226">
        <f t="shared" si="3"/>
        <v>0</v>
      </c>
      <c r="W23" s="226">
        <f t="shared" si="4"/>
        <v>0</v>
      </c>
      <c r="X23" s="226">
        <f t="shared" si="5"/>
        <v>0</v>
      </c>
      <c r="Y23" s="226">
        <f t="shared" si="6"/>
        <v>0</v>
      </c>
    </row>
    <row r="24" spans="1:25" ht="15" x14ac:dyDescent="0.25">
      <c r="A24" s="215">
        <v>2220007</v>
      </c>
      <c r="B24" s="283" t="s">
        <v>37</v>
      </c>
      <c r="C24" s="330">
        <v>85.5</v>
      </c>
      <c r="D24" s="330">
        <v>85.5</v>
      </c>
      <c r="E24" s="217" t="s">
        <v>137</v>
      </c>
      <c r="F24" s="218">
        <v>0</v>
      </c>
      <c r="G24" s="219">
        <v>66.5</v>
      </c>
      <c r="H24" s="219">
        <v>0</v>
      </c>
      <c r="I24" s="333">
        <f>68.7-2.2</f>
        <v>66.5</v>
      </c>
      <c r="J24" s="223">
        <v>0</v>
      </c>
      <c r="K24" s="237">
        <f t="shared" si="0"/>
        <v>0</v>
      </c>
      <c r="L24" s="336">
        <v>1.1000000000000001</v>
      </c>
      <c r="M24" s="292">
        <v>2.2999999999999998</v>
      </c>
      <c r="N24" s="237">
        <v>1.4</v>
      </c>
      <c r="O24" s="237"/>
      <c r="P24" s="225">
        <f t="shared" si="7"/>
        <v>1.4</v>
      </c>
      <c r="Q24" s="231"/>
      <c r="R24" s="231"/>
      <c r="S24" s="226">
        <f t="shared" si="1"/>
        <v>0</v>
      </c>
      <c r="T24" s="227">
        <v>0</v>
      </c>
      <c r="U24" s="226">
        <f t="shared" si="2"/>
        <v>5685.75</v>
      </c>
      <c r="V24" s="226">
        <f t="shared" si="3"/>
        <v>0</v>
      </c>
      <c r="W24" s="226">
        <f t="shared" si="4"/>
        <v>5685.75</v>
      </c>
      <c r="X24" s="226">
        <f t="shared" si="5"/>
        <v>0</v>
      </c>
      <c r="Y24" s="226">
        <f t="shared" si="6"/>
        <v>0</v>
      </c>
    </row>
    <row r="25" spans="1:25" ht="30" x14ac:dyDescent="0.25">
      <c r="A25" s="215">
        <v>2220050</v>
      </c>
      <c r="B25" s="283" t="s">
        <v>146</v>
      </c>
      <c r="C25" s="330">
        <v>1392</v>
      </c>
      <c r="D25" s="330">
        <v>1200</v>
      </c>
      <c r="E25" s="217" t="s">
        <v>135</v>
      </c>
      <c r="F25" s="218">
        <v>0</v>
      </c>
      <c r="G25" s="219">
        <f>37+3</f>
        <v>40</v>
      </c>
      <c r="H25" s="219">
        <v>0</v>
      </c>
      <c r="I25" s="305">
        <f>17+3</f>
        <v>20</v>
      </c>
      <c r="J25" s="223">
        <v>0</v>
      </c>
      <c r="K25" s="237">
        <f t="shared" si="0"/>
        <v>20</v>
      </c>
      <c r="L25" s="336"/>
      <c r="M25" s="292"/>
      <c r="N25" s="237">
        <v>20</v>
      </c>
      <c r="O25" s="237"/>
      <c r="P25" s="225">
        <f t="shared" si="7"/>
        <v>0</v>
      </c>
      <c r="Q25" s="231"/>
      <c r="R25" s="231"/>
      <c r="S25" s="226">
        <f t="shared" si="1"/>
        <v>0</v>
      </c>
      <c r="T25" s="227">
        <v>0</v>
      </c>
      <c r="U25" s="226">
        <f t="shared" si="2"/>
        <v>48000</v>
      </c>
      <c r="V25" s="226">
        <f t="shared" si="3"/>
        <v>0</v>
      </c>
      <c r="W25" s="226">
        <f t="shared" si="4"/>
        <v>24000</v>
      </c>
      <c r="X25" s="226">
        <f t="shared" si="5"/>
        <v>0</v>
      </c>
      <c r="Y25" s="226">
        <f t="shared" si="6"/>
        <v>24000</v>
      </c>
    </row>
    <row r="26" spans="1:25" ht="15" x14ac:dyDescent="0.25">
      <c r="A26" s="215">
        <v>2220042</v>
      </c>
      <c r="B26" s="283" t="s">
        <v>147</v>
      </c>
      <c r="C26" s="330">
        <v>215</v>
      </c>
      <c r="D26" s="330">
        <v>215</v>
      </c>
      <c r="E26" s="217" t="s">
        <v>137</v>
      </c>
      <c r="F26" s="218">
        <v>-2.2737367544323206E-13</v>
      </c>
      <c r="G26" s="219">
        <f>3000+96.5</f>
        <v>3096.5</v>
      </c>
      <c r="H26" s="219">
        <v>0</v>
      </c>
      <c r="I26" s="305">
        <f>3063.1-63.1+96.5</f>
        <v>3096.5</v>
      </c>
      <c r="J26" s="223">
        <v>0</v>
      </c>
      <c r="K26" s="237">
        <f t="shared" si="0"/>
        <v>0</v>
      </c>
      <c r="L26" s="336">
        <v>273.60000000000002</v>
      </c>
      <c r="M26" s="292"/>
      <c r="N26" s="237">
        <v>0</v>
      </c>
      <c r="O26" s="237"/>
      <c r="P26" s="225">
        <f t="shared" si="7"/>
        <v>0</v>
      </c>
      <c r="Q26" s="231"/>
      <c r="R26" s="231"/>
      <c r="S26" s="226">
        <v>0</v>
      </c>
      <c r="T26" s="227">
        <v>0</v>
      </c>
      <c r="U26" s="226">
        <f t="shared" si="2"/>
        <v>665747.5</v>
      </c>
      <c r="V26" s="226">
        <f t="shared" si="3"/>
        <v>0</v>
      </c>
      <c r="W26" s="226">
        <f t="shared" si="4"/>
        <v>665747.5</v>
      </c>
      <c r="X26" s="226">
        <f t="shared" si="5"/>
        <v>0</v>
      </c>
      <c r="Y26" s="226">
        <f t="shared" si="6"/>
        <v>0</v>
      </c>
    </row>
    <row r="27" spans="1:25" ht="15" x14ac:dyDescent="0.25">
      <c r="A27" s="215">
        <v>2220068</v>
      </c>
      <c r="B27" s="283" t="s">
        <v>148</v>
      </c>
      <c r="C27" s="330">
        <v>519.67999999999995</v>
      </c>
      <c r="D27" s="330">
        <v>519.67999999999995</v>
      </c>
      <c r="E27" s="217" t="s">
        <v>133</v>
      </c>
      <c r="F27" s="218">
        <v>5</v>
      </c>
      <c r="G27" s="219">
        <v>0</v>
      </c>
      <c r="H27" s="219">
        <v>0</v>
      </c>
      <c r="I27" s="305">
        <v>0</v>
      </c>
      <c r="J27" s="223">
        <v>0</v>
      </c>
      <c r="K27" s="237">
        <f t="shared" si="0"/>
        <v>5</v>
      </c>
      <c r="L27" s="336"/>
      <c r="M27" s="292"/>
      <c r="N27" s="237">
        <v>5</v>
      </c>
      <c r="O27" s="237"/>
      <c r="P27" s="225">
        <f t="shared" si="7"/>
        <v>0</v>
      </c>
      <c r="Q27" s="231"/>
      <c r="R27" s="231"/>
      <c r="S27" s="226">
        <f>C27*F27</f>
        <v>2598.3999999999996</v>
      </c>
      <c r="T27" s="227">
        <v>0</v>
      </c>
      <c r="U27" s="226">
        <f t="shared" si="2"/>
        <v>0</v>
      </c>
      <c r="V27" s="226">
        <f t="shared" si="3"/>
        <v>0</v>
      </c>
      <c r="W27" s="226">
        <f t="shared" si="4"/>
        <v>0</v>
      </c>
      <c r="X27" s="226">
        <f t="shared" si="5"/>
        <v>0</v>
      </c>
      <c r="Y27" s="226">
        <f t="shared" si="6"/>
        <v>2598.3999999999996</v>
      </c>
    </row>
    <row r="28" spans="1:25" ht="15" x14ac:dyDescent="0.25">
      <c r="A28" s="215">
        <v>2220008</v>
      </c>
      <c r="B28" s="283" t="s">
        <v>18</v>
      </c>
      <c r="C28" s="330">
        <v>40</v>
      </c>
      <c r="D28" s="330">
        <v>40</v>
      </c>
      <c r="E28" s="217" t="s">
        <v>137</v>
      </c>
      <c r="F28" s="218">
        <v>-2.886579864025407E-15</v>
      </c>
      <c r="G28" s="219">
        <v>178</v>
      </c>
      <c r="H28" s="219">
        <v>0</v>
      </c>
      <c r="I28" s="333">
        <f>181.4-3.4</f>
        <v>178</v>
      </c>
      <c r="J28" s="223">
        <v>0</v>
      </c>
      <c r="K28" s="237">
        <f t="shared" si="0"/>
        <v>0</v>
      </c>
      <c r="L28" s="336">
        <v>2.2000000000000002</v>
      </c>
      <c r="M28" s="292">
        <v>6</v>
      </c>
      <c r="N28" s="237">
        <v>2</v>
      </c>
      <c r="O28" s="237"/>
      <c r="P28" s="225">
        <f t="shared" si="7"/>
        <v>2</v>
      </c>
      <c r="Q28" s="231"/>
      <c r="R28" s="231"/>
      <c r="S28" s="226">
        <v>0</v>
      </c>
      <c r="T28" s="227">
        <v>0</v>
      </c>
      <c r="U28" s="226">
        <f t="shared" si="2"/>
        <v>7120</v>
      </c>
      <c r="V28" s="226">
        <f t="shared" si="3"/>
        <v>0</v>
      </c>
      <c r="W28" s="226">
        <f t="shared" si="4"/>
        <v>7120</v>
      </c>
      <c r="X28" s="226">
        <f t="shared" si="5"/>
        <v>0</v>
      </c>
      <c r="Y28" s="226">
        <f t="shared" si="6"/>
        <v>0</v>
      </c>
    </row>
    <row r="29" spans="1:25" ht="30" x14ac:dyDescent="0.25">
      <c r="A29" s="215">
        <v>2220066</v>
      </c>
      <c r="B29" s="283" t="s">
        <v>149</v>
      </c>
      <c r="C29" s="330">
        <v>510</v>
      </c>
      <c r="D29" s="330">
        <v>510</v>
      </c>
      <c r="E29" s="217" t="s">
        <v>133</v>
      </c>
      <c r="F29" s="218">
        <v>0</v>
      </c>
      <c r="G29" s="219">
        <v>0</v>
      </c>
      <c r="H29" s="219">
        <v>0</v>
      </c>
      <c r="I29" s="305">
        <v>0</v>
      </c>
      <c r="J29" s="223">
        <v>0</v>
      </c>
      <c r="K29" s="237">
        <f t="shared" si="0"/>
        <v>0</v>
      </c>
      <c r="L29" s="336"/>
      <c r="M29" s="292"/>
      <c r="N29" s="237">
        <v>0</v>
      </c>
      <c r="O29" s="237"/>
      <c r="P29" s="225">
        <f t="shared" si="7"/>
        <v>0</v>
      </c>
      <c r="Q29" s="231"/>
      <c r="R29" s="231"/>
      <c r="S29" s="226">
        <f>C29*F29</f>
        <v>0</v>
      </c>
      <c r="T29" s="227">
        <v>0</v>
      </c>
      <c r="U29" s="226">
        <f t="shared" si="2"/>
        <v>0</v>
      </c>
      <c r="V29" s="226">
        <f t="shared" si="3"/>
        <v>0</v>
      </c>
      <c r="W29" s="226">
        <f t="shared" si="4"/>
        <v>0</v>
      </c>
      <c r="X29" s="226">
        <f t="shared" si="5"/>
        <v>0</v>
      </c>
      <c r="Y29" s="226">
        <f t="shared" si="6"/>
        <v>0</v>
      </c>
    </row>
    <row r="30" spans="1:25" ht="15" x14ac:dyDescent="0.25">
      <c r="A30" s="215">
        <v>2220009</v>
      </c>
      <c r="B30" s="283" t="s">
        <v>19</v>
      </c>
      <c r="C30" s="330">
        <v>41.5</v>
      </c>
      <c r="D30" s="330">
        <v>41.5</v>
      </c>
      <c r="E30" s="217" t="s">
        <v>137</v>
      </c>
      <c r="F30" s="218">
        <v>-5.3290705182007514E-15</v>
      </c>
      <c r="G30" s="219">
        <v>28.4</v>
      </c>
      <c r="H30" s="219">
        <v>0</v>
      </c>
      <c r="I30" s="333">
        <f>31.36-2.96</f>
        <v>28.4</v>
      </c>
      <c r="J30" s="223">
        <v>0</v>
      </c>
      <c r="K30" s="237">
        <f t="shared" si="0"/>
        <v>-7.1054273576010019E-15</v>
      </c>
      <c r="L30" s="336">
        <v>2.25</v>
      </c>
      <c r="M30" s="292">
        <v>0.9</v>
      </c>
      <c r="N30" s="237">
        <v>0.25</v>
      </c>
      <c r="O30" s="237"/>
      <c r="P30" s="225">
        <f t="shared" si="7"/>
        <v>0.25000000000000711</v>
      </c>
      <c r="Q30" s="231"/>
      <c r="R30" s="231"/>
      <c r="S30" s="226">
        <v>0</v>
      </c>
      <c r="T30" s="227">
        <v>0</v>
      </c>
      <c r="U30" s="226">
        <f t="shared" si="2"/>
        <v>1178.5999999999999</v>
      </c>
      <c r="V30" s="226">
        <f t="shared" si="3"/>
        <v>0</v>
      </c>
      <c r="W30" s="226">
        <f t="shared" si="4"/>
        <v>1178.5999999999999</v>
      </c>
      <c r="X30" s="226">
        <f t="shared" si="5"/>
        <v>0</v>
      </c>
      <c r="Y30" s="226">
        <f t="shared" si="6"/>
        <v>0</v>
      </c>
    </row>
    <row r="31" spans="1:25" ht="15" x14ac:dyDescent="0.25">
      <c r="A31" s="215">
        <v>2220010</v>
      </c>
      <c r="B31" s="283" t="s">
        <v>72</v>
      </c>
      <c r="C31" s="330">
        <v>20.7</v>
      </c>
      <c r="D31" s="330">
        <v>20.7</v>
      </c>
      <c r="E31" s="217" t="s">
        <v>131</v>
      </c>
      <c r="F31" s="218">
        <v>0</v>
      </c>
      <c r="G31" s="219">
        <v>340</v>
      </c>
      <c r="H31" s="219">
        <v>0</v>
      </c>
      <c r="I31" s="333">
        <v>321</v>
      </c>
      <c r="J31" s="223">
        <v>0</v>
      </c>
      <c r="K31" s="237">
        <f t="shared" si="0"/>
        <v>19</v>
      </c>
      <c r="L31" s="336">
        <v>-7</v>
      </c>
      <c r="M31" s="292">
        <v>-8</v>
      </c>
      <c r="N31" s="237">
        <v>4</v>
      </c>
      <c r="O31" s="237"/>
      <c r="P31" s="225">
        <f t="shared" si="7"/>
        <v>-15</v>
      </c>
      <c r="Q31" s="231"/>
      <c r="R31" s="231"/>
      <c r="S31" s="226">
        <f t="shared" ref="S31:S48" si="8">C31*F31</f>
        <v>0</v>
      </c>
      <c r="T31" s="227">
        <v>0</v>
      </c>
      <c r="U31" s="226">
        <f t="shared" si="2"/>
        <v>7038</v>
      </c>
      <c r="V31" s="226">
        <f t="shared" si="3"/>
        <v>0</v>
      </c>
      <c r="W31" s="226">
        <f t="shared" si="4"/>
        <v>6644.7</v>
      </c>
      <c r="X31" s="226">
        <f t="shared" si="5"/>
        <v>0</v>
      </c>
      <c r="Y31" s="226">
        <f t="shared" si="6"/>
        <v>393.30000000000018</v>
      </c>
    </row>
    <row r="32" spans="1:25" ht="55.2" x14ac:dyDescent="0.25">
      <c r="A32" s="215">
        <v>2220011</v>
      </c>
      <c r="B32" s="283" t="s">
        <v>21</v>
      </c>
      <c r="C32" s="330">
        <v>46.9</v>
      </c>
      <c r="D32" s="330">
        <v>46.9</v>
      </c>
      <c r="E32" s="217" t="s">
        <v>133</v>
      </c>
      <c r="F32" s="218">
        <v>0</v>
      </c>
      <c r="G32" s="219">
        <v>324</v>
      </c>
      <c r="H32" s="219">
        <v>0</v>
      </c>
      <c r="I32" s="333">
        <v>312</v>
      </c>
      <c r="J32" s="223">
        <v>0</v>
      </c>
      <c r="K32" s="237">
        <f t="shared" si="0"/>
        <v>12</v>
      </c>
      <c r="L32" s="336">
        <v>-1</v>
      </c>
      <c r="M32" s="292">
        <v>-7</v>
      </c>
      <c r="N32" s="237">
        <v>4</v>
      </c>
      <c r="O32" s="237" t="s">
        <v>270</v>
      </c>
      <c r="P32" s="225">
        <f t="shared" si="7"/>
        <v>-8</v>
      </c>
      <c r="Q32" s="231"/>
      <c r="R32" s="231"/>
      <c r="S32" s="226">
        <f t="shared" si="8"/>
        <v>0</v>
      </c>
      <c r="T32" s="227">
        <v>0</v>
      </c>
      <c r="U32" s="226">
        <f t="shared" si="2"/>
        <v>15195.6</v>
      </c>
      <c r="V32" s="226">
        <f t="shared" si="3"/>
        <v>0</v>
      </c>
      <c r="W32" s="226">
        <f t="shared" si="4"/>
        <v>14632.8</v>
      </c>
      <c r="X32" s="226">
        <f t="shared" si="5"/>
        <v>0</v>
      </c>
      <c r="Y32" s="226">
        <f t="shared" si="6"/>
        <v>562.80000000000109</v>
      </c>
    </row>
    <row r="33" spans="1:25" ht="15" x14ac:dyDescent="0.3">
      <c r="A33" s="215">
        <v>2220070</v>
      </c>
      <c r="B33" s="283" t="s">
        <v>150</v>
      </c>
      <c r="C33" s="330">
        <v>54</v>
      </c>
      <c r="D33" s="330">
        <v>54</v>
      </c>
      <c r="E33" s="217" t="s">
        <v>133</v>
      </c>
      <c r="F33" s="218">
        <v>0</v>
      </c>
      <c r="G33" s="219">
        <v>0</v>
      </c>
      <c r="H33" s="219">
        <v>0</v>
      </c>
      <c r="I33" s="305">
        <v>0</v>
      </c>
      <c r="J33" s="223">
        <v>0</v>
      </c>
      <c r="K33" s="237">
        <f t="shared" si="0"/>
        <v>0</v>
      </c>
      <c r="M33" s="292"/>
      <c r="N33" s="237">
        <v>0</v>
      </c>
      <c r="O33" s="237"/>
      <c r="P33" s="225">
        <f t="shared" si="7"/>
        <v>0</v>
      </c>
      <c r="Q33" s="231"/>
      <c r="R33" s="231"/>
      <c r="S33" s="226">
        <f t="shared" si="8"/>
        <v>0</v>
      </c>
      <c r="T33" s="227">
        <v>0</v>
      </c>
      <c r="U33" s="226">
        <f t="shared" si="2"/>
        <v>0</v>
      </c>
      <c r="V33" s="226">
        <f t="shared" si="3"/>
        <v>0</v>
      </c>
      <c r="W33" s="226">
        <f t="shared" si="4"/>
        <v>0</v>
      </c>
      <c r="X33" s="226">
        <f t="shared" si="5"/>
        <v>0</v>
      </c>
      <c r="Y33" s="226">
        <f t="shared" si="6"/>
        <v>0</v>
      </c>
    </row>
    <row r="34" spans="1:25" ht="15" x14ac:dyDescent="0.25">
      <c r="A34" s="234">
        <v>2220139</v>
      </c>
      <c r="B34" s="283" t="s">
        <v>46</v>
      </c>
      <c r="C34" s="330">
        <v>890</v>
      </c>
      <c r="D34" s="330">
        <v>890</v>
      </c>
      <c r="E34" s="217" t="s">
        <v>135</v>
      </c>
      <c r="F34" s="233">
        <v>0</v>
      </c>
      <c r="G34" s="219">
        <f>91+3</f>
        <v>94</v>
      </c>
      <c r="H34" s="219">
        <v>0</v>
      </c>
      <c r="I34" s="305">
        <f>78+3</f>
        <v>81</v>
      </c>
      <c r="J34" s="223">
        <v>0</v>
      </c>
      <c r="K34" s="237">
        <f t="shared" si="0"/>
        <v>13</v>
      </c>
      <c r="L34" s="336"/>
      <c r="M34" s="292"/>
      <c r="N34" s="237">
        <v>13</v>
      </c>
      <c r="O34" s="237"/>
      <c r="P34" s="225">
        <f t="shared" si="7"/>
        <v>0</v>
      </c>
      <c r="Q34" s="231"/>
      <c r="R34" s="231"/>
      <c r="S34" s="226">
        <f t="shared" si="8"/>
        <v>0</v>
      </c>
      <c r="T34" s="227">
        <v>0</v>
      </c>
      <c r="U34" s="226">
        <f t="shared" si="2"/>
        <v>83660</v>
      </c>
      <c r="V34" s="226">
        <f t="shared" si="3"/>
        <v>0</v>
      </c>
      <c r="W34" s="226">
        <f t="shared" si="4"/>
        <v>72090</v>
      </c>
      <c r="X34" s="226">
        <f t="shared" si="5"/>
        <v>0</v>
      </c>
      <c r="Y34" s="226">
        <f t="shared" si="6"/>
        <v>11570</v>
      </c>
    </row>
    <row r="35" spans="1:25" ht="15" x14ac:dyDescent="0.25">
      <c r="A35" s="215">
        <v>2220047</v>
      </c>
      <c r="B35" s="283" t="s">
        <v>151</v>
      </c>
      <c r="C35" s="330">
        <v>1000</v>
      </c>
      <c r="D35" s="330">
        <v>1000</v>
      </c>
      <c r="E35" s="217" t="s">
        <v>135</v>
      </c>
      <c r="F35" s="218">
        <v>0</v>
      </c>
      <c r="G35" s="219">
        <v>0</v>
      </c>
      <c r="H35" s="219">
        <v>0</v>
      </c>
      <c r="I35" s="305">
        <v>0</v>
      </c>
      <c r="J35" s="223">
        <v>0</v>
      </c>
      <c r="K35" s="237">
        <f t="shared" si="0"/>
        <v>0</v>
      </c>
      <c r="L35" s="336"/>
      <c r="M35" s="292"/>
      <c r="N35" s="237">
        <v>0</v>
      </c>
      <c r="O35" s="237"/>
      <c r="P35" s="225">
        <f t="shared" si="7"/>
        <v>0</v>
      </c>
      <c r="Q35" s="231"/>
      <c r="R35" s="231"/>
      <c r="S35" s="226">
        <f t="shared" si="8"/>
        <v>0</v>
      </c>
      <c r="T35" s="227">
        <v>0</v>
      </c>
      <c r="U35" s="226">
        <f t="shared" si="2"/>
        <v>0</v>
      </c>
      <c r="V35" s="226">
        <f t="shared" si="3"/>
        <v>0</v>
      </c>
      <c r="W35" s="226">
        <f t="shared" si="4"/>
        <v>0</v>
      </c>
      <c r="X35" s="226">
        <f t="shared" si="5"/>
        <v>0</v>
      </c>
      <c r="Y35" s="226">
        <f t="shared" si="6"/>
        <v>0</v>
      </c>
    </row>
    <row r="36" spans="1:25" ht="15" x14ac:dyDescent="0.25">
      <c r="A36" s="215">
        <v>2220012</v>
      </c>
      <c r="B36" s="283" t="s">
        <v>22</v>
      </c>
      <c r="C36" s="330">
        <v>13.7</v>
      </c>
      <c r="D36" s="330">
        <v>13.7</v>
      </c>
      <c r="E36" s="217" t="s">
        <v>133</v>
      </c>
      <c r="F36" s="218">
        <v>0</v>
      </c>
      <c r="G36" s="219">
        <f>766+3250</f>
        <v>4016</v>
      </c>
      <c r="H36" s="219">
        <v>0</v>
      </c>
      <c r="I36" s="333">
        <f>797-31+3250</f>
        <v>4016</v>
      </c>
      <c r="J36" s="223">
        <v>0</v>
      </c>
      <c r="K36" s="237">
        <f t="shared" si="0"/>
        <v>0</v>
      </c>
      <c r="L36" s="336">
        <v>15</v>
      </c>
      <c r="M36" s="292">
        <v>25</v>
      </c>
      <c r="N36" s="237">
        <v>9</v>
      </c>
      <c r="O36" s="237"/>
      <c r="P36" s="225">
        <f t="shared" si="7"/>
        <v>9</v>
      </c>
      <c r="Q36" s="231"/>
      <c r="R36" s="231"/>
      <c r="S36" s="226">
        <f t="shared" si="8"/>
        <v>0</v>
      </c>
      <c r="T36" s="227">
        <v>0</v>
      </c>
      <c r="U36" s="226">
        <f t="shared" si="2"/>
        <v>55019.199999999997</v>
      </c>
      <c r="V36" s="226">
        <f t="shared" si="3"/>
        <v>0</v>
      </c>
      <c r="W36" s="226">
        <f t="shared" si="4"/>
        <v>55019.199999999997</v>
      </c>
      <c r="X36" s="226">
        <f t="shared" si="5"/>
        <v>0</v>
      </c>
      <c r="Y36" s="226">
        <f t="shared" si="6"/>
        <v>0</v>
      </c>
    </row>
    <row r="37" spans="1:25" ht="15" x14ac:dyDescent="0.25">
      <c r="A37" s="215">
        <v>2220135</v>
      </c>
      <c r="B37" s="283" t="s">
        <v>152</v>
      </c>
      <c r="C37" s="330">
        <v>199</v>
      </c>
      <c r="D37" s="330">
        <v>199</v>
      </c>
      <c r="E37" s="217" t="s">
        <v>133</v>
      </c>
      <c r="F37" s="218">
        <v>0</v>
      </c>
      <c r="G37" s="219">
        <v>0</v>
      </c>
      <c r="H37" s="219">
        <v>0</v>
      </c>
      <c r="I37" s="305">
        <v>0</v>
      </c>
      <c r="J37" s="223">
        <v>0</v>
      </c>
      <c r="K37" s="237">
        <f t="shared" si="0"/>
        <v>0</v>
      </c>
      <c r="L37" s="336"/>
      <c r="M37" s="292"/>
      <c r="N37" s="237">
        <v>0</v>
      </c>
      <c r="O37" s="237"/>
      <c r="P37" s="225">
        <f t="shared" si="7"/>
        <v>0</v>
      </c>
      <c r="Q37" s="231"/>
      <c r="R37" s="231"/>
      <c r="S37" s="226">
        <f t="shared" si="8"/>
        <v>0</v>
      </c>
      <c r="T37" s="227">
        <v>0</v>
      </c>
      <c r="U37" s="226">
        <f t="shared" si="2"/>
        <v>0</v>
      </c>
      <c r="V37" s="226">
        <f t="shared" si="3"/>
        <v>0</v>
      </c>
      <c r="W37" s="226">
        <f t="shared" si="4"/>
        <v>0</v>
      </c>
      <c r="X37" s="226">
        <f t="shared" si="5"/>
        <v>0</v>
      </c>
      <c r="Y37" s="226">
        <f t="shared" si="6"/>
        <v>0</v>
      </c>
    </row>
    <row r="38" spans="1:25" ht="15" x14ac:dyDescent="0.25">
      <c r="A38" s="234">
        <v>2220140</v>
      </c>
      <c r="B38" s="283" t="s">
        <v>153</v>
      </c>
      <c r="C38" s="330">
        <v>690</v>
      </c>
      <c r="D38" s="330">
        <v>690</v>
      </c>
      <c r="E38" s="217" t="s">
        <v>135</v>
      </c>
      <c r="F38" s="218">
        <v>0</v>
      </c>
      <c r="G38" s="219">
        <v>75</v>
      </c>
      <c r="H38" s="219">
        <v>0</v>
      </c>
      <c r="I38" s="305">
        <v>67</v>
      </c>
      <c r="J38" s="223">
        <v>0</v>
      </c>
      <c r="K38" s="237">
        <f t="shared" si="0"/>
        <v>8</v>
      </c>
      <c r="L38" s="336"/>
      <c r="M38" s="292"/>
      <c r="N38" s="237">
        <v>8</v>
      </c>
      <c r="O38" s="237"/>
      <c r="P38" s="225">
        <f t="shared" si="7"/>
        <v>0</v>
      </c>
      <c r="Q38" s="231"/>
      <c r="R38" s="231"/>
      <c r="S38" s="226">
        <f t="shared" si="8"/>
        <v>0</v>
      </c>
      <c r="T38" s="227">
        <v>0</v>
      </c>
      <c r="U38" s="226">
        <f t="shared" si="2"/>
        <v>51750</v>
      </c>
      <c r="V38" s="226">
        <f t="shared" si="3"/>
        <v>0</v>
      </c>
      <c r="W38" s="226">
        <f t="shared" si="4"/>
        <v>46230</v>
      </c>
      <c r="X38" s="226">
        <f t="shared" si="5"/>
        <v>0</v>
      </c>
      <c r="Y38" s="226">
        <f t="shared" si="6"/>
        <v>5520</v>
      </c>
    </row>
    <row r="39" spans="1:25" ht="15" x14ac:dyDescent="0.25">
      <c r="A39" s="215">
        <v>2220048</v>
      </c>
      <c r="B39" s="283" t="s">
        <v>154</v>
      </c>
      <c r="C39" s="330">
        <v>790</v>
      </c>
      <c r="D39" s="330">
        <v>790</v>
      </c>
      <c r="E39" s="217" t="s">
        <v>135</v>
      </c>
      <c r="F39" s="218">
        <v>0</v>
      </c>
      <c r="G39" s="219">
        <v>0</v>
      </c>
      <c r="H39" s="219">
        <v>0</v>
      </c>
      <c r="I39" s="305">
        <v>0</v>
      </c>
      <c r="J39" s="223">
        <v>0</v>
      </c>
      <c r="K39" s="237">
        <f t="shared" si="0"/>
        <v>0</v>
      </c>
      <c r="L39" s="336"/>
      <c r="M39" s="292"/>
      <c r="N39" s="237">
        <v>0</v>
      </c>
      <c r="O39" s="237"/>
      <c r="P39" s="225">
        <f t="shared" si="7"/>
        <v>0</v>
      </c>
      <c r="Q39" s="231"/>
      <c r="R39" s="231"/>
      <c r="S39" s="226">
        <f t="shared" si="8"/>
        <v>0</v>
      </c>
      <c r="T39" s="227">
        <v>0</v>
      </c>
      <c r="U39" s="226">
        <f t="shared" si="2"/>
        <v>0</v>
      </c>
      <c r="V39" s="226">
        <f t="shared" si="3"/>
        <v>0</v>
      </c>
      <c r="W39" s="226">
        <f t="shared" si="4"/>
        <v>0</v>
      </c>
      <c r="X39" s="226">
        <f t="shared" si="5"/>
        <v>0</v>
      </c>
      <c r="Y39" s="226">
        <f t="shared" si="6"/>
        <v>0</v>
      </c>
    </row>
    <row r="40" spans="1:25" ht="15" x14ac:dyDescent="0.25">
      <c r="A40" s="234">
        <v>2220137</v>
      </c>
      <c r="B40" s="283" t="s">
        <v>155</v>
      </c>
      <c r="C40" s="330">
        <v>1050</v>
      </c>
      <c r="D40" s="330">
        <v>1050</v>
      </c>
      <c r="E40" s="217" t="s">
        <v>135</v>
      </c>
      <c r="F40" s="218">
        <v>0</v>
      </c>
      <c r="G40" s="219">
        <v>3</v>
      </c>
      <c r="H40" s="219">
        <v>0</v>
      </c>
      <c r="I40" s="305">
        <v>3</v>
      </c>
      <c r="J40" s="223">
        <v>0</v>
      </c>
      <c r="K40" s="237">
        <f t="shared" si="0"/>
        <v>0</v>
      </c>
      <c r="L40" s="336"/>
      <c r="M40" s="292"/>
      <c r="N40" s="237">
        <v>0</v>
      </c>
      <c r="O40" s="237"/>
      <c r="P40" s="225">
        <f t="shared" si="7"/>
        <v>0</v>
      </c>
      <c r="Q40" s="231"/>
      <c r="R40" s="231"/>
      <c r="S40" s="226">
        <f t="shared" si="8"/>
        <v>0</v>
      </c>
      <c r="T40" s="227">
        <v>0</v>
      </c>
      <c r="U40" s="226">
        <f t="shared" si="2"/>
        <v>3150</v>
      </c>
      <c r="V40" s="226">
        <f t="shared" si="3"/>
        <v>0</v>
      </c>
      <c r="W40" s="226">
        <f t="shared" si="4"/>
        <v>3150</v>
      </c>
      <c r="X40" s="226">
        <f t="shared" si="5"/>
        <v>0</v>
      </c>
      <c r="Y40" s="226">
        <f t="shared" si="6"/>
        <v>0</v>
      </c>
    </row>
    <row r="41" spans="1:25" ht="15" x14ac:dyDescent="0.25">
      <c r="A41" s="215">
        <v>2220049</v>
      </c>
      <c r="B41" s="283" t="s">
        <v>156</v>
      </c>
      <c r="C41" s="330">
        <v>1200</v>
      </c>
      <c r="D41" s="330">
        <v>1200</v>
      </c>
      <c r="E41" s="217" t="s">
        <v>135</v>
      </c>
      <c r="F41" s="218">
        <v>0</v>
      </c>
      <c r="G41" s="219">
        <v>0</v>
      </c>
      <c r="H41" s="219">
        <v>0</v>
      </c>
      <c r="I41" s="305">
        <v>0</v>
      </c>
      <c r="J41" s="223">
        <v>0</v>
      </c>
      <c r="K41" s="237">
        <f t="shared" si="0"/>
        <v>0</v>
      </c>
      <c r="L41" s="336"/>
      <c r="M41" s="292"/>
      <c r="N41" s="237">
        <v>0</v>
      </c>
      <c r="O41" s="237"/>
      <c r="P41" s="225">
        <f t="shared" si="7"/>
        <v>0</v>
      </c>
      <c r="Q41" s="231"/>
      <c r="R41" s="231"/>
      <c r="S41" s="226">
        <f t="shared" si="8"/>
        <v>0</v>
      </c>
      <c r="T41" s="227">
        <v>0</v>
      </c>
      <c r="U41" s="226">
        <f t="shared" si="2"/>
        <v>0</v>
      </c>
      <c r="V41" s="226">
        <f t="shared" si="3"/>
        <v>0</v>
      </c>
      <c r="W41" s="226">
        <f t="shared" si="4"/>
        <v>0</v>
      </c>
      <c r="X41" s="226">
        <f t="shared" si="5"/>
        <v>0</v>
      </c>
      <c r="Y41" s="226">
        <f t="shared" si="6"/>
        <v>0</v>
      </c>
    </row>
    <row r="42" spans="1:25" ht="96.6" x14ac:dyDescent="0.25">
      <c r="A42" s="215">
        <v>2220013</v>
      </c>
      <c r="B42" s="283" t="s">
        <v>23</v>
      </c>
      <c r="C42" s="330">
        <v>20.8</v>
      </c>
      <c r="D42" s="330">
        <v>20.8</v>
      </c>
      <c r="E42" s="217" t="s">
        <v>131</v>
      </c>
      <c r="F42" s="218">
        <v>0</v>
      </c>
      <c r="G42" s="219">
        <v>2817</v>
      </c>
      <c r="H42" s="219">
        <v>0</v>
      </c>
      <c r="I42" s="333">
        <f>2854-37</f>
        <v>2817</v>
      </c>
      <c r="J42" s="223">
        <v>0</v>
      </c>
      <c r="K42" s="237">
        <f t="shared" si="0"/>
        <v>0</v>
      </c>
      <c r="L42" s="336">
        <v>11</v>
      </c>
      <c r="M42" s="292">
        <v>68</v>
      </c>
      <c r="N42" s="237">
        <v>35</v>
      </c>
      <c r="O42" s="237" t="s">
        <v>271</v>
      </c>
      <c r="P42" s="225">
        <f t="shared" si="7"/>
        <v>35</v>
      </c>
      <c r="Q42" s="231"/>
      <c r="R42" s="231"/>
      <c r="S42" s="226">
        <f t="shared" si="8"/>
        <v>0</v>
      </c>
      <c r="T42" s="227">
        <v>0</v>
      </c>
      <c r="U42" s="226">
        <f t="shared" si="2"/>
        <v>58593.599999999999</v>
      </c>
      <c r="V42" s="226">
        <f t="shared" si="3"/>
        <v>0</v>
      </c>
      <c r="W42" s="226">
        <f t="shared" si="4"/>
        <v>58593.599999999999</v>
      </c>
      <c r="X42" s="226">
        <f t="shared" si="5"/>
        <v>0</v>
      </c>
      <c r="Y42" s="226">
        <f t="shared" si="6"/>
        <v>0</v>
      </c>
    </row>
    <row r="43" spans="1:25" ht="15" x14ac:dyDescent="0.25">
      <c r="A43" s="215">
        <v>2220081</v>
      </c>
      <c r="B43" s="283" t="s">
        <v>157</v>
      </c>
      <c r="C43" s="330">
        <v>1755</v>
      </c>
      <c r="D43" s="330">
        <v>1755</v>
      </c>
      <c r="E43" s="217" t="s">
        <v>133</v>
      </c>
      <c r="F43" s="218">
        <v>11</v>
      </c>
      <c r="G43" s="219">
        <v>0</v>
      </c>
      <c r="H43" s="219">
        <v>0</v>
      </c>
      <c r="I43" s="305">
        <v>0</v>
      </c>
      <c r="J43" s="223">
        <v>0</v>
      </c>
      <c r="K43" s="237">
        <f t="shared" si="0"/>
        <v>11</v>
      </c>
      <c r="L43" s="336"/>
      <c r="M43" s="292"/>
      <c r="N43" s="237">
        <v>11</v>
      </c>
      <c r="O43" s="237"/>
      <c r="P43" s="225">
        <f t="shared" si="7"/>
        <v>0</v>
      </c>
      <c r="Q43" s="231"/>
      <c r="R43" s="231"/>
      <c r="S43" s="226">
        <f t="shared" si="8"/>
        <v>19305</v>
      </c>
      <c r="T43" s="227">
        <v>0</v>
      </c>
      <c r="U43" s="226">
        <f t="shared" si="2"/>
        <v>0</v>
      </c>
      <c r="V43" s="226">
        <f t="shared" si="3"/>
        <v>0</v>
      </c>
      <c r="W43" s="226">
        <f t="shared" si="4"/>
        <v>0</v>
      </c>
      <c r="X43" s="226">
        <f t="shared" si="5"/>
        <v>0</v>
      </c>
      <c r="Y43" s="226">
        <f t="shared" si="6"/>
        <v>19305</v>
      </c>
    </row>
    <row r="44" spans="1:25" ht="15" x14ac:dyDescent="0.25">
      <c r="A44" s="215">
        <v>2220136</v>
      </c>
      <c r="B44" s="283" t="s">
        <v>158</v>
      </c>
      <c r="C44" s="330">
        <v>558.4</v>
      </c>
      <c r="D44" s="330">
        <v>558.4</v>
      </c>
      <c r="E44" s="217" t="s">
        <v>133</v>
      </c>
      <c r="F44" s="218">
        <v>0</v>
      </c>
      <c r="G44" s="219">
        <v>0</v>
      </c>
      <c r="H44" s="219">
        <v>0</v>
      </c>
      <c r="I44" s="305">
        <v>0</v>
      </c>
      <c r="J44" s="223">
        <v>0</v>
      </c>
      <c r="K44" s="237">
        <f t="shared" si="0"/>
        <v>0</v>
      </c>
      <c r="L44" s="336"/>
      <c r="M44" s="292"/>
      <c r="N44" s="237">
        <v>0</v>
      </c>
      <c r="O44" s="237"/>
      <c r="P44" s="225">
        <f t="shared" si="7"/>
        <v>0</v>
      </c>
      <c r="Q44" s="231"/>
      <c r="R44" s="231"/>
      <c r="S44" s="226">
        <f t="shared" si="8"/>
        <v>0</v>
      </c>
      <c r="T44" s="227">
        <v>0</v>
      </c>
      <c r="U44" s="226">
        <f t="shared" si="2"/>
        <v>0</v>
      </c>
      <c r="V44" s="226">
        <f t="shared" si="3"/>
        <v>0</v>
      </c>
      <c r="W44" s="226">
        <f t="shared" si="4"/>
        <v>0</v>
      </c>
      <c r="X44" s="226">
        <f t="shared" si="5"/>
        <v>0</v>
      </c>
      <c r="Y44" s="226">
        <f t="shared" si="6"/>
        <v>0</v>
      </c>
    </row>
    <row r="45" spans="1:25" ht="15" x14ac:dyDescent="0.25">
      <c r="A45" s="215">
        <v>2220091</v>
      </c>
      <c r="B45" s="283" t="s">
        <v>159</v>
      </c>
      <c r="C45" s="330">
        <v>190</v>
      </c>
      <c r="D45" s="330">
        <v>190</v>
      </c>
      <c r="E45" s="217" t="s">
        <v>137</v>
      </c>
      <c r="F45" s="218">
        <v>0</v>
      </c>
      <c r="G45" s="219">
        <v>0</v>
      </c>
      <c r="H45" s="219">
        <v>0</v>
      </c>
      <c r="I45" s="305">
        <v>0</v>
      </c>
      <c r="J45" s="223">
        <v>0</v>
      </c>
      <c r="K45" s="237">
        <f t="shared" si="0"/>
        <v>0</v>
      </c>
      <c r="L45" s="336"/>
      <c r="M45" s="292"/>
      <c r="N45" s="237">
        <v>0</v>
      </c>
      <c r="O45" s="237"/>
      <c r="P45" s="225">
        <f t="shared" si="7"/>
        <v>0</v>
      </c>
      <c r="Q45" s="231"/>
      <c r="R45" s="231"/>
      <c r="S45" s="226">
        <f t="shared" si="8"/>
        <v>0</v>
      </c>
      <c r="T45" s="227">
        <v>0</v>
      </c>
      <c r="U45" s="226">
        <f t="shared" si="2"/>
        <v>0</v>
      </c>
      <c r="V45" s="226">
        <f t="shared" si="3"/>
        <v>0</v>
      </c>
      <c r="W45" s="226">
        <f t="shared" si="4"/>
        <v>0</v>
      </c>
      <c r="X45" s="226">
        <f t="shared" si="5"/>
        <v>0</v>
      </c>
      <c r="Y45" s="226">
        <f t="shared" si="6"/>
        <v>0</v>
      </c>
    </row>
    <row r="46" spans="1:25" ht="30" x14ac:dyDescent="0.25">
      <c r="A46" s="215">
        <v>2220079</v>
      </c>
      <c r="B46" s="283" t="s">
        <v>160</v>
      </c>
      <c r="C46" s="330">
        <v>287.86</v>
      </c>
      <c r="D46" s="330">
        <v>287.86</v>
      </c>
      <c r="E46" s="217" t="s">
        <v>133</v>
      </c>
      <c r="F46" s="218">
        <v>0</v>
      </c>
      <c r="G46" s="219">
        <v>0</v>
      </c>
      <c r="H46" s="219">
        <v>0</v>
      </c>
      <c r="I46" s="305">
        <v>0</v>
      </c>
      <c r="J46" s="223">
        <v>0</v>
      </c>
      <c r="K46" s="237">
        <f t="shared" si="0"/>
        <v>0</v>
      </c>
      <c r="L46" s="336"/>
      <c r="M46" s="292"/>
      <c r="N46" s="237">
        <v>0</v>
      </c>
      <c r="O46" s="237"/>
      <c r="P46" s="225">
        <f t="shared" si="7"/>
        <v>0</v>
      </c>
      <c r="Q46" s="231"/>
      <c r="R46" s="231"/>
      <c r="S46" s="226">
        <f t="shared" si="8"/>
        <v>0</v>
      </c>
      <c r="T46" s="227">
        <v>0</v>
      </c>
      <c r="U46" s="226">
        <f t="shared" si="2"/>
        <v>0</v>
      </c>
      <c r="V46" s="226">
        <f t="shared" si="3"/>
        <v>0</v>
      </c>
      <c r="W46" s="226">
        <f t="shared" si="4"/>
        <v>0</v>
      </c>
      <c r="X46" s="226">
        <f t="shared" si="5"/>
        <v>0</v>
      </c>
      <c r="Y46" s="226">
        <f t="shared" si="6"/>
        <v>0</v>
      </c>
    </row>
    <row r="47" spans="1:25" ht="30" x14ac:dyDescent="0.25">
      <c r="A47" s="215">
        <v>2220076</v>
      </c>
      <c r="B47" s="283" t="s">
        <v>161</v>
      </c>
      <c r="C47" s="330">
        <v>164</v>
      </c>
      <c r="D47" s="330">
        <v>164</v>
      </c>
      <c r="E47" s="217" t="s">
        <v>133</v>
      </c>
      <c r="F47" s="218">
        <v>0</v>
      </c>
      <c r="G47" s="219">
        <v>0</v>
      </c>
      <c r="H47" s="219">
        <v>0</v>
      </c>
      <c r="I47" s="305">
        <v>0</v>
      </c>
      <c r="J47" s="223">
        <v>0</v>
      </c>
      <c r="K47" s="237">
        <f t="shared" si="0"/>
        <v>0</v>
      </c>
      <c r="L47" s="336"/>
      <c r="M47" s="292"/>
      <c r="N47" s="237">
        <v>0</v>
      </c>
      <c r="O47" s="237"/>
      <c r="P47" s="225">
        <f t="shared" si="7"/>
        <v>0</v>
      </c>
      <c r="Q47" s="231"/>
      <c r="R47" s="231"/>
      <c r="S47" s="226">
        <f t="shared" si="8"/>
        <v>0</v>
      </c>
      <c r="T47" s="227">
        <v>0</v>
      </c>
      <c r="U47" s="226">
        <f t="shared" si="2"/>
        <v>0</v>
      </c>
      <c r="V47" s="226">
        <f t="shared" si="3"/>
        <v>0</v>
      </c>
      <c r="W47" s="226">
        <f t="shared" si="4"/>
        <v>0</v>
      </c>
      <c r="X47" s="226">
        <f t="shared" si="5"/>
        <v>0</v>
      </c>
      <c r="Y47" s="226">
        <f t="shared" si="6"/>
        <v>0</v>
      </c>
    </row>
    <row r="48" spans="1:25" ht="15" x14ac:dyDescent="0.25">
      <c r="A48" s="215">
        <v>2220014</v>
      </c>
      <c r="B48" s="283" t="s">
        <v>24</v>
      </c>
      <c r="C48" s="330">
        <v>59.9</v>
      </c>
      <c r="D48" s="330">
        <v>59.9</v>
      </c>
      <c r="E48" s="217" t="s">
        <v>137</v>
      </c>
      <c r="F48" s="218">
        <v>3.5527136788005009E-15</v>
      </c>
      <c r="G48" s="219">
        <f>43.5+32.5</f>
        <v>76</v>
      </c>
      <c r="H48" s="219">
        <v>0</v>
      </c>
      <c r="I48" s="333">
        <f>43.4+32.5</f>
        <v>75.900000000000006</v>
      </c>
      <c r="J48" s="223">
        <v>0</v>
      </c>
      <c r="K48" s="237">
        <f t="shared" si="0"/>
        <v>9.9999999999994316E-2</v>
      </c>
      <c r="L48" s="336">
        <v>-0.75</v>
      </c>
      <c r="M48" s="292">
        <v>1.3</v>
      </c>
      <c r="N48" s="237">
        <v>0.65</v>
      </c>
      <c r="O48" s="237"/>
      <c r="P48" s="225">
        <f t="shared" si="7"/>
        <v>0.55000000000000571</v>
      </c>
      <c r="Q48" s="231"/>
      <c r="R48" s="231"/>
      <c r="S48" s="226">
        <f t="shared" si="8"/>
        <v>2.1280754936015E-13</v>
      </c>
      <c r="T48" s="227">
        <v>0</v>
      </c>
      <c r="U48" s="226">
        <f t="shared" si="2"/>
        <v>4552.3999999999996</v>
      </c>
      <c r="V48" s="226">
        <f t="shared" si="3"/>
        <v>0</v>
      </c>
      <c r="W48" s="226">
        <f t="shared" si="4"/>
        <v>4546.41</v>
      </c>
      <c r="X48" s="226">
        <f t="shared" si="5"/>
        <v>0</v>
      </c>
      <c r="Y48" s="226">
        <f t="shared" si="6"/>
        <v>5.9899999999997817</v>
      </c>
    </row>
    <row r="49" spans="1:25" ht="15" x14ac:dyDescent="0.25">
      <c r="A49" s="215">
        <v>2220015</v>
      </c>
      <c r="B49" s="283" t="s">
        <v>25</v>
      </c>
      <c r="C49" s="330">
        <v>98.9</v>
      </c>
      <c r="D49" s="330">
        <v>98.9</v>
      </c>
      <c r="E49" s="217" t="s">
        <v>137</v>
      </c>
      <c r="F49" s="218">
        <v>-1.4432899320127035E-15</v>
      </c>
      <c r="G49" s="219">
        <v>112.5</v>
      </c>
      <c r="H49" s="219">
        <v>0</v>
      </c>
      <c r="I49" s="333">
        <f>118.15-5.65</f>
        <v>112.5</v>
      </c>
      <c r="J49" s="223">
        <v>0</v>
      </c>
      <c r="K49" s="237">
        <f t="shared" si="0"/>
        <v>0</v>
      </c>
      <c r="L49" s="336">
        <v>1.95</v>
      </c>
      <c r="M49" s="292">
        <v>3.3</v>
      </c>
      <c r="N49" s="237">
        <v>0</v>
      </c>
      <c r="O49" s="237"/>
      <c r="P49" s="225">
        <f t="shared" si="7"/>
        <v>0</v>
      </c>
      <c r="Q49" s="231"/>
      <c r="R49" s="231"/>
      <c r="S49" s="226">
        <v>0</v>
      </c>
      <c r="T49" s="227">
        <v>0</v>
      </c>
      <c r="U49" s="226">
        <f t="shared" si="2"/>
        <v>11126.25</v>
      </c>
      <c r="V49" s="226">
        <f t="shared" si="3"/>
        <v>0</v>
      </c>
      <c r="W49" s="226">
        <f t="shared" si="4"/>
        <v>11126.25</v>
      </c>
      <c r="X49" s="226">
        <f t="shared" si="5"/>
        <v>0</v>
      </c>
      <c r="Y49" s="226">
        <f t="shared" si="6"/>
        <v>0</v>
      </c>
    </row>
    <row r="50" spans="1:25" ht="15" x14ac:dyDescent="0.25">
      <c r="A50" s="215">
        <v>2220052</v>
      </c>
      <c r="B50" s="283" t="s">
        <v>162</v>
      </c>
      <c r="C50" s="330">
        <v>2710</v>
      </c>
      <c r="D50" s="330">
        <v>3270</v>
      </c>
      <c r="E50" s="217" t="s">
        <v>135</v>
      </c>
      <c r="F50" s="218">
        <v>2</v>
      </c>
      <c r="G50" s="219">
        <f>2+3</f>
        <v>5</v>
      </c>
      <c r="H50" s="219">
        <v>0</v>
      </c>
      <c r="I50" s="305">
        <f>1+3</f>
        <v>4</v>
      </c>
      <c r="J50" s="223">
        <v>0</v>
      </c>
      <c r="K50" s="237">
        <f t="shared" si="0"/>
        <v>3</v>
      </c>
      <c r="L50" s="336"/>
      <c r="M50" s="292"/>
      <c r="N50" s="237">
        <v>3</v>
      </c>
      <c r="O50" s="237"/>
      <c r="P50" s="225">
        <f t="shared" si="7"/>
        <v>0</v>
      </c>
      <c r="Q50" s="231"/>
      <c r="R50" s="231"/>
      <c r="S50" s="226">
        <f t="shared" ref="S50:S56" si="9">C50*F50</f>
        <v>5420</v>
      </c>
      <c r="T50" s="227">
        <v>0</v>
      </c>
      <c r="U50" s="226">
        <f t="shared" si="2"/>
        <v>16350</v>
      </c>
      <c r="V50" s="226">
        <f t="shared" si="3"/>
        <v>0</v>
      </c>
      <c r="W50" s="226">
        <f t="shared" si="4"/>
        <v>13080</v>
      </c>
      <c r="X50" s="226">
        <f t="shared" si="5"/>
        <v>0</v>
      </c>
      <c r="Y50" s="226">
        <f t="shared" si="6"/>
        <v>8690</v>
      </c>
    </row>
    <row r="51" spans="1:25" ht="15" x14ac:dyDescent="0.25">
      <c r="A51" s="215">
        <v>2220093</v>
      </c>
      <c r="B51" s="283" t="s">
        <v>163</v>
      </c>
      <c r="C51" s="330">
        <v>1091.99</v>
      </c>
      <c r="D51" s="330">
        <v>1091.99</v>
      </c>
      <c r="E51" s="217" t="s">
        <v>133</v>
      </c>
      <c r="F51" s="218">
        <v>0</v>
      </c>
      <c r="G51" s="219">
        <v>0</v>
      </c>
      <c r="H51" s="219">
        <v>0</v>
      </c>
      <c r="I51" s="305">
        <v>0</v>
      </c>
      <c r="J51" s="223">
        <v>0</v>
      </c>
      <c r="K51" s="237">
        <f t="shared" si="0"/>
        <v>0</v>
      </c>
      <c r="L51" s="336"/>
      <c r="M51" s="292"/>
      <c r="N51" s="237">
        <v>0</v>
      </c>
      <c r="O51" s="237"/>
      <c r="P51" s="225">
        <f t="shared" si="7"/>
        <v>0</v>
      </c>
      <c r="Q51" s="231"/>
      <c r="R51" s="231"/>
      <c r="S51" s="226">
        <f t="shared" si="9"/>
        <v>0</v>
      </c>
      <c r="T51" s="227">
        <v>0</v>
      </c>
      <c r="U51" s="226">
        <f t="shared" si="2"/>
        <v>0</v>
      </c>
      <c r="V51" s="226">
        <f t="shared" si="3"/>
        <v>0</v>
      </c>
      <c r="W51" s="226">
        <f t="shared" si="4"/>
        <v>0</v>
      </c>
      <c r="X51" s="226">
        <f t="shared" si="5"/>
        <v>0</v>
      </c>
      <c r="Y51" s="226">
        <f t="shared" si="6"/>
        <v>0</v>
      </c>
    </row>
    <row r="52" spans="1:25" ht="15" x14ac:dyDescent="0.25">
      <c r="A52" s="215">
        <v>2220092</v>
      </c>
      <c r="B52" s="283" t="s">
        <v>164</v>
      </c>
      <c r="C52" s="330">
        <v>484.4</v>
      </c>
      <c r="D52" s="330">
        <v>484.4</v>
      </c>
      <c r="E52" s="217" t="s">
        <v>133</v>
      </c>
      <c r="F52" s="218">
        <v>5</v>
      </c>
      <c r="G52" s="219">
        <v>0</v>
      </c>
      <c r="H52" s="219">
        <v>0</v>
      </c>
      <c r="I52" s="305">
        <v>0</v>
      </c>
      <c r="J52" s="223">
        <v>0</v>
      </c>
      <c r="K52" s="237">
        <f t="shared" si="0"/>
        <v>5</v>
      </c>
      <c r="L52" s="336"/>
      <c r="M52" s="292"/>
      <c r="N52" s="237">
        <v>5</v>
      </c>
      <c r="O52" s="237"/>
      <c r="P52" s="225">
        <f t="shared" si="7"/>
        <v>0</v>
      </c>
      <c r="Q52" s="231"/>
      <c r="R52" s="231"/>
      <c r="S52" s="226">
        <f t="shared" si="9"/>
        <v>2422</v>
      </c>
      <c r="T52" s="227">
        <v>0</v>
      </c>
      <c r="U52" s="226">
        <f t="shared" si="2"/>
        <v>0</v>
      </c>
      <c r="V52" s="226">
        <f t="shared" si="3"/>
        <v>0</v>
      </c>
      <c r="W52" s="226">
        <f t="shared" si="4"/>
        <v>0</v>
      </c>
      <c r="X52" s="226">
        <f t="shared" si="5"/>
        <v>0</v>
      </c>
      <c r="Y52" s="226">
        <f t="shared" si="6"/>
        <v>2422</v>
      </c>
    </row>
    <row r="53" spans="1:25" ht="15" customHeight="1" x14ac:dyDescent="0.25">
      <c r="A53" s="234">
        <v>2220144</v>
      </c>
      <c r="B53" s="338" t="s">
        <v>165</v>
      </c>
      <c r="C53" s="331">
        <v>631.04</v>
      </c>
      <c r="D53" s="331">
        <v>631.04</v>
      </c>
      <c r="E53" s="236" t="s">
        <v>133</v>
      </c>
      <c r="F53" s="229">
        <v>0</v>
      </c>
      <c r="G53" s="219">
        <v>0</v>
      </c>
      <c r="H53" s="219">
        <v>0</v>
      </c>
      <c r="I53" s="305">
        <v>0</v>
      </c>
      <c r="J53" s="223">
        <v>0</v>
      </c>
      <c r="K53" s="237">
        <f t="shared" si="0"/>
        <v>0</v>
      </c>
      <c r="L53" s="336"/>
      <c r="M53" s="292"/>
      <c r="N53" s="237">
        <v>0</v>
      </c>
      <c r="O53" s="237"/>
      <c r="P53" s="225">
        <f t="shared" si="7"/>
        <v>0</v>
      </c>
      <c r="Q53" s="231"/>
      <c r="R53" s="231"/>
      <c r="S53" s="226">
        <f t="shared" si="9"/>
        <v>0</v>
      </c>
      <c r="T53" s="227">
        <v>0</v>
      </c>
      <c r="U53" s="226">
        <f t="shared" si="2"/>
        <v>0</v>
      </c>
      <c r="V53" s="226">
        <f t="shared" si="3"/>
        <v>0</v>
      </c>
      <c r="W53" s="226">
        <f t="shared" si="4"/>
        <v>0</v>
      </c>
      <c r="X53" s="226">
        <f t="shared" si="5"/>
        <v>0</v>
      </c>
      <c r="Y53" s="226">
        <f t="shared" si="6"/>
        <v>0</v>
      </c>
    </row>
    <row r="54" spans="1:25" ht="110.4" x14ac:dyDescent="0.25">
      <c r="A54" s="215">
        <v>2220016</v>
      </c>
      <c r="B54" s="283" t="s">
        <v>26</v>
      </c>
      <c r="C54" s="330">
        <v>26.1</v>
      </c>
      <c r="D54" s="330">
        <v>26.1</v>
      </c>
      <c r="E54" s="217" t="s">
        <v>133</v>
      </c>
      <c r="F54" s="218">
        <v>0</v>
      </c>
      <c r="G54" s="219">
        <f>3196+260</f>
        <v>3456</v>
      </c>
      <c r="H54" s="219">
        <v>0</v>
      </c>
      <c r="I54" s="333">
        <f>3246-50+260</f>
        <v>3456</v>
      </c>
      <c r="J54" s="223">
        <v>0</v>
      </c>
      <c r="K54" s="237">
        <f t="shared" si="0"/>
        <v>0</v>
      </c>
      <c r="L54" s="336">
        <v>12</v>
      </c>
      <c r="M54" s="292">
        <v>106</v>
      </c>
      <c r="N54" s="237">
        <v>44</v>
      </c>
      <c r="O54" s="237" t="s">
        <v>272</v>
      </c>
      <c r="P54" s="225">
        <f t="shared" si="7"/>
        <v>44</v>
      </c>
      <c r="Q54" s="231"/>
      <c r="R54" s="231"/>
      <c r="S54" s="226">
        <f t="shared" si="9"/>
        <v>0</v>
      </c>
      <c r="T54" s="227">
        <v>0</v>
      </c>
      <c r="U54" s="226">
        <f t="shared" si="2"/>
        <v>90201.600000000006</v>
      </c>
      <c r="V54" s="226">
        <f t="shared" si="3"/>
        <v>0</v>
      </c>
      <c r="W54" s="226">
        <f t="shared" si="4"/>
        <v>90201.600000000006</v>
      </c>
      <c r="X54" s="226">
        <f t="shared" si="5"/>
        <v>0</v>
      </c>
      <c r="Y54" s="226">
        <f t="shared" si="6"/>
        <v>0</v>
      </c>
    </row>
    <row r="55" spans="1:25" ht="15" x14ac:dyDescent="0.25">
      <c r="A55" s="215">
        <v>2220131</v>
      </c>
      <c r="B55" s="283" t="s">
        <v>166</v>
      </c>
      <c r="C55" s="330">
        <v>78.2</v>
      </c>
      <c r="D55" s="330">
        <v>78.2</v>
      </c>
      <c r="E55" s="217" t="s">
        <v>137</v>
      </c>
      <c r="F55" s="218">
        <v>0</v>
      </c>
      <c r="G55" s="219">
        <f>46.5+130</f>
        <v>176.5</v>
      </c>
      <c r="H55" s="219">
        <v>0</v>
      </c>
      <c r="I55" s="333">
        <f>50.7-4.2+130</f>
        <v>176.5</v>
      </c>
      <c r="J55" s="223">
        <v>0</v>
      </c>
      <c r="K55" s="237">
        <f t="shared" si="0"/>
        <v>0</v>
      </c>
      <c r="L55" s="336">
        <v>3</v>
      </c>
      <c r="M55" s="292">
        <v>1.6</v>
      </c>
      <c r="N55" s="237">
        <v>0.4</v>
      </c>
      <c r="O55" s="237"/>
      <c r="P55" s="225">
        <f t="shared" si="7"/>
        <v>0.4</v>
      </c>
      <c r="Q55" s="231"/>
      <c r="R55" s="231"/>
      <c r="S55" s="226">
        <f t="shared" si="9"/>
        <v>0</v>
      </c>
      <c r="T55" s="227">
        <v>0</v>
      </c>
      <c r="U55" s="226">
        <f t="shared" si="2"/>
        <v>13802.300000000001</v>
      </c>
      <c r="V55" s="226">
        <f t="shared" si="3"/>
        <v>0</v>
      </c>
      <c r="W55" s="226">
        <f t="shared" si="4"/>
        <v>13802.300000000001</v>
      </c>
      <c r="X55" s="226">
        <f t="shared" si="5"/>
        <v>0</v>
      </c>
      <c r="Y55" s="226">
        <f t="shared" si="6"/>
        <v>0</v>
      </c>
    </row>
    <row r="56" spans="1:25" ht="15" x14ac:dyDescent="0.25">
      <c r="A56" s="215">
        <v>2220086</v>
      </c>
      <c r="B56" s="283" t="s">
        <v>167</v>
      </c>
      <c r="C56" s="330">
        <v>440</v>
      </c>
      <c r="D56" s="330">
        <v>440</v>
      </c>
      <c r="E56" s="217" t="s">
        <v>133</v>
      </c>
      <c r="F56" s="218">
        <v>0</v>
      </c>
      <c r="G56" s="219">
        <v>0</v>
      </c>
      <c r="H56" s="219">
        <v>0</v>
      </c>
      <c r="I56" s="305">
        <v>0</v>
      </c>
      <c r="J56" s="223">
        <v>0</v>
      </c>
      <c r="K56" s="237">
        <f t="shared" si="0"/>
        <v>0</v>
      </c>
      <c r="L56" s="336"/>
      <c r="M56" s="292"/>
      <c r="N56" s="237">
        <v>0</v>
      </c>
      <c r="O56" s="237"/>
      <c r="P56" s="225">
        <f t="shared" si="7"/>
        <v>0</v>
      </c>
      <c r="Q56" s="231"/>
      <c r="R56" s="231"/>
      <c r="S56" s="226">
        <f t="shared" si="9"/>
        <v>0</v>
      </c>
      <c r="T56" s="227">
        <v>0</v>
      </c>
      <c r="U56" s="226">
        <f t="shared" si="2"/>
        <v>0</v>
      </c>
      <c r="V56" s="226">
        <f t="shared" si="3"/>
        <v>0</v>
      </c>
      <c r="W56" s="226">
        <f t="shared" si="4"/>
        <v>0</v>
      </c>
      <c r="X56" s="226">
        <f t="shared" si="5"/>
        <v>0</v>
      </c>
      <c r="Y56" s="226">
        <f t="shared" si="6"/>
        <v>0</v>
      </c>
    </row>
    <row r="57" spans="1:25" ht="69" x14ac:dyDescent="0.25">
      <c r="A57" s="215">
        <v>2220017</v>
      </c>
      <c r="B57" s="283" t="s">
        <v>74</v>
      </c>
      <c r="C57" s="330">
        <v>135.4</v>
      </c>
      <c r="D57" s="330">
        <v>135.4</v>
      </c>
      <c r="E57" s="217" t="s">
        <v>137</v>
      </c>
      <c r="F57" s="218">
        <v>-8.5265128291212022E-14</v>
      </c>
      <c r="G57" s="219">
        <f>1337+104</f>
        <v>1441</v>
      </c>
      <c r="H57" s="219">
        <v>0</v>
      </c>
      <c r="I57" s="333">
        <f>1392.13-55.13+104</f>
        <v>1441</v>
      </c>
      <c r="J57" s="223">
        <v>0</v>
      </c>
      <c r="K57" s="237">
        <f t="shared" si="0"/>
        <v>0</v>
      </c>
      <c r="L57" s="336">
        <v>17.25</v>
      </c>
      <c r="M57" s="292">
        <v>1.91</v>
      </c>
      <c r="N57" s="237">
        <v>16</v>
      </c>
      <c r="O57" s="237" t="s">
        <v>273</v>
      </c>
      <c r="P57" s="225">
        <f t="shared" si="7"/>
        <v>16</v>
      </c>
      <c r="Q57" s="231"/>
      <c r="R57" s="231"/>
      <c r="S57" s="226">
        <v>0</v>
      </c>
      <c r="T57" s="227">
        <v>0</v>
      </c>
      <c r="U57" s="226">
        <f t="shared" si="2"/>
        <v>195111.4</v>
      </c>
      <c r="V57" s="226">
        <f t="shared" si="3"/>
        <v>0</v>
      </c>
      <c r="W57" s="226">
        <f t="shared" si="4"/>
        <v>195111.4</v>
      </c>
      <c r="X57" s="226">
        <f t="shared" si="5"/>
        <v>0</v>
      </c>
      <c r="Y57" s="226">
        <f t="shared" si="6"/>
        <v>0</v>
      </c>
    </row>
    <row r="58" spans="1:25" ht="15" x14ac:dyDescent="0.25">
      <c r="A58" s="215">
        <v>2220062</v>
      </c>
      <c r="B58" s="283" t="s">
        <v>168</v>
      </c>
      <c r="C58" s="330">
        <v>850</v>
      </c>
      <c r="D58" s="330">
        <v>850</v>
      </c>
      <c r="E58" s="217" t="s">
        <v>135</v>
      </c>
      <c r="F58" s="218">
        <v>0</v>
      </c>
      <c r="G58" s="219">
        <v>0</v>
      </c>
      <c r="H58" s="219">
        <v>0</v>
      </c>
      <c r="I58" s="305">
        <v>0</v>
      </c>
      <c r="J58" s="223">
        <v>0</v>
      </c>
      <c r="K58" s="237">
        <f t="shared" si="0"/>
        <v>0</v>
      </c>
      <c r="L58" s="336"/>
      <c r="M58" s="292"/>
      <c r="N58" s="237">
        <v>0</v>
      </c>
      <c r="O58" s="237"/>
      <c r="P58" s="225">
        <f t="shared" si="7"/>
        <v>0</v>
      </c>
      <c r="Q58" s="231"/>
      <c r="R58" s="231"/>
      <c r="S58" s="226">
        <f t="shared" ref="S58:S66" si="10">C58*F58</f>
        <v>0</v>
      </c>
      <c r="T58" s="227">
        <v>0</v>
      </c>
      <c r="U58" s="226">
        <f t="shared" si="2"/>
        <v>0</v>
      </c>
      <c r="V58" s="226">
        <f t="shared" si="3"/>
        <v>0</v>
      </c>
      <c r="W58" s="226">
        <f t="shared" si="4"/>
        <v>0</v>
      </c>
      <c r="X58" s="226">
        <f t="shared" si="5"/>
        <v>0</v>
      </c>
      <c r="Y58" s="226">
        <f t="shared" si="6"/>
        <v>0</v>
      </c>
    </row>
    <row r="59" spans="1:25" ht="15" customHeight="1" x14ac:dyDescent="0.25">
      <c r="A59" s="215">
        <v>2220082</v>
      </c>
      <c r="B59" s="283" t="s">
        <v>169</v>
      </c>
      <c r="C59" s="330">
        <v>376.36</v>
      </c>
      <c r="D59" s="330">
        <v>2760</v>
      </c>
      <c r="E59" s="217" t="s">
        <v>135</v>
      </c>
      <c r="F59" s="218">
        <v>0</v>
      </c>
      <c r="G59" s="219">
        <v>2</v>
      </c>
      <c r="H59" s="219">
        <v>0</v>
      </c>
      <c r="I59" s="305">
        <v>0</v>
      </c>
      <c r="J59" s="223">
        <v>0</v>
      </c>
      <c r="K59" s="237">
        <f t="shared" si="0"/>
        <v>2</v>
      </c>
      <c r="L59" s="336"/>
      <c r="M59" s="292"/>
      <c r="N59" s="237">
        <v>2</v>
      </c>
      <c r="O59" s="237"/>
      <c r="P59" s="225">
        <f t="shared" si="7"/>
        <v>0</v>
      </c>
      <c r="Q59" s="231"/>
      <c r="R59" s="231"/>
      <c r="S59" s="226">
        <f t="shared" si="10"/>
        <v>0</v>
      </c>
      <c r="T59" s="227">
        <v>0</v>
      </c>
      <c r="U59" s="226">
        <f t="shared" si="2"/>
        <v>5520</v>
      </c>
      <c r="V59" s="226">
        <f t="shared" si="3"/>
        <v>0</v>
      </c>
      <c r="W59" s="226">
        <f t="shared" si="4"/>
        <v>0</v>
      </c>
      <c r="X59" s="226">
        <f t="shared" si="5"/>
        <v>0</v>
      </c>
      <c r="Y59" s="226">
        <f t="shared" si="6"/>
        <v>5520</v>
      </c>
    </row>
    <row r="60" spans="1:25" ht="15" customHeight="1" x14ac:dyDescent="0.25">
      <c r="A60" s="215">
        <v>2220061</v>
      </c>
      <c r="B60" s="283" t="s">
        <v>170</v>
      </c>
      <c r="C60" s="330">
        <v>2500</v>
      </c>
      <c r="D60" s="330">
        <v>2500</v>
      </c>
      <c r="E60" s="217" t="s">
        <v>135</v>
      </c>
      <c r="F60" s="218">
        <v>0</v>
      </c>
      <c r="G60" s="219">
        <v>0</v>
      </c>
      <c r="H60" s="219">
        <v>0</v>
      </c>
      <c r="I60" s="305">
        <v>0</v>
      </c>
      <c r="J60" s="223">
        <v>0</v>
      </c>
      <c r="K60" s="237">
        <f t="shared" si="0"/>
        <v>0</v>
      </c>
      <c r="L60" s="336"/>
      <c r="M60" s="292"/>
      <c r="N60" s="237">
        <v>0</v>
      </c>
      <c r="O60" s="237"/>
      <c r="P60" s="225">
        <f t="shared" si="7"/>
        <v>0</v>
      </c>
      <c r="Q60" s="231"/>
      <c r="R60" s="231"/>
      <c r="S60" s="226">
        <f t="shared" si="10"/>
        <v>0</v>
      </c>
      <c r="T60" s="227">
        <v>0</v>
      </c>
      <c r="U60" s="226">
        <f t="shared" si="2"/>
        <v>0</v>
      </c>
      <c r="V60" s="226">
        <f t="shared" si="3"/>
        <v>0</v>
      </c>
      <c r="W60" s="226">
        <f t="shared" si="4"/>
        <v>0</v>
      </c>
      <c r="X60" s="226">
        <f t="shared" si="5"/>
        <v>0</v>
      </c>
      <c r="Y60" s="226">
        <f t="shared" si="6"/>
        <v>0</v>
      </c>
    </row>
    <row r="61" spans="1:25" ht="15" customHeight="1" x14ac:dyDescent="0.25">
      <c r="A61" s="215">
        <v>2220051</v>
      </c>
      <c r="B61" s="283" t="s">
        <v>171</v>
      </c>
      <c r="C61" s="330">
        <v>2840</v>
      </c>
      <c r="D61" s="330">
        <v>2840</v>
      </c>
      <c r="E61" s="217" t="s">
        <v>135</v>
      </c>
      <c r="F61" s="218">
        <v>2</v>
      </c>
      <c r="G61" s="219">
        <f>2+3</f>
        <v>5</v>
      </c>
      <c r="H61" s="219">
        <v>0</v>
      </c>
      <c r="I61" s="305">
        <f>1+3</f>
        <v>4</v>
      </c>
      <c r="J61" s="223">
        <v>0</v>
      </c>
      <c r="K61" s="237">
        <f t="shared" si="0"/>
        <v>3</v>
      </c>
      <c r="L61" s="336"/>
      <c r="M61" s="292"/>
      <c r="N61" s="237">
        <v>3</v>
      </c>
      <c r="O61" s="237"/>
      <c r="P61" s="225">
        <f t="shared" si="7"/>
        <v>0</v>
      </c>
      <c r="Q61" s="231"/>
      <c r="R61" s="231"/>
      <c r="S61" s="226">
        <f t="shared" si="10"/>
        <v>5680</v>
      </c>
      <c r="T61" s="227">
        <v>0</v>
      </c>
      <c r="U61" s="226">
        <f t="shared" si="2"/>
        <v>14200</v>
      </c>
      <c r="V61" s="226">
        <f t="shared" si="3"/>
        <v>0</v>
      </c>
      <c r="W61" s="226">
        <f t="shared" si="4"/>
        <v>11360</v>
      </c>
      <c r="X61" s="226">
        <f t="shared" si="5"/>
        <v>0</v>
      </c>
      <c r="Y61" s="226">
        <f t="shared" si="6"/>
        <v>8520</v>
      </c>
    </row>
    <row r="62" spans="1:25" ht="15" customHeight="1" x14ac:dyDescent="0.25">
      <c r="A62" s="215">
        <v>2220064</v>
      </c>
      <c r="B62" s="283" t="s">
        <v>172</v>
      </c>
      <c r="C62" s="330">
        <v>2370</v>
      </c>
      <c r="D62" s="330">
        <v>2370</v>
      </c>
      <c r="E62" s="217" t="s">
        <v>135</v>
      </c>
      <c r="F62" s="218">
        <v>3</v>
      </c>
      <c r="G62" s="219">
        <v>0</v>
      </c>
      <c r="H62" s="219">
        <v>0</v>
      </c>
      <c r="I62" s="305">
        <v>0</v>
      </c>
      <c r="J62" s="223">
        <v>0</v>
      </c>
      <c r="K62" s="237">
        <f t="shared" si="0"/>
        <v>3</v>
      </c>
      <c r="L62" s="336"/>
      <c r="M62" s="292"/>
      <c r="N62" s="237">
        <v>3</v>
      </c>
      <c r="O62" s="237"/>
      <c r="P62" s="225">
        <f t="shared" si="7"/>
        <v>0</v>
      </c>
      <c r="Q62" s="231"/>
      <c r="R62" s="231"/>
      <c r="S62" s="226">
        <f t="shared" si="10"/>
        <v>7110</v>
      </c>
      <c r="T62" s="227">
        <v>0</v>
      </c>
      <c r="U62" s="226">
        <f t="shared" si="2"/>
        <v>0</v>
      </c>
      <c r="V62" s="226">
        <f t="shared" si="3"/>
        <v>0</v>
      </c>
      <c r="W62" s="226">
        <f t="shared" si="4"/>
        <v>0</v>
      </c>
      <c r="X62" s="226">
        <f t="shared" si="5"/>
        <v>0</v>
      </c>
      <c r="Y62" s="226">
        <f t="shared" si="6"/>
        <v>7110</v>
      </c>
    </row>
    <row r="63" spans="1:25" ht="15" customHeight="1" x14ac:dyDescent="0.25">
      <c r="A63" s="215">
        <v>2220063</v>
      </c>
      <c r="B63" s="283" t="s">
        <v>173</v>
      </c>
      <c r="C63" s="330">
        <v>2720</v>
      </c>
      <c r="D63" s="330">
        <v>2720</v>
      </c>
      <c r="E63" s="217" t="s">
        <v>135</v>
      </c>
      <c r="F63" s="218">
        <v>0</v>
      </c>
      <c r="G63" s="219">
        <v>0</v>
      </c>
      <c r="H63" s="219">
        <v>0</v>
      </c>
      <c r="I63" s="305">
        <v>0</v>
      </c>
      <c r="J63" s="223">
        <v>0</v>
      </c>
      <c r="K63" s="237">
        <f t="shared" si="0"/>
        <v>0</v>
      </c>
      <c r="L63" s="336"/>
      <c r="M63" s="292"/>
      <c r="N63" s="237">
        <v>0</v>
      </c>
      <c r="O63" s="237"/>
      <c r="P63" s="225">
        <f t="shared" si="7"/>
        <v>0</v>
      </c>
      <c r="Q63" s="231"/>
      <c r="R63" s="231"/>
      <c r="S63" s="226">
        <f t="shared" si="10"/>
        <v>0</v>
      </c>
      <c r="T63" s="227">
        <v>0</v>
      </c>
      <c r="U63" s="226">
        <f t="shared" si="2"/>
        <v>0</v>
      </c>
      <c r="V63" s="226">
        <f t="shared" si="3"/>
        <v>0</v>
      </c>
      <c r="W63" s="226">
        <f t="shared" si="4"/>
        <v>0</v>
      </c>
      <c r="X63" s="226">
        <f t="shared" si="5"/>
        <v>0</v>
      </c>
      <c r="Y63" s="226">
        <f t="shared" si="6"/>
        <v>0</v>
      </c>
    </row>
    <row r="64" spans="1:25" ht="15" x14ac:dyDescent="0.25">
      <c r="A64" s="215">
        <v>2220018</v>
      </c>
      <c r="B64" s="283" t="s">
        <v>28</v>
      </c>
      <c r="C64" s="330">
        <v>44.8</v>
      </c>
      <c r="D64" s="330">
        <v>44.8</v>
      </c>
      <c r="E64" s="217" t="s">
        <v>137</v>
      </c>
      <c r="F64" s="218">
        <v>0</v>
      </c>
      <c r="G64" s="219">
        <f>459+81.25</f>
        <v>540.25</v>
      </c>
      <c r="H64" s="219">
        <v>0</v>
      </c>
      <c r="I64" s="333">
        <f>481.35-22.35+81.25</f>
        <v>540.25</v>
      </c>
      <c r="J64" s="223">
        <v>0</v>
      </c>
      <c r="K64" s="237">
        <f t="shared" si="0"/>
        <v>0</v>
      </c>
      <c r="L64" s="336">
        <v>4.95</v>
      </c>
      <c r="M64" s="292">
        <v>16.5</v>
      </c>
      <c r="N64" s="237">
        <v>0</v>
      </c>
      <c r="O64" s="237"/>
      <c r="P64" s="225">
        <f t="shared" si="7"/>
        <v>0</v>
      </c>
      <c r="Q64" s="231"/>
      <c r="R64" s="231"/>
      <c r="S64" s="226">
        <f t="shared" si="10"/>
        <v>0</v>
      </c>
      <c r="T64" s="227">
        <v>0</v>
      </c>
      <c r="U64" s="226">
        <f t="shared" si="2"/>
        <v>24203.199999999997</v>
      </c>
      <c r="V64" s="226">
        <f t="shared" si="3"/>
        <v>0</v>
      </c>
      <c r="W64" s="226">
        <f t="shared" si="4"/>
        <v>24203.199999999997</v>
      </c>
      <c r="X64" s="226">
        <f t="shared" si="5"/>
        <v>0</v>
      </c>
      <c r="Y64" s="226">
        <f t="shared" si="6"/>
        <v>0</v>
      </c>
    </row>
    <row r="65" spans="1:25" ht="82.8" x14ac:dyDescent="0.25">
      <c r="A65" s="215">
        <v>2220037</v>
      </c>
      <c r="B65" s="283" t="s">
        <v>174</v>
      </c>
      <c r="C65" s="330">
        <v>302.10000000000002</v>
      </c>
      <c r="D65" s="330">
        <v>302.10000000000002</v>
      </c>
      <c r="E65" s="217" t="s">
        <v>175</v>
      </c>
      <c r="F65" s="218">
        <v>0</v>
      </c>
      <c r="G65" s="219">
        <v>50</v>
      </c>
      <c r="H65" s="219">
        <v>0</v>
      </c>
      <c r="I65" s="305">
        <f>18-2</f>
        <v>16</v>
      </c>
      <c r="J65" s="223">
        <v>0</v>
      </c>
      <c r="K65" s="237">
        <f t="shared" si="0"/>
        <v>34</v>
      </c>
      <c r="L65" s="336"/>
      <c r="M65" s="292"/>
      <c r="N65" s="237">
        <v>34</v>
      </c>
      <c r="O65" s="237" t="s">
        <v>277</v>
      </c>
      <c r="P65" s="225">
        <f t="shared" si="7"/>
        <v>0</v>
      </c>
      <c r="Q65" s="231"/>
      <c r="R65" s="231"/>
      <c r="S65" s="226">
        <f t="shared" si="10"/>
        <v>0</v>
      </c>
      <c r="T65" s="227">
        <v>0</v>
      </c>
      <c r="U65" s="226">
        <f t="shared" si="2"/>
        <v>15105.000000000002</v>
      </c>
      <c r="V65" s="226">
        <f t="shared" si="3"/>
        <v>0</v>
      </c>
      <c r="W65" s="226">
        <f t="shared" si="4"/>
        <v>4833.6000000000004</v>
      </c>
      <c r="X65" s="226">
        <f t="shared" si="5"/>
        <v>0</v>
      </c>
      <c r="Y65" s="226">
        <f t="shared" si="6"/>
        <v>10271.400000000001</v>
      </c>
    </row>
    <row r="66" spans="1:25" ht="15" x14ac:dyDescent="0.25">
      <c r="A66" s="215">
        <v>2220060</v>
      </c>
      <c r="B66" s="283" t="s">
        <v>176</v>
      </c>
      <c r="C66" s="330">
        <v>1610</v>
      </c>
      <c r="D66" s="330">
        <v>1610</v>
      </c>
      <c r="E66" s="217" t="s">
        <v>135</v>
      </c>
      <c r="F66" s="218">
        <v>1</v>
      </c>
      <c r="G66" s="219">
        <v>0</v>
      </c>
      <c r="H66" s="219">
        <v>0</v>
      </c>
      <c r="I66" s="305">
        <v>0</v>
      </c>
      <c r="J66" s="223">
        <v>0</v>
      </c>
      <c r="K66" s="237">
        <f t="shared" si="0"/>
        <v>1</v>
      </c>
      <c r="L66" s="336"/>
      <c r="M66" s="292"/>
      <c r="N66" s="237">
        <v>1</v>
      </c>
      <c r="O66" s="237"/>
      <c r="P66" s="225">
        <f t="shared" si="7"/>
        <v>0</v>
      </c>
      <c r="Q66" s="231"/>
      <c r="R66" s="231"/>
      <c r="S66" s="226">
        <f t="shared" si="10"/>
        <v>1610</v>
      </c>
      <c r="T66" s="227">
        <v>0</v>
      </c>
      <c r="U66" s="226">
        <f t="shared" si="2"/>
        <v>0</v>
      </c>
      <c r="V66" s="226">
        <f t="shared" si="3"/>
        <v>0</v>
      </c>
      <c r="W66" s="226">
        <f t="shared" si="4"/>
        <v>0</v>
      </c>
      <c r="X66" s="226">
        <f t="shared" si="5"/>
        <v>0</v>
      </c>
      <c r="Y66" s="226">
        <f t="shared" si="6"/>
        <v>1610</v>
      </c>
    </row>
    <row r="67" spans="1:25" ht="138" x14ac:dyDescent="0.25">
      <c r="A67" s="215">
        <v>2220019</v>
      </c>
      <c r="B67" s="283" t="s">
        <v>29</v>
      </c>
      <c r="C67" s="330">
        <v>36.5</v>
      </c>
      <c r="D67" s="330">
        <v>36.5</v>
      </c>
      <c r="E67" s="217" t="s">
        <v>137</v>
      </c>
      <c r="F67" s="218">
        <v>-1.1546319456101628E-14</v>
      </c>
      <c r="G67" s="219">
        <f>513+162.5</f>
        <v>675.5</v>
      </c>
      <c r="H67" s="219">
        <v>0</v>
      </c>
      <c r="I67" s="333">
        <f>526.2-13.2+162.5</f>
        <v>675.5</v>
      </c>
      <c r="J67" s="223">
        <v>0</v>
      </c>
      <c r="K67" s="237">
        <f t="shared" si="0"/>
        <v>0</v>
      </c>
      <c r="L67" s="336">
        <v>4.05</v>
      </c>
      <c r="M67" s="292">
        <v>17.3</v>
      </c>
      <c r="N67" s="237">
        <v>5.95</v>
      </c>
      <c r="O67" s="237" t="s">
        <v>274</v>
      </c>
      <c r="P67" s="225">
        <f t="shared" si="7"/>
        <v>5.95</v>
      </c>
      <c r="Q67" s="231"/>
      <c r="R67" s="231"/>
      <c r="S67" s="226">
        <v>0</v>
      </c>
      <c r="T67" s="227">
        <v>0</v>
      </c>
      <c r="U67" s="226">
        <f t="shared" si="2"/>
        <v>24655.75</v>
      </c>
      <c r="V67" s="226">
        <f t="shared" si="3"/>
        <v>0</v>
      </c>
      <c r="W67" s="226">
        <f t="shared" si="4"/>
        <v>24655.75</v>
      </c>
      <c r="X67" s="226">
        <f t="shared" si="5"/>
        <v>0</v>
      </c>
      <c r="Y67" s="226">
        <f t="shared" si="6"/>
        <v>0</v>
      </c>
    </row>
    <row r="68" spans="1:25" ht="15" x14ac:dyDescent="0.25">
      <c r="A68" s="215">
        <v>2220032</v>
      </c>
      <c r="B68" s="283" t="s">
        <v>177</v>
      </c>
      <c r="C68" s="330">
        <v>93.8</v>
      </c>
      <c r="D68" s="330">
        <v>93.8</v>
      </c>
      <c r="E68" s="217" t="s">
        <v>133</v>
      </c>
      <c r="F68" s="218">
        <v>0</v>
      </c>
      <c r="G68" s="219">
        <v>28</v>
      </c>
      <c r="H68" s="219">
        <v>0</v>
      </c>
      <c r="I68" s="305">
        <v>6</v>
      </c>
      <c r="J68" s="223">
        <v>0</v>
      </c>
      <c r="K68" s="237">
        <f t="shared" si="0"/>
        <v>22</v>
      </c>
      <c r="L68" s="336"/>
      <c r="M68" s="292"/>
      <c r="N68" s="237">
        <v>22</v>
      </c>
      <c r="O68" s="237"/>
      <c r="P68" s="225">
        <f t="shared" si="7"/>
        <v>0</v>
      </c>
      <c r="Q68" s="231"/>
      <c r="R68" s="231"/>
      <c r="S68" s="226">
        <f t="shared" ref="S68:S78" si="11">C68*F68</f>
        <v>0</v>
      </c>
      <c r="T68" s="227">
        <v>0</v>
      </c>
      <c r="U68" s="226">
        <f t="shared" si="2"/>
        <v>2626.4</v>
      </c>
      <c r="V68" s="226">
        <f t="shared" si="3"/>
        <v>0</v>
      </c>
      <c r="W68" s="226">
        <f t="shared" si="4"/>
        <v>562.79999999999995</v>
      </c>
      <c r="X68" s="226">
        <f t="shared" si="5"/>
        <v>0</v>
      </c>
      <c r="Y68" s="226">
        <f t="shared" si="6"/>
        <v>2063.6000000000004</v>
      </c>
    </row>
    <row r="69" spans="1:25" ht="15" x14ac:dyDescent="0.25">
      <c r="A69" s="215">
        <v>2220020</v>
      </c>
      <c r="B69" s="283" t="s">
        <v>30</v>
      </c>
      <c r="C69" s="330">
        <v>75</v>
      </c>
      <c r="D69" s="330">
        <v>75</v>
      </c>
      <c r="E69" s="217" t="s">
        <v>137</v>
      </c>
      <c r="F69" s="218">
        <v>5.773159728050814E-15</v>
      </c>
      <c r="G69" s="219">
        <v>46.1</v>
      </c>
      <c r="H69" s="219">
        <v>0</v>
      </c>
      <c r="I69" s="333">
        <v>46.1</v>
      </c>
      <c r="J69" s="223">
        <v>0</v>
      </c>
      <c r="K69" s="237">
        <f t="shared" si="0"/>
        <v>7.1054273576010019E-15</v>
      </c>
      <c r="L69" s="336">
        <v>1.45</v>
      </c>
      <c r="M69" s="292"/>
      <c r="N69" s="237">
        <v>1.34</v>
      </c>
      <c r="O69" s="237"/>
      <c r="P69" s="225">
        <f t="shared" si="7"/>
        <v>1.339999999999993</v>
      </c>
      <c r="Q69" s="231"/>
      <c r="R69" s="231"/>
      <c r="S69" s="226">
        <f t="shared" si="11"/>
        <v>4.3298697960381105E-13</v>
      </c>
      <c r="T69" s="227">
        <v>0</v>
      </c>
      <c r="U69" s="226">
        <f t="shared" si="2"/>
        <v>3457.5</v>
      </c>
      <c r="V69" s="226">
        <f t="shared" si="3"/>
        <v>0</v>
      </c>
      <c r="W69" s="226">
        <f t="shared" si="4"/>
        <v>3457.5</v>
      </c>
      <c r="X69" s="226">
        <f t="shared" si="5"/>
        <v>0</v>
      </c>
      <c r="Y69" s="226">
        <f t="shared" si="6"/>
        <v>4.5474735088646412E-13</v>
      </c>
    </row>
    <row r="70" spans="1:25" ht="30" x14ac:dyDescent="0.25">
      <c r="A70" s="215">
        <v>2220055</v>
      </c>
      <c r="B70" s="283" t="s">
        <v>178</v>
      </c>
      <c r="C70" s="330">
        <v>1120</v>
      </c>
      <c r="D70" s="330">
        <v>1120</v>
      </c>
      <c r="E70" s="217" t="s">
        <v>135</v>
      </c>
      <c r="F70" s="218">
        <v>0</v>
      </c>
      <c r="G70" s="219">
        <f>10+3</f>
        <v>13</v>
      </c>
      <c r="H70" s="219">
        <v>0</v>
      </c>
      <c r="I70" s="305">
        <f>7+3</f>
        <v>10</v>
      </c>
      <c r="J70" s="223">
        <v>0</v>
      </c>
      <c r="K70" s="237">
        <f t="shared" si="0"/>
        <v>3</v>
      </c>
      <c r="L70" s="336"/>
      <c r="M70" s="292"/>
      <c r="N70" s="237">
        <v>3</v>
      </c>
      <c r="O70" s="237"/>
      <c r="P70" s="225">
        <f t="shared" si="7"/>
        <v>0</v>
      </c>
      <c r="Q70" s="231"/>
      <c r="R70" s="231"/>
      <c r="S70" s="226">
        <f t="shared" si="11"/>
        <v>0</v>
      </c>
      <c r="T70" s="227">
        <v>0</v>
      </c>
      <c r="U70" s="226">
        <f t="shared" si="2"/>
        <v>14560</v>
      </c>
      <c r="V70" s="226">
        <f t="shared" si="3"/>
        <v>0</v>
      </c>
      <c r="W70" s="226">
        <f t="shared" si="4"/>
        <v>11200</v>
      </c>
      <c r="X70" s="226">
        <f t="shared" si="5"/>
        <v>0</v>
      </c>
      <c r="Y70" s="226">
        <f t="shared" si="6"/>
        <v>3360</v>
      </c>
    </row>
    <row r="71" spans="1:25" ht="27.75" customHeight="1" x14ac:dyDescent="0.25">
      <c r="A71" s="215">
        <v>2220067</v>
      </c>
      <c r="B71" s="283" t="s">
        <v>179</v>
      </c>
      <c r="C71" s="330">
        <v>565.5</v>
      </c>
      <c r="D71" s="330">
        <v>565.5</v>
      </c>
      <c r="E71" s="217" t="s">
        <v>133</v>
      </c>
      <c r="F71" s="218">
        <v>5</v>
      </c>
      <c r="G71" s="219">
        <v>0</v>
      </c>
      <c r="H71" s="219">
        <v>0</v>
      </c>
      <c r="I71" s="305">
        <v>2</v>
      </c>
      <c r="J71" s="223">
        <v>0</v>
      </c>
      <c r="K71" s="237">
        <f t="shared" si="0"/>
        <v>3</v>
      </c>
      <c r="L71" s="336"/>
      <c r="M71" s="292"/>
      <c r="N71" s="237">
        <v>3</v>
      </c>
      <c r="O71" s="237"/>
      <c r="P71" s="225">
        <f t="shared" si="7"/>
        <v>0</v>
      </c>
      <c r="Q71" s="231"/>
      <c r="R71" s="231"/>
      <c r="S71" s="226">
        <f t="shared" si="11"/>
        <v>2827.5</v>
      </c>
      <c r="T71" s="227">
        <v>0</v>
      </c>
      <c r="U71" s="226">
        <f t="shared" si="2"/>
        <v>0</v>
      </c>
      <c r="V71" s="226">
        <f t="shared" si="3"/>
        <v>0</v>
      </c>
      <c r="W71" s="226">
        <f t="shared" si="4"/>
        <v>1131</v>
      </c>
      <c r="X71" s="226">
        <f t="shared" si="5"/>
        <v>0</v>
      </c>
      <c r="Y71" s="226">
        <f t="shared" si="6"/>
        <v>1696.5</v>
      </c>
    </row>
    <row r="72" spans="1:25" ht="15" x14ac:dyDescent="0.25">
      <c r="A72" s="234">
        <v>2220073</v>
      </c>
      <c r="B72" s="283" t="s">
        <v>180</v>
      </c>
      <c r="C72" s="330">
        <v>306.82</v>
      </c>
      <c r="D72" s="330">
        <v>306.82</v>
      </c>
      <c r="E72" s="217" t="s">
        <v>133</v>
      </c>
      <c r="F72" s="218">
        <v>5</v>
      </c>
      <c r="G72" s="219">
        <v>0</v>
      </c>
      <c r="H72" s="219">
        <v>0</v>
      </c>
      <c r="I72" s="305">
        <v>0</v>
      </c>
      <c r="J72" s="223">
        <v>0</v>
      </c>
      <c r="K72" s="237">
        <f t="shared" ref="K72:K115" si="12">F72+G72+H72-I72-J72</f>
        <v>5</v>
      </c>
      <c r="L72" s="336"/>
      <c r="M72" s="292"/>
      <c r="N72" s="237">
        <v>5</v>
      </c>
      <c r="O72" s="237"/>
      <c r="P72" s="225">
        <f t="shared" si="7"/>
        <v>0</v>
      </c>
      <c r="Q72" s="231"/>
      <c r="R72" s="231"/>
      <c r="S72" s="226">
        <f t="shared" si="11"/>
        <v>1534.1</v>
      </c>
      <c r="T72" s="227">
        <v>0</v>
      </c>
      <c r="U72" s="226">
        <f t="shared" ref="U72:U115" si="13">G72*D72</f>
        <v>0</v>
      </c>
      <c r="V72" s="226">
        <f t="shared" ref="V72:V111" si="14">H72*D72</f>
        <v>0</v>
      </c>
      <c r="W72" s="226">
        <f t="shared" ref="W72:W115" si="15">I72*D72</f>
        <v>0</v>
      </c>
      <c r="X72" s="226">
        <f t="shared" ref="X72:X111" si="16">J72*D72</f>
        <v>0</v>
      </c>
      <c r="Y72" s="226">
        <f t="shared" ref="Y72:Y111" si="17">S72+T72+U72+V72-W72-X72</f>
        <v>1534.1</v>
      </c>
    </row>
    <row r="73" spans="1:25" ht="82.8" x14ac:dyDescent="0.25">
      <c r="A73" s="215">
        <v>2220141</v>
      </c>
      <c r="B73" s="283" t="s">
        <v>181</v>
      </c>
      <c r="C73" s="330">
        <v>700</v>
      </c>
      <c r="D73" s="330">
        <v>700</v>
      </c>
      <c r="E73" s="217" t="s">
        <v>135</v>
      </c>
      <c r="F73" s="218">
        <v>0</v>
      </c>
      <c r="G73" s="219">
        <v>82</v>
      </c>
      <c r="H73" s="219">
        <v>0</v>
      </c>
      <c r="I73" s="305">
        <f>79-3</f>
        <v>76</v>
      </c>
      <c r="J73" s="223">
        <v>0</v>
      </c>
      <c r="K73" s="237">
        <f t="shared" si="12"/>
        <v>6</v>
      </c>
      <c r="L73" s="336"/>
      <c r="M73" s="292"/>
      <c r="N73" s="237">
        <v>6</v>
      </c>
      <c r="O73" s="237" t="s">
        <v>276</v>
      </c>
      <c r="P73" s="225">
        <f t="shared" ref="P73:P115" si="18">N73-K73</f>
        <v>0</v>
      </c>
      <c r="Q73" s="231"/>
      <c r="R73" s="231"/>
      <c r="S73" s="226">
        <f t="shared" si="11"/>
        <v>0</v>
      </c>
      <c r="T73" s="227">
        <v>0</v>
      </c>
      <c r="U73" s="226">
        <f t="shared" si="13"/>
        <v>57400</v>
      </c>
      <c r="V73" s="226">
        <f t="shared" si="14"/>
        <v>0</v>
      </c>
      <c r="W73" s="226">
        <f t="shared" si="15"/>
        <v>53200</v>
      </c>
      <c r="X73" s="226">
        <f t="shared" si="16"/>
        <v>0</v>
      </c>
      <c r="Y73" s="226">
        <f t="shared" si="17"/>
        <v>4200</v>
      </c>
    </row>
    <row r="74" spans="1:25" ht="15" x14ac:dyDescent="0.25">
      <c r="A74" s="234">
        <v>2220056</v>
      </c>
      <c r="B74" s="283" t="s">
        <v>182</v>
      </c>
      <c r="C74" s="330">
        <v>800</v>
      </c>
      <c r="D74" s="330">
        <v>800</v>
      </c>
      <c r="E74" s="217" t="s">
        <v>135</v>
      </c>
      <c r="F74" s="218">
        <v>0</v>
      </c>
      <c r="G74" s="219">
        <v>0</v>
      </c>
      <c r="H74" s="219">
        <v>0</v>
      </c>
      <c r="I74" s="305">
        <v>0</v>
      </c>
      <c r="J74" s="223">
        <v>0</v>
      </c>
      <c r="K74" s="237">
        <f t="shared" si="12"/>
        <v>0</v>
      </c>
      <c r="L74" s="336"/>
      <c r="M74" s="292"/>
      <c r="N74" s="237">
        <v>0</v>
      </c>
      <c r="O74" s="237"/>
      <c r="P74" s="225">
        <f t="shared" si="18"/>
        <v>0</v>
      </c>
      <c r="Q74" s="231"/>
      <c r="R74" s="231"/>
      <c r="S74" s="226">
        <f t="shared" si="11"/>
        <v>0</v>
      </c>
      <c r="T74" s="227">
        <v>0</v>
      </c>
      <c r="U74" s="226">
        <f t="shared" si="13"/>
        <v>0</v>
      </c>
      <c r="V74" s="226">
        <f t="shared" si="14"/>
        <v>0</v>
      </c>
      <c r="W74" s="226">
        <f t="shared" si="15"/>
        <v>0</v>
      </c>
      <c r="X74" s="226">
        <f t="shared" si="16"/>
        <v>0</v>
      </c>
      <c r="Y74" s="226">
        <f t="shared" si="17"/>
        <v>0</v>
      </c>
    </row>
    <row r="75" spans="1:25" ht="31.5" customHeight="1" x14ac:dyDescent="0.25">
      <c r="A75" s="215">
        <v>2220142</v>
      </c>
      <c r="B75" s="283" t="s">
        <v>183</v>
      </c>
      <c r="C75" s="330">
        <v>650</v>
      </c>
      <c r="D75" s="330">
        <v>650</v>
      </c>
      <c r="E75" s="217" t="s">
        <v>135</v>
      </c>
      <c r="F75" s="218">
        <v>0</v>
      </c>
      <c r="G75" s="219">
        <v>6</v>
      </c>
      <c r="H75" s="219">
        <v>0</v>
      </c>
      <c r="I75" s="305">
        <v>6</v>
      </c>
      <c r="J75" s="223">
        <v>0</v>
      </c>
      <c r="K75" s="237">
        <f t="shared" si="12"/>
        <v>0</v>
      </c>
      <c r="L75" s="336"/>
      <c r="M75" s="292"/>
      <c r="N75" s="237">
        <v>0</v>
      </c>
      <c r="O75" s="237"/>
      <c r="P75" s="225">
        <f t="shared" si="18"/>
        <v>0</v>
      </c>
      <c r="Q75" s="231"/>
      <c r="R75" s="231"/>
      <c r="S75" s="226">
        <f t="shared" si="11"/>
        <v>0</v>
      </c>
      <c r="T75" s="227">
        <v>0</v>
      </c>
      <c r="U75" s="226">
        <f t="shared" si="13"/>
        <v>3900</v>
      </c>
      <c r="V75" s="226">
        <f t="shared" si="14"/>
        <v>0</v>
      </c>
      <c r="W75" s="226">
        <f t="shared" si="15"/>
        <v>3900</v>
      </c>
      <c r="X75" s="226">
        <f t="shared" si="16"/>
        <v>0</v>
      </c>
      <c r="Y75" s="226">
        <f t="shared" si="17"/>
        <v>0</v>
      </c>
    </row>
    <row r="76" spans="1:25" ht="15" x14ac:dyDescent="0.25">
      <c r="A76" s="215">
        <v>2220075</v>
      </c>
      <c r="B76" s="283" t="s">
        <v>184</v>
      </c>
      <c r="C76" s="330">
        <v>698.4</v>
      </c>
      <c r="D76" s="330">
        <v>698.4</v>
      </c>
      <c r="E76" s="217" t="s">
        <v>135</v>
      </c>
      <c r="F76" s="218">
        <v>0</v>
      </c>
      <c r="G76" s="219">
        <v>0</v>
      </c>
      <c r="H76" s="219">
        <v>0</v>
      </c>
      <c r="I76" s="305">
        <v>0</v>
      </c>
      <c r="J76" s="223">
        <v>0</v>
      </c>
      <c r="K76" s="237">
        <f t="shared" si="12"/>
        <v>0</v>
      </c>
      <c r="L76" s="336"/>
      <c r="M76" s="292"/>
      <c r="N76" s="237">
        <v>0</v>
      </c>
      <c r="O76" s="237"/>
      <c r="P76" s="225">
        <f t="shared" si="18"/>
        <v>0</v>
      </c>
      <c r="Q76" s="231"/>
      <c r="R76" s="231"/>
      <c r="S76" s="226">
        <f t="shared" si="11"/>
        <v>0</v>
      </c>
      <c r="T76" s="227">
        <v>0</v>
      </c>
      <c r="U76" s="226">
        <f t="shared" si="13"/>
        <v>0</v>
      </c>
      <c r="V76" s="226">
        <f t="shared" si="14"/>
        <v>0</v>
      </c>
      <c r="W76" s="226">
        <f t="shared" si="15"/>
        <v>0</v>
      </c>
      <c r="X76" s="226">
        <f t="shared" si="16"/>
        <v>0</v>
      </c>
      <c r="Y76" s="226">
        <f t="shared" si="17"/>
        <v>0</v>
      </c>
    </row>
    <row r="77" spans="1:25" ht="15" x14ac:dyDescent="0.25">
      <c r="A77" s="215">
        <v>2220034</v>
      </c>
      <c r="B77" s="283" t="s">
        <v>185</v>
      </c>
      <c r="C77" s="330">
        <v>62.5</v>
      </c>
      <c r="D77" s="330">
        <v>62.5</v>
      </c>
      <c r="E77" s="217" t="s">
        <v>133</v>
      </c>
      <c r="F77" s="218">
        <v>0</v>
      </c>
      <c r="G77" s="219">
        <v>86</v>
      </c>
      <c r="H77" s="219">
        <v>0</v>
      </c>
      <c r="I77" s="305">
        <v>79</v>
      </c>
      <c r="J77" s="223">
        <v>0</v>
      </c>
      <c r="K77" s="237">
        <f t="shared" si="12"/>
        <v>7</v>
      </c>
      <c r="L77" s="336"/>
      <c r="M77" s="292"/>
      <c r="N77" s="237">
        <v>7</v>
      </c>
      <c r="O77" s="237"/>
      <c r="P77" s="225">
        <f t="shared" si="18"/>
        <v>0</v>
      </c>
      <c r="Q77" s="231"/>
      <c r="R77" s="231"/>
      <c r="S77" s="226">
        <f t="shared" si="11"/>
        <v>0</v>
      </c>
      <c r="T77" s="227">
        <v>0</v>
      </c>
      <c r="U77" s="226">
        <f t="shared" si="13"/>
        <v>5375</v>
      </c>
      <c r="V77" s="226">
        <f t="shared" si="14"/>
        <v>0</v>
      </c>
      <c r="W77" s="226">
        <f t="shared" si="15"/>
        <v>4937.5</v>
      </c>
      <c r="X77" s="226">
        <f t="shared" si="16"/>
        <v>0</v>
      </c>
      <c r="Y77" s="226">
        <f t="shared" si="17"/>
        <v>437.5</v>
      </c>
    </row>
    <row r="78" spans="1:25" ht="15" x14ac:dyDescent="0.25">
      <c r="A78" s="215">
        <v>2220033</v>
      </c>
      <c r="B78" s="283" t="s">
        <v>186</v>
      </c>
      <c r="C78" s="330">
        <v>72.400000000000006</v>
      </c>
      <c r="D78" s="330">
        <v>72.400000000000006</v>
      </c>
      <c r="E78" s="217" t="s">
        <v>133</v>
      </c>
      <c r="F78" s="218">
        <v>0</v>
      </c>
      <c r="G78" s="219">
        <v>86</v>
      </c>
      <c r="H78" s="219">
        <v>0</v>
      </c>
      <c r="I78" s="305">
        <v>84</v>
      </c>
      <c r="J78" s="223">
        <v>0</v>
      </c>
      <c r="K78" s="237">
        <f t="shared" si="12"/>
        <v>2</v>
      </c>
      <c r="L78" s="336"/>
      <c r="M78" s="292"/>
      <c r="N78" s="237">
        <v>4</v>
      </c>
      <c r="O78" s="237"/>
      <c r="P78" s="225">
        <f t="shared" si="18"/>
        <v>2</v>
      </c>
      <c r="Q78" s="231"/>
      <c r="R78" s="231"/>
      <c r="S78" s="226">
        <f t="shared" si="11"/>
        <v>0</v>
      </c>
      <c r="T78" s="227">
        <v>0</v>
      </c>
      <c r="U78" s="226">
        <f t="shared" si="13"/>
        <v>6226.4000000000005</v>
      </c>
      <c r="V78" s="226">
        <f t="shared" si="14"/>
        <v>0</v>
      </c>
      <c r="W78" s="226">
        <f t="shared" si="15"/>
        <v>6081.6</v>
      </c>
      <c r="X78" s="226">
        <f t="shared" si="16"/>
        <v>0</v>
      </c>
      <c r="Y78" s="226">
        <f t="shared" si="17"/>
        <v>144.80000000000018</v>
      </c>
    </row>
    <row r="79" spans="1:25" ht="15" x14ac:dyDescent="0.25">
      <c r="A79" s="215">
        <v>2220021</v>
      </c>
      <c r="B79" s="283" t="s">
        <v>31</v>
      </c>
      <c r="C79" s="330">
        <v>41.2</v>
      </c>
      <c r="D79" s="330">
        <v>41.2</v>
      </c>
      <c r="E79" s="217" t="s">
        <v>137</v>
      </c>
      <c r="F79" s="218">
        <v>-2.8421709430404007E-14</v>
      </c>
      <c r="G79" s="219">
        <f>345.5+156</f>
        <v>501.5</v>
      </c>
      <c r="H79" s="219">
        <v>0</v>
      </c>
      <c r="I79" s="333">
        <f>346.2-0.7+156</f>
        <v>501.5</v>
      </c>
      <c r="J79" s="223">
        <v>0</v>
      </c>
      <c r="K79" s="237">
        <f t="shared" si="12"/>
        <v>0</v>
      </c>
      <c r="L79" s="336">
        <v>-10.7</v>
      </c>
      <c r="M79" s="292">
        <v>15.4</v>
      </c>
      <c r="N79" s="237">
        <v>4</v>
      </c>
      <c r="O79" s="237"/>
      <c r="P79" s="225">
        <f t="shared" si="18"/>
        <v>4</v>
      </c>
      <c r="Q79" s="231"/>
      <c r="R79" s="231"/>
      <c r="S79" s="226">
        <v>0</v>
      </c>
      <c r="T79" s="227">
        <v>0</v>
      </c>
      <c r="U79" s="226">
        <f t="shared" si="13"/>
        <v>20661.800000000003</v>
      </c>
      <c r="V79" s="226">
        <f t="shared" si="14"/>
        <v>0</v>
      </c>
      <c r="W79" s="226">
        <f t="shared" si="15"/>
        <v>20661.800000000003</v>
      </c>
      <c r="X79" s="226">
        <f t="shared" si="16"/>
        <v>0</v>
      </c>
      <c r="Y79" s="226">
        <f t="shared" si="17"/>
        <v>0</v>
      </c>
    </row>
    <row r="80" spans="1:25" ht="15" x14ac:dyDescent="0.25">
      <c r="A80" s="238">
        <v>2220147</v>
      </c>
      <c r="B80" s="339" t="s">
        <v>187</v>
      </c>
      <c r="C80" s="332">
        <v>12</v>
      </c>
      <c r="D80" s="332">
        <v>12</v>
      </c>
      <c r="E80" s="240" t="s">
        <v>133</v>
      </c>
      <c r="F80" s="241">
        <v>0</v>
      </c>
      <c r="G80" s="219">
        <v>0</v>
      </c>
      <c r="H80" s="219">
        <v>0</v>
      </c>
      <c r="I80" s="305">
        <v>0</v>
      </c>
      <c r="J80" s="223">
        <v>0</v>
      </c>
      <c r="K80" s="237">
        <f t="shared" si="12"/>
        <v>0</v>
      </c>
      <c r="L80" s="336"/>
      <c r="M80" s="292"/>
      <c r="N80" s="237">
        <v>0</v>
      </c>
      <c r="O80" s="237"/>
      <c r="P80" s="225">
        <f t="shared" si="18"/>
        <v>0</v>
      </c>
      <c r="Q80" s="231"/>
      <c r="R80" s="231"/>
      <c r="S80" s="226">
        <f>C80*F80</f>
        <v>0</v>
      </c>
      <c r="T80" s="227">
        <v>0</v>
      </c>
      <c r="U80" s="226">
        <f t="shared" si="13"/>
        <v>0</v>
      </c>
      <c r="V80" s="226">
        <f t="shared" si="14"/>
        <v>0</v>
      </c>
      <c r="W80" s="226">
        <f t="shared" si="15"/>
        <v>0</v>
      </c>
      <c r="X80" s="226">
        <f t="shared" si="16"/>
        <v>0</v>
      </c>
      <c r="Y80" s="226">
        <f t="shared" si="17"/>
        <v>0</v>
      </c>
    </row>
    <row r="81" spans="1:25" ht="15" x14ac:dyDescent="0.25">
      <c r="A81" s="215">
        <v>2220022</v>
      </c>
      <c r="B81" s="283" t="s">
        <v>78</v>
      </c>
      <c r="C81" s="330">
        <v>140.69999999999999</v>
      </c>
      <c r="D81" s="330">
        <v>140.69999999999999</v>
      </c>
      <c r="E81" s="217" t="s">
        <v>137</v>
      </c>
      <c r="F81" s="218">
        <v>0</v>
      </c>
      <c r="G81" s="219">
        <v>52</v>
      </c>
      <c r="H81" s="219">
        <v>0</v>
      </c>
      <c r="I81" s="333">
        <f>53.41-1.41</f>
        <v>52</v>
      </c>
      <c r="J81" s="223">
        <v>0</v>
      </c>
      <c r="K81" s="237">
        <f t="shared" si="12"/>
        <v>0</v>
      </c>
      <c r="L81" s="336">
        <v>0.25</v>
      </c>
      <c r="M81" s="292">
        <v>0.31</v>
      </c>
      <c r="N81" s="237">
        <v>2</v>
      </c>
      <c r="O81" s="237"/>
      <c r="P81" s="225">
        <f t="shared" si="18"/>
        <v>2</v>
      </c>
      <c r="Q81" s="231"/>
      <c r="R81" s="231"/>
      <c r="S81" s="226">
        <f>C81*F81</f>
        <v>0</v>
      </c>
      <c r="T81" s="227">
        <v>0</v>
      </c>
      <c r="U81" s="226">
        <f t="shared" si="13"/>
        <v>7316.4</v>
      </c>
      <c r="V81" s="226">
        <f t="shared" si="14"/>
        <v>0</v>
      </c>
      <c r="W81" s="226">
        <f t="shared" si="15"/>
        <v>7316.4</v>
      </c>
      <c r="X81" s="226">
        <f t="shared" si="16"/>
        <v>0</v>
      </c>
      <c r="Y81" s="226">
        <f t="shared" si="17"/>
        <v>0</v>
      </c>
    </row>
    <row r="82" spans="1:25" ht="15" x14ac:dyDescent="0.25">
      <c r="A82" s="215">
        <v>2220023</v>
      </c>
      <c r="B82" s="283" t="s">
        <v>32</v>
      </c>
      <c r="C82" s="330">
        <v>18.2</v>
      </c>
      <c r="D82" s="330">
        <v>18.2</v>
      </c>
      <c r="E82" s="217" t="s">
        <v>131</v>
      </c>
      <c r="F82" s="218">
        <v>0</v>
      </c>
      <c r="G82" s="219">
        <v>87</v>
      </c>
      <c r="H82" s="219">
        <v>0</v>
      </c>
      <c r="I82" s="333">
        <f>89-2</f>
        <v>87</v>
      </c>
      <c r="J82" s="223">
        <v>0</v>
      </c>
      <c r="K82" s="237">
        <f t="shared" si="12"/>
        <v>0</v>
      </c>
      <c r="L82" s="336">
        <v>1</v>
      </c>
      <c r="M82" s="292">
        <v>2</v>
      </c>
      <c r="N82" s="237">
        <v>1</v>
      </c>
      <c r="O82" s="237"/>
      <c r="P82" s="225">
        <f t="shared" si="18"/>
        <v>1</v>
      </c>
      <c r="Q82" s="231"/>
      <c r="R82" s="231"/>
      <c r="S82" s="226">
        <f>C82*F82</f>
        <v>0</v>
      </c>
      <c r="T82" s="227">
        <v>0</v>
      </c>
      <c r="U82" s="226">
        <f t="shared" si="13"/>
        <v>1583.3999999999999</v>
      </c>
      <c r="V82" s="226">
        <f t="shared" si="14"/>
        <v>0</v>
      </c>
      <c r="W82" s="226">
        <f t="shared" si="15"/>
        <v>1583.3999999999999</v>
      </c>
      <c r="X82" s="226">
        <f t="shared" si="16"/>
        <v>0</v>
      </c>
      <c r="Y82" s="226">
        <f t="shared" si="17"/>
        <v>0</v>
      </c>
    </row>
    <row r="83" spans="1:25" ht="15" x14ac:dyDescent="0.25">
      <c r="A83" s="215">
        <v>2220024</v>
      </c>
      <c r="B83" s="283" t="s">
        <v>33</v>
      </c>
      <c r="C83" s="330">
        <v>31.3</v>
      </c>
      <c r="D83" s="330">
        <v>31.3</v>
      </c>
      <c r="E83" s="217" t="s">
        <v>137</v>
      </c>
      <c r="F83" s="218">
        <v>-1.0658141036401503E-14</v>
      </c>
      <c r="G83" s="219">
        <f>679+195</f>
        <v>874</v>
      </c>
      <c r="H83" s="219">
        <v>0</v>
      </c>
      <c r="I83" s="333">
        <f>652.79+195</f>
        <v>847.79</v>
      </c>
      <c r="J83" s="223">
        <v>0</v>
      </c>
      <c r="K83" s="237">
        <f t="shared" si="12"/>
        <v>26.210000000000036</v>
      </c>
      <c r="L83" s="336">
        <v>-19.649999999999999</v>
      </c>
      <c r="M83" s="292">
        <v>0.49</v>
      </c>
      <c r="N83" s="237">
        <v>7</v>
      </c>
      <c r="O83" s="237"/>
      <c r="P83" s="225">
        <f t="shared" si="18"/>
        <v>-19.210000000000036</v>
      </c>
      <c r="Q83" s="231"/>
      <c r="R83" s="231"/>
      <c r="S83" s="226">
        <v>0</v>
      </c>
      <c r="T83" s="227">
        <v>0</v>
      </c>
      <c r="U83" s="226">
        <f t="shared" si="13"/>
        <v>27356.2</v>
      </c>
      <c r="V83" s="226">
        <f t="shared" si="14"/>
        <v>0</v>
      </c>
      <c r="W83" s="226">
        <f t="shared" si="15"/>
        <v>26535.827000000001</v>
      </c>
      <c r="X83" s="226">
        <f t="shared" si="16"/>
        <v>0</v>
      </c>
      <c r="Y83" s="226">
        <f t="shared" si="17"/>
        <v>820.37299999999959</v>
      </c>
    </row>
    <row r="84" spans="1:25" ht="30" x14ac:dyDescent="0.25">
      <c r="A84" s="215">
        <v>2220074</v>
      </c>
      <c r="B84" s="283" t="s">
        <v>188</v>
      </c>
      <c r="C84" s="330">
        <v>312.25</v>
      </c>
      <c r="D84" s="330">
        <v>312.25</v>
      </c>
      <c r="E84" s="217" t="s">
        <v>133</v>
      </c>
      <c r="F84" s="218">
        <v>0</v>
      </c>
      <c r="G84" s="219">
        <v>0</v>
      </c>
      <c r="H84" s="219">
        <v>0</v>
      </c>
      <c r="I84" s="305">
        <v>0</v>
      </c>
      <c r="J84" s="223">
        <v>0</v>
      </c>
      <c r="K84" s="237">
        <f t="shared" si="12"/>
        <v>0</v>
      </c>
      <c r="L84" s="336"/>
      <c r="M84" s="292"/>
      <c r="N84" s="237">
        <v>0</v>
      </c>
      <c r="O84" s="237"/>
      <c r="P84" s="225">
        <f t="shared" si="18"/>
        <v>0</v>
      </c>
      <c r="Q84" s="231"/>
      <c r="R84" s="231"/>
      <c r="S84" s="226">
        <f>C84*F84</f>
        <v>0</v>
      </c>
      <c r="T84" s="227">
        <v>0</v>
      </c>
      <c r="U84" s="226">
        <f t="shared" si="13"/>
        <v>0</v>
      </c>
      <c r="V84" s="226">
        <f t="shared" si="14"/>
        <v>0</v>
      </c>
      <c r="W84" s="226">
        <f t="shared" si="15"/>
        <v>0</v>
      </c>
      <c r="X84" s="226">
        <f t="shared" si="16"/>
        <v>0</v>
      </c>
      <c r="Y84" s="226">
        <f t="shared" si="17"/>
        <v>0</v>
      </c>
    </row>
    <row r="85" spans="1:25" ht="15" customHeight="1" x14ac:dyDescent="0.25">
      <c r="A85" s="215">
        <v>2220043</v>
      </c>
      <c r="B85" s="283" t="s">
        <v>189</v>
      </c>
      <c r="C85" s="330">
        <v>125</v>
      </c>
      <c r="D85" s="330">
        <v>125</v>
      </c>
      <c r="E85" s="217" t="s">
        <v>137</v>
      </c>
      <c r="F85" s="218">
        <v>-2.2737367544323206E-13</v>
      </c>
      <c r="G85" s="219">
        <f>4660+290.5</f>
        <v>4950.5</v>
      </c>
      <c r="H85" s="219">
        <v>0</v>
      </c>
      <c r="I85" s="333">
        <f>4557.41+290.5</f>
        <v>4847.91</v>
      </c>
      <c r="J85" s="223">
        <v>0</v>
      </c>
      <c r="K85" s="237">
        <f t="shared" si="12"/>
        <v>102.59000000000015</v>
      </c>
      <c r="L85" s="336">
        <v>8.65</v>
      </c>
      <c r="M85" s="292">
        <v>0</v>
      </c>
      <c r="N85" s="237">
        <v>111.12</v>
      </c>
      <c r="O85" s="237"/>
      <c r="P85" s="225">
        <f t="shared" si="18"/>
        <v>8.529999999999859</v>
      </c>
      <c r="Q85" s="231"/>
      <c r="R85" s="231"/>
      <c r="S85" s="226">
        <v>0</v>
      </c>
      <c r="T85" s="227">
        <v>0</v>
      </c>
      <c r="U85" s="226">
        <f t="shared" si="13"/>
        <v>618812.5</v>
      </c>
      <c r="V85" s="226">
        <f t="shared" si="14"/>
        <v>0</v>
      </c>
      <c r="W85" s="226">
        <f t="shared" si="15"/>
        <v>605988.75</v>
      </c>
      <c r="X85" s="226">
        <f t="shared" si="16"/>
        <v>0</v>
      </c>
      <c r="Y85" s="226">
        <f t="shared" si="17"/>
        <v>12823.75</v>
      </c>
    </row>
    <row r="86" spans="1:25" ht="15" x14ac:dyDescent="0.25">
      <c r="A86" s="234">
        <v>2220083</v>
      </c>
      <c r="B86" s="283" t="s">
        <v>190</v>
      </c>
      <c r="C86" s="330">
        <v>55</v>
      </c>
      <c r="D86" s="330">
        <v>55</v>
      </c>
      <c r="E86" s="217" t="s">
        <v>137</v>
      </c>
      <c r="F86" s="218">
        <v>0</v>
      </c>
      <c r="G86" s="219">
        <v>0</v>
      </c>
      <c r="H86" s="219">
        <v>0</v>
      </c>
      <c r="I86" s="305">
        <v>0</v>
      </c>
      <c r="J86" s="223">
        <v>0</v>
      </c>
      <c r="K86" s="237">
        <f t="shared" si="12"/>
        <v>0</v>
      </c>
      <c r="L86" s="336"/>
      <c r="M86" s="292"/>
      <c r="N86" s="237">
        <v>0</v>
      </c>
      <c r="O86" s="237"/>
      <c r="P86" s="225">
        <f t="shared" si="18"/>
        <v>0</v>
      </c>
      <c r="Q86" s="231"/>
      <c r="R86" s="231"/>
      <c r="S86" s="226">
        <f t="shared" ref="S86:S109" si="19">C86*F86</f>
        <v>0</v>
      </c>
      <c r="T86" s="227">
        <v>0</v>
      </c>
      <c r="U86" s="226">
        <f t="shared" si="13"/>
        <v>0</v>
      </c>
      <c r="V86" s="226">
        <f t="shared" si="14"/>
        <v>0</v>
      </c>
      <c r="W86" s="226">
        <f t="shared" si="15"/>
        <v>0</v>
      </c>
      <c r="X86" s="226">
        <f t="shared" si="16"/>
        <v>0</v>
      </c>
      <c r="Y86" s="226">
        <f t="shared" si="17"/>
        <v>0</v>
      </c>
    </row>
    <row r="87" spans="1:25" ht="15" x14ac:dyDescent="0.25">
      <c r="A87" s="215">
        <v>2220143</v>
      </c>
      <c r="B87" s="283" t="s">
        <v>191</v>
      </c>
      <c r="C87" s="330">
        <v>590</v>
      </c>
      <c r="D87" s="330">
        <v>590</v>
      </c>
      <c r="E87" s="217" t="s">
        <v>135</v>
      </c>
      <c r="F87" s="218">
        <v>0</v>
      </c>
      <c r="G87" s="219">
        <v>147</v>
      </c>
      <c r="H87" s="219">
        <v>0</v>
      </c>
      <c r="I87" s="305">
        <v>126</v>
      </c>
      <c r="J87" s="223">
        <v>0</v>
      </c>
      <c r="K87" s="237">
        <f t="shared" si="12"/>
        <v>21</v>
      </c>
      <c r="L87" s="336"/>
      <c r="M87" s="292"/>
      <c r="N87" s="237">
        <v>21</v>
      </c>
      <c r="O87" s="237"/>
      <c r="P87" s="225">
        <f t="shared" si="18"/>
        <v>0</v>
      </c>
      <c r="Q87" s="231"/>
      <c r="R87" s="231"/>
      <c r="S87" s="226">
        <f t="shared" si="19"/>
        <v>0</v>
      </c>
      <c r="T87" s="227">
        <v>0</v>
      </c>
      <c r="U87" s="226">
        <f t="shared" si="13"/>
        <v>86730</v>
      </c>
      <c r="V87" s="226">
        <f t="shared" si="14"/>
        <v>0</v>
      </c>
      <c r="W87" s="226">
        <f t="shared" si="15"/>
        <v>74340</v>
      </c>
      <c r="X87" s="226">
        <f t="shared" si="16"/>
        <v>0</v>
      </c>
      <c r="Y87" s="226">
        <f t="shared" si="17"/>
        <v>12390</v>
      </c>
    </row>
    <row r="88" spans="1:25" ht="15" x14ac:dyDescent="0.25">
      <c r="A88" s="215">
        <v>2220057</v>
      </c>
      <c r="B88" s="283" t="s">
        <v>192</v>
      </c>
      <c r="C88" s="330">
        <v>650</v>
      </c>
      <c r="D88" s="330">
        <v>650</v>
      </c>
      <c r="E88" s="217" t="s">
        <v>135</v>
      </c>
      <c r="F88" s="218">
        <v>0</v>
      </c>
      <c r="G88" s="219">
        <v>0</v>
      </c>
      <c r="H88" s="219">
        <v>0</v>
      </c>
      <c r="I88" s="305">
        <v>0</v>
      </c>
      <c r="J88" s="223">
        <v>0</v>
      </c>
      <c r="K88" s="237">
        <f t="shared" si="12"/>
        <v>0</v>
      </c>
      <c r="L88" s="336"/>
      <c r="M88" s="292"/>
      <c r="N88" s="237">
        <v>0</v>
      </c>
      <c r="O88" s="237"/>
      <c r="P88" s="225">
        <f t="shared" si="18"/>
        <v>0</v>
      </c>
      <c r="Q88" s="231"/>
      <c r="R88" s="231"/>
      <c r="S88" s="226">
        <f t="shared" si="19"/>
        <v>0</v>
      </c>
      <c r="T88" s="227">
        <v>0</v>
      </c>
      <c r="U88" s="226">
        <f t="shared" si="13"/>
        <v>0</v>
      </c>
      <c r="V88" s="226">
        <f t="shared" si="14"/>
        <v>0</v>
      </c>
      <c r="W88" s="226">
        <f t="shared" si="15"/>
        <v>0</v>
      </c>
      <c r="X88" s="226">
        <f t="shared" si="16"/>
        <v>0</v>
      </c>
      <c r="Y88" s="226">
        <f t="shared" si="17"/>
        <v>0</v>
      </c>
    </row>
    <row r="89" spans="1:25" ht="15" x14ac:dyDescent="0.25">
      <c r="A89" s="215">
        <v>2220077</v>
      </c>
      <c r="B89" s="283" t="s">
        <v>193</v>
      </c>
      <c r="C89" s="330">
        <v>156.80000000000001</v>
      </c>
      <c r="D89" s="330">
        <v>156.80000000000001</v>
      </c>
      <c r="E89" s="217" t="s">
        <v>133</v>
      </c>
      <c r="F89" s="218">
        <v>1</v>
      </c>
      <c r="G89" s="219">
        <v>0</v>
      </c>
      <c r="H89" s="219">
        <v>0</v>
      </c>
      <c r="I89" s="305">
        <v>0</v>
      </c>
      <c r="J89" s="223">
        <v>0</v>
      </c>
      <c r="K89" s="237">
        <f t="shared" si="12"/>
        <v>1</v>
      </c>
      <c r="L89" s="336"/>
      <c r="M89" s="292"/>
      <c r="N89" s="237">
        <v>1</v>
      </c>
      <c r="O89" s="237"/>
      <c r="P89" s="225">
        <f t="shared" si="18"/>
        <v>0</v>
      </c>
      <c r="Q89" s="231"/>
      <c r="R89" s="231"/>
      <c r="S89" s="226">
        <f t="shared" si="19"/>
        <v>156.80000000000001</v>
      </c>
      <c r="T89" s="227">
        <v>0</v>
      </c>
      <c r="U89" s="226">
        <f t="shared" si="13"/>
        <v>0</v>
      </c>
      <c r="V89" s="226">
        <f t="shared" si="14"/>
        <v>0</v>
      </c>
      <c r="W89" s="226">
        <f t="shared" si="15"/>
        <v>0</v>
      </c>
      <c r="X89" s="226">
        <f t="shared" si="16"/>
        <v>0</v>
      </c>
      <c r="Y89" s="226">
        <f t="shared" si="17"/>
        <v>156.80000000000001</v>
      </c>
    </row>
    <row r="90" spans="1:25" ht="15" x14ac:dyDescent="0.25">
      <c r="A90" s="215">
        <v>2220058</v>
      </c>
      <c r="B90" s="283" t="s">
        <v>194</v>
      </c>
      <c r="C90" s="330">
        <v>730</v>
      </c>
      <c r="D90" s="330">
        <v>730</v>
      </c>
      <c r="E90" s="217" t="s">
        <v>135</v>
      </c>
      <c r="F90" s="218">
        <v>0</v>
      </c>
      <c r="G90" s="219">
        <f>13+3</f>
        <v>16</v>
      </c>
      <c r="H90" s="219">
        <v>0</v>
      </c>
      <c r="I90" s="305">
        <f>11+3</f>
        <v>14</v>
      </c>
      <c r="J90" s="223">
        <v>0</v>
      </c>
      <c r="K90" s="237">
        <f t="shared" si="12"/>
        <v>2</v>
      </c>
      <c r="L90" s="336"/>
      <c r="M90" s="292"/>
      <c r="N90" s="237">
        <v>2</v>
      </c>
      <c r="O90" s="237"/>
      <c r="P90" s="225">
        <f t="shared" si="18"/>
        <v>0</v>
      </c>
      <c r="Q90" s="231"/>
      <c r="R90" s="231"/>
      <c r="S90" s="226">
        <f t="shared" si="19"/>
        <v>0</v>
      </c>
      <c r="T90" s="227">
        <v>0</v>
      </c>
      <c r="U90" s="226">
        <f t="shared" si="13"/>
        <v>11680</v>
      </c>
      <c r="V90" s="226">
        <f t="shared" si="14"/>
        <v>0</v>
      </c>
      <c r="W90" s="226">
        <f t="shared" si="15"/>
        <v>10220</v>
      </c>
      <c r="X90" s="226">
        <f t="shared" si="16"/>
        <v>0</v>
      </c>
      <c r="Y90" s="226">
        <f t="shared" si="17"/>
        <v>1460</v>
      </c>
    </row>
    <row r="91" spans="1:25" ht="15" x14ac:dyDescent="0.25">
      <c r="A91" s="215">
        <v>2220133</v>
      </c>
      <c r="B91" s="283" t="s">
        <v>195</v>
      </c>
      <c r="C91" s="330">
        <v>215.18</v>
      </c>
      <c r="D91" s="330">
        <v>215.18</v>
      </c>
      <c r="E91" s="217" t="s">
        <v>133</v>
      </c>
      <c r="F91" s="218">
        <v>0</v>
      </c>
      <c r="G91" s="219">
        <v>0</v>
      </c>
      <c r="H91" s="219">
        <v>0</v>
      </c>
      <c r="I91" s="305">
        <v>0</v>
      </c>
      <c r="J91" s="223">
        <v>0</v>
      </c>
      <c r="K91" s="237">
        <f t="shared" si="12"/>
        <v>0</v>
      </c>
      <c r="L91" s="336"/>
      <c r="M91" s="292"/>
      <c r="N91" s="237">
        <v>0</v>
      </c>
      <c r="O91" s="237"/>
      <c r="P91" s="225">
        <f t="shared" si="18"/>
        <v>0</v>
      </c>
      <c r="Q91" s="231"/>
      <c r="R91" s="231"/>
      <c r="S91" s="226">
        <f t="shared" si="19"/>
        <v>0</v>
      </c>
      <c r="T91" s="227">
        <v>0</v>
      </c>
      <c r="U91" s="226">
        <f t="shared" si="13"/>
        <v>0</v>
      </c>
      <c r="V91" s="226">
        <f t="shared" si="14"/>
        <v>0</v>
      </c>
      <c r="W91" s="226">
        <f t="shared" si="15"/>
        <v>0</v>
      </c>
      <c r="X91" s="226">
        <f t="shared" si="16"/>
        <v>0</v>
      </c>
      <c r="Y91" s="226">
        <f t="shared" si="17"/>
        <v>0</v>
      </c>
    </row>
    <row r="92" spans="1:25" ht="15" x14ac:dyDescent="0.25">
      <c r="A92" s="215">
        <v>2220088</v>
      </c>
      <c r="B92" s="283" t="s">
        <v>196</v>
      </c>
      <c r="C92" s="330">
        <v>160</v>
      </c>
      <c r="D92" s="330">
        <v>160</v>
      </c>
      <c r="E92" s="217" t="s">
        <v>137</v>
      </c>
      <c r="F92" s="218">
        <v>0</v>
      </c>
      <c r="G92" s="219">
        <v>0</v>
      </c>
      <c r="H92" s="219">
        <v>0</v>
      </c>
      <c r="I92" s="305">
        <v>0</v>
      </c>
      <c r="J92" s="223">
        <v>0</v>
      </c>
      <c r="K92" s="237">
        <f t="shared" si="12"/>
        <v>0</v>
      </c>
      <c r="L92" s="336"/>
      <c r="M92" s="292"/>
      <c r="N92" s="237">
        <v>0</v>
      </c>
      <c r="O92" s="237"/>
      <c r="P92" s="225">
        <f t="shared" si="18"/>
        <v>0</v>
      </c>
      <c r="Q92" s="231"/>
      <c r="R92" s="231"/>
      <c r="S92" s="226">
        <f t="shared" si="19"/>
        <v>0</v>
      </c>
      <c r="T92" s="227">
        <v>0</v>
      </c>
      <c r="U92" s="226">
        <f t="shared" si="13"/>
        <v>0</v>
      </c>
      <c r="V92" s="226">
        <f t="shared" si="14"/>
        <v>0</v>
      </c>
      <c r="W92" s="226">
        <f t="shared" si="15"/>
        <v>0</v>
      </c>
      <c r="X92" s="226">
        <f t="shared" si="16"/>
        <v>0</v>
      </c>
      <c r="Y92" s="226">
        <f t="shared" si="17"/>
        <v>0</v>
      </c>
    </row>
    <row r="93" spans="1:25" ht="15" x14ac:dyDescent="0.25">
      <c r="A93" s="215">
        <v>2220087</v>
      </c>
      <c r="B93" s="283" t="s">
        <v>197</v>
      </c>
      <c r="C93" s="330">
        <v>830</v>
      </c>
      <c r="D93" s="330">
        <v>830</v>
      </c>
      <c r="E93" s="217" t="s">
        <v>133</v>
      </c>
      <c r="F93" s="218">
        <v>0</v>
      </c>
      <c r="G93" s="219">
        <v>0</v>
      </c>
      <c r="H93" s="219">
        <v>0</v>
      </c>
      <c r="I93" s="305">
        <v>0</v>
      </c>
      <c r="J93" s="223">
        <v>0</v>
      </c>
      <c r="K93" s="237">
        <f t="shared" si="12"/>
        <v>0</v>
      </c>
      <c r="L93" s="336"/>
      <c r="M93" s="292"/>
      <c r="N93" s="237">
        <v>0</v>
      </c>
      <c r="O93" s="237"/>
      <c r="P93" s="225">
        <f t="shared" si="18"/>
        <v>0</v>
      </c>
      <c r="Q93" s="231"/>
      <c r="R93" s="231"/>
      <c r="S93" s="226">
        <f t="shared" si="19"/>
        <v>0</v>
      </c>
      <c r="T93" s="227">
        <v>0</v>
      </c>
      <c r="U93" s="226">
        <f t="shared" si="13"/>
        <v>0</v>
      </c>
      <c r="V93" s="226">
        <f t="shared" si="14"/>
        <v>0</v>
      </c>
      <c r="W93" s="226">
        <f t="shared" si="15"/>
        <v>0</v>
      </c>
      <c r="X93" s="226">
        <f t="shared" si="16"/>
        <v>0</v>
      </c>
      <c r="Y93" s="226">
        <f t="shared" si="17"/>
        <v>0</v>
      </c>
    </row>
    <row r="94" spans="1:25" ht="15" x14ac:dyDescent="0.25">
      <c r="A94" s="215">
        <v>2220132</v>
      </c>
      <c r="B94" s="283" t="s">
        <v>198</v>
      </c>
      <c r="C94" s="330">
        <v>239</v>
      </c>
      <c r="D94" s="330">
        <v>239</v>
      </c>
      <c r="E94" s="217" t="s">
        <v>135</v>
      </c>
      <c r="F94" s="218">
        <v>0</v>
      </c>
      <c r="G94" s="219">
        <v>0</v>
      </c>
      <c r="H94" s="219">
        <v>0</v>
      </c>
      <c r="I94" s="305">
        <v>0</v>
      </c>
      <c r="J94" s="223">
        <v>0</v>
      </c>
      <c r="K94" s="237">
        <f t="shared" si="12"/>
        <v>0</v>
      </c>
      <c r="L94" s="336"/>
      <c r="M94" s="292"/>
      <c r="N94" s="237">
        <v>0</v>
      </c>
      <c r="O94" s="237"/>
      <c r="P94" s="225">
        <f t="shared" si="18"/>
        <v>0</v>
      </c>
      <c r="Q94" s="231"/>
      <c r="R94" s="231"/>
      <c r="S94" s="226">
        <f t="shared" si="19"/>
        <v>0</v>
      </c>
      <c r="T94" s="227">
        <v>0</v>
      </c>
      <c r="U94" s="226">
        <f t="shared" si="13"/>
        <v>0</v>
      </c>
      <c r="V94" s="226">
        <f t="shared" si="14"/>
        <v>0</v>
      </c>
      <c r="W94" s="226">
        <f t="shared" si="15"/>
        <v>0</v>
      </c>
      <c r="X94" s="226">
        <f t="shared" si="16"/>
        <v>0</v>
      </c>
      <c r="Y94" s="226">
        <f t="shared" si="17"/>
        <v>0</v>
      </c>
    </row>
    <row r="95" spans="1:25" ht="15" x14ac:dyDescent="0.25">
      <c r="A95" s="248">
        <v>2220054</v>
      </c>
      <c r="B95" s="283" t="s">
        <v>199</v>
      </c>
      <c r="C95" s="330">
        <v>140</v>
      </c>
      <c r="D95" s="330">
        <v>140</v>
      </c>
      <c r="E95" s="217" t="s">
        <v>135</v>
      </c>
      <c r="F95" s="218">
        <v>0</v>
      </c>
      <c r="G95" s="219">
        <v>0</v>
      </c>
      <c r="H95" s="219">
        <v>0</v>
      </c>
      <c r="I95" s="305">
        <v>0</v>
      </c>
      <c r="J95" s="223">
        <v>0</v>
      </c>
      <c r="K95" s="237">
        <f t="shared" si="12"/>
        <v>0</v>
      </c>
      <c r="L95" s="336"/>
      <c r="M95" s="292"/>
      <c r="N95" s="237">
        <v>0</v>
      </c>
      <c r="O95" s="237"/>
      <c r="P95" s="225">
        <f t="shared" si="18"/>
        <v>0</v>
      </c>
      <c r="Q95" s="231"/>
      <c r="R95" s="231"/>
      <c r="S95" s="226">
        <f t="shared" si="19"/>
        <v>0</v>
      </c>
      <c r="T95" s="227">
        <v>0</v>
      </c>
      <c r="U95" s="226">
        <f t="shared" si="13"/>
        <v>0</v>
      </c>
      <c r="V95" s="226">
        <f t="shared" si="14"/>
        <v>0</v>
      </c>
      <c r="W95" s="226">
        <f t="shared" si="15"/>
        <v>0</v>
      </c>
      <c r="X95" s="226">
        <f t="shared" si="16"/>
        <v>0</v>
      </c>
      <c r="Y95" s="226">
        <f t="shared" si="17"/>
        <v>0</v>
      </c>
    </row>
    <row r="96" spans="1:25" ht="15" x14ac:dyDescent="0.25">
      <c r="A96" s="215">
        <v>2220025</v>
      </c>
      <c r="B96" s="283" t="s">
        <v>34</v>
      </c>
      <c r="C96" s="330">
        <v>19.2</v>
      </c>
      <c r="D96" s="330">
        <v>19.2</v>
      </c>
      <c r="E96" s="217" t="s">
        <v>137</v>
      </c>
      <c r="F96" s="218">
        <v>0</v>
      </c>
      <c r="G96" s="219">
        <f>1136.5+65</f>
        <v>1201.5</v>
      </c>
      <c r="H96" s="219">
        <v>0</v>
      </c>
      <c r="I96" s="333">
        <f>1200.85-64.35+65</f>
        <v>1201.5</v>
      </c>
      <c r="J96" s="223">
        <v>0</v>
      </c>
      <c r="K96" s="237">
        <f t="shared" si="12"/>
        <v>0</v>
      </c>
      <c r="L96" s="336">
        <v>40.35</v>
      </c>
      <c r="M96" s="292">
        <v>38</v>
      </c>
      <c r="N96" s="237">
        <v>14</v>
      </c>
      <c r="O96" s="237"/>
      <c r="P96" s="225">
        <f t="shared" si="18"/>
        <v>14</v>
      </c>
      <c r="Q96" s="231"/>
      <c r="R96" s="231"/>
      <c r="S96" s="226">
        <f t="shared" si="19"/>
        <v>0</v>
      </c>
      <c r="T96" s="227">
        <v>0</v>
      </c>
      <c r="U96" s="226">
        <f t="shared" si="13"/>
        <v>23068.799999999999</v>
      </c>
      <c r="V96" s="226">
        <f t="shared" si="14"/>
        <v>0</v>
      </c>
      <c r="W96" s="226">
        <f t="shared" si="15"/>
        <v>23068.799999999999</v>
      </c>
      <c r="X96" s="226">
        <f t="shared" si="16"/>
        <v>0</v>
      </c>
      <c r="Y96" s="226">
        <f t="shared" si="17"/>
        <v>0</v>
      </c>
    </row>
    <row r="97" spans="1:25" ht="15" x14ac:dyDescent="0.25">
      <c r="A97" s="215">
        <v>2220059</v>
      </c>
      <c r="B97" s="283" t="s">
        <v>200</v>
      </c>
      <c r="C97" s="330">
        <v>1310</v>
      </c>
      <c r="D97" s="330">
        <v>1310</v>
      </c>
      <c r="E97" s="217" t="s">
        <v>135</v>
      </c>
      <c r="F97" s="218">
        <v>0</v>
      </c>
      <c r="G97" s="219">
        <f>5+3</f>
        <v>8</v>
      </c>
      <c r="H97" s="219">
        <v>0</v>
      </c>
      <c r="I97" s="305">
        <f>4+3</f>
        <v>7</v>
      </c>
      <c r="J97" s="223">
        <v>0</v>
      </c>
      <c r="K97" s="237">
        <f t="shared" si="12"/>
        <v>1</v>
      </c>
      <c r="L97" s="336"/>
      <c r="M97" s="292"/>
      <c r="N97" s="237">
        <v>1</v>
      </c>
      <c r="O97" s="237"/>
      <c r="P97" s="225">
        <f t="shared" si="18"/>
        <v>0</v>
      </c>
      <c r="Q97" s="231"/>
      <c r="R97" s="231"/>
      <c r="S97" s="226">
        <f t="shared" si="19"/>
        <v>0</v>
      </c>
      <c r="T97" s="227">
        <v>0</v>
      </c>
      <c r="U97" s="226">
        <f t="shared" si="13"/>
        <v>10480</v>
      </c>
      <c r="V97" s="226">
        <f t="shared" si="14"/>
        <v>0</v>
      </c>
      <c r="W97" s="226">
        <f t="shared" si="15"/>
        <v>9170</v>
      </c>
      <c r="X97" s="226">
        <f t="shared" si="16"/>
        <v>0</v>
      </c>
      <c r="Y97" s="226">
        <f t="shared" si="17"/>
        <v>1310</v>
      </c>
    </row>
    <row r="98" spans="1:25" ht="15" x14ac:dyDescent="0.25">
      <c r="A98" s="215">
        <v>2220071</v>
      </c>
      <c r="B98" s="283" t="s">
        <v>201</v>
      </c>
      <c r="C98" s="330">
        <v>371</v>
      </c>
      <c r="D98" s="330">
        <v>371</v>
      </c>
      <c r="E98" s="217" t="s">
        <v>133</v>
      </c>
      <c r="F98" s="218">
        <v>0</v>
      </c>
      <c r="G98" s="219">
        <v>0</v>
      </c>
      <c r="H98" s="219">
        <v>0</v>
      </c>
      <c r="I98" s="305">
        <v>0</v>
      </c>
      <c r="J98" s="223">
        <v>0</v>
      </c>
      <c r="K98" s="237">
        <f t="shared" si="12"/>
        <v>0</v>
      </c>
      <c r="L98" s="336"/>
      <c r="M98" s="292"/>
      <c r="N98" s="237">
        <v>0</v>
      </c>
      <c r="O98" s="237"/>
      <c r="P98" s="225">
        <f t="shared" si="18"/>
        <v>0</v>
      </c>
      <c r="Q98" s="231"/>
      <c r="R98" s="231"/>
      <c r="S98" s="226">
        <f t="shared" si="19"/>
        <v>0</v>
      </c>
      <c r="T98" s="227">
        <v>0</v>
      </c>
      <c r="U98" s="226">
        <f t="shared" si="13"/>
        <v>0</v>
      </c>
      <c r="V98" s="226">
        <f t="shared" si="14"/>
        <v>0</v>
      </c>
      <c r="W98" s="226">
        <f t="shared" si="15"/>
        <v>0</v>
      </c>
      <c r="X98" s="226">
        <f t="shared" si="16"/>
        <v>0</v>
      </c>
      <c r="Y98" s="226">
        <f t="shared" si="17"/>
        <v>0</v>
      </c>
    </row>
    <row r="99" spans="1:25" ht="15" x14ac:dyDescent="0.25">
      <c r="A99" s="215">
        <v>2220069</v>
      </c>
      <c r="B99" s="283" t="s">
        <v>113</v>
      </c>
      <c r="C99" s="330">
        <v>256</v>
      </c>
      <c r="D99" s="330">
        <v>256</v>
      </c>
      <c r="E99" s="217" t="s">
        <v>133</v>
      </c>
      <c r="F99" s="218">
        <v>8</v>
      </c>
      <c r="G99" s="219">
        <v>0</v>
      </c>
      <c r="H99" s="219">
        <v>0</v>
      </c>
      <c r="I99" s="305">
        <v>3</v>
      </c>
      <c r="J99" s="223">
        <v>0</v>
      </c>
      <c r="K99" s="237">
        <f t="shared" si="12"/>
        <v>5</v>
      </c>
      <c r="L99" s="336"/>
      <c r="M99" s="292"/>
      <c r="N99" s="237">
        <v>5</v>
      </c>
      <c r="O99" s="237"/>
      <c r="P99" s="225">
        <f t="shared" si="18"/>
        <v>0</v>
      </c>
      <c r="Q99" s="231"/>
      <c r="R99" s="231"/>
      <c r="S99" s="226">
        <f t="shared" si="19"/>
        <v>2048</v>
      </c>
      <c r="T99" s="227">
        <v>0</v>
      </c>
      <c r="U99" s="226">
        <f t="shared" si="13"/>
        <v>0</v>
      </c>
      <c r="V99" s="226">
        <f t="shared" si="14"/>
        <v>0</v>
      </c>
      <c r="W99" s="226">
        <f t="shared" si="15"/>
        <v>768</v>
      </c>
      <c r="X99" s="226">
        <f t="shared" si="16"/>
        <v>0</v>
      </c>
      <c r="Y99" s="226">
        <f t="shared" si="17"/>
        <v>1280</v>
      </c>
    </row>
    <row r="100" spans="1:25" ht="15" x14ac:dyDescent="0.25">
      <c r="A100" s="215">
        <v>2220078</v>
      </c>
      <c r="B100" s="283" t="s">
        <v>202</v>
      </c>
      <c r="C100" s="330">
        <v>85</v>
      </c>
      <c r="D100" s="330">
        <v>85</v>
      </c>
      <c r="E100" s="217" t="s">
        <v>133</v>
      </c>
      <c r="F100" s="218">
        <v>0</v>
      </c>
      <c r="G100" s="219">
        <v>0</v>
      </c>
      <c r="H100" s="219">
        <v>0</v>
      </c>
      <c r="I100" s="305">
        <v>0</v>
      </c>
      <c r="J100" s="223">
        <v>0</v>
      </c>
      <c r="K100" s="237">
        <f t="shared" si="12"/>
        <v>0</v>
      </c>
      <c r="L100" s="336"/>
      <c r="M100" s="292"/>
      <c r="N100" s="237">
        <v>0</v>
      </c>
      <c r="O100" s="237"/>
      <c r="P100" s="225">
        <f t="shared" si="18"/>
        <v>0</v>
      </c>
      <c r="Q100" s="231"/>
      <c r="R100" s="231"/>
      <c r="S100" s="226">
        <f t="shared" si="19"/>
        <v>0</v>
      </c>
      <c r="T100" s="227">
        <v>0</v>
      </c>
      <c r="U100" s="226">
        <f t="shared" si="13"/>
        <v>0</v>
      </c>
      <c r="V100" s="226">
        <f t="shared" si="14"/>
        <v>0</v>
      </c>
      <c r="W100" s="226">
        <f t="shared" si="15"/>
        <v>0</v>
      </c>
      <c r="X100" s="226">
        <f t="shared" si="16"/>
        <v>0</v>
      </c>
      <c r="Y100" s="226">
        <f t="shared" si="17"/>
        <v>0</v>
      </c>
    </row>
    <row r="101" spans="1:25" ht="15" x14ac:dyDescent="0.25">
      <c r="A101" s="215">
        <v>2220065</v>
      </c>
      <c r="B101" s="283" t="s">
        <v>203</v>
      </c>
      <c r="C101" s="330">
        <v>136.56</v>
      </c>
      <c r="D101" s="330">
        <v>136.56</v>
      </c>
      <c r="E101" s="217" t="s">
        <v>133</v>
      </c>
      <c r="F101" s="218">
        <v>0</v>
      </c>
      <c r="G101" s="219">
        <v>0</v>
      </c>
      <c r="H101" s="219">
        <v>0</v>
      </c>
      <c r="I101" s="305">
        <v>0</v>
      </c>
      <c r="J101" s="223">
        <v>0</v>
      </c>
      <c r="K101" s="237">
        <f t="shared" si="12"/>
        <v>0</v>
      </c>
      <c r="L101" s="336"/>
      <c r="M101" s="292"/>
      <c r="N101" s="237">
        <v>0</v>
      </c>
      <c r="O101" s="237"/>
      <c r="P101" s="225">
        <f t="shared" si="18"/>
        <v>0</v>
      </c>
      <c r="Q101" s="231"/>
      <c r="R101" s="231"/>
      <c r="S101" s="226">
        <f t="shared" si="19"/>
        <v>0</v>
      </c>
      <c r="T101" s="227">
        <v>0</v>
      </c>
      <c r="U101" s="226">
        <f t="shared" si="13"/>
        <v>0</v>
      </c>
      <c r="V101" s="226">
        <f t="shared" si="14"/>
        <v>0</v>
      </c>
      <c r="W101" s="226">
        <f t="shared" si="15"/>
        <v>0</v>
      </c>
      <c r="X101" s="226">
        <f t="shared" si="16"/>
        <v>0</v>
      </c>
      <c r="Y101" s="226">
        <f t="shared" si="17"/>
        <v>0</v>
      </c>
    </row>
    <row r="102" spans="1:25" ht="15.75" customHeight="1" x14ac:dyDescent="0.25">
      <c r="A102" s="215">
        <v>2220084</v>
      </c>
      <c r="B102" s="283" t="s">
        <v>204</v>
      </c>
      <c r="C102" s="330">
        <v>320</v>
      </c>
      <c r="D102" s="330">
        <v>320</v>
      </c>
      <c r="E102" s="217" t="s">
        <v>133</v>
      </c>
      <c r="F102" s="218">
        <v>0</v>
      </c>
      <c r="G102" s="219">
        <v>0</v>
      </c>
      <c r="H102" s="219">
        <v>0</v>
      </c>
      <c r="I102" s="305">
        <v>0</v>
      </c>
      <c r="J102" s="223">
        <v>0</v>
      </c>
      <c r="K102" s="237">
        <f t="shared" si="12"/>
        <v>0</v>
      </c>
      <c r="L102" s="336"/>
      <c r="M102" s="292"/>
      <c r="N102" s="237">
        <v>0</v>
      </c>
      <c r="O102" s="237"/>
      <c r="P102" s="225">
        <f t="shared" si="18"/>
        <v>0</v>
      </c>
      <c r="Q102" s="231"/>
      <c r="R102" s="231"/>
      <c r="S102" s="226">
        <f t="shared" si="19"/>
        <v>0</v>
      </c>
      <c r="T102" s="227">
        <v>0</v>
      </c>
      <c r="U102" s="226">
        <f t="shared" si="13"/>
        <v>0</v>
      </c>
      <c r="V102" s="226">
        <f t="shared" si="14"/>
        <v>0</v>
      </c>
      <c r="W102" s="226">
        <f t="shared" si="15"/>
        <v>0</v>
      </c>
      <c r="X102" s="226">
        <f t="shared" si="16"/>
        <v>0</v>
      </c>
      <c r="Y102" s="226">
        <f t="shared" si="17"/>
        <v>0</v>
      </c>
    </row>
    <row r="103" spans="1:25" ht="46.8" x14ac:dyDescent="0.25">
      <c r="A103" s="215">
        <v>2220145</v>
      </c>
      <c r="B103" s="340" t="s">
        <v>205</v>
      </c>
      <c r="C103" s="330">
        <v>760</v>
      </c>
      <c r="D103" s="330">
        <v>760</v>
      </c>
      <c r="E103" s="217" t="s">
        <v>133</v>
      </c>
      <c r="F103" s="229">
        <v>0</v>
      </c>
      <c r="G103" s="219">
        <v>0</v>
      </c>
      <c r="H103" s="219">
        <v>0</v>
      </c>
      <c r="I103" s="305">
        <v>0</v>
      </c>
      <c r="J103" s="223">
        <v>0</v>
      </c>
      <c r="K103" s="237">
        <f t="shared" si="12"/>
        <v>0</v>
      </c>
      <c r="L103" s="336"/>
      <c r="M103" s="292"/>
      <c r="N103" s="237">
        <v>0</v>
      </c>
      <c r="O103" s="237"/>
      <c r="P103" s="225">
        <f t="shared" si="18"/>
        <v>0</v>
      </c>
      <c r="Q103" s="231"/>
      <c r="R103" s="231"/>
      <c r="S103" s="226">
        <f t="shared" si="19"/>
        <v>0</v>
      </c>
      <c r="T103" s="227">
        <v>0</v>
      </c>
      <c r="U103" s="226">
        <f t="shared" si="13"/>
        <v>0</v>
      </c>
      <c r="V103" s="226">
        <f t="shared" si="14"/>
        <v>0</v>
      </c>
      <c r="W103" s="226">
        <f t="shared" si="15"/>
        <v>0</v>
      </c>
      <c r="X103" s="226">
        <f t="shared" si="16"/>
        <v>0</v>
      </c>
      <c r="Y103" s="226">
        <f t="shared" si="17"/>
        <v>0</v>
      </c>
    </row>
    <row r="104" spans="1:25" ht="45" x14ac:dyDescent="0.25">
      <c r="A104" s="215">
        <v>2220146</v>
      </c>
      <c r="B104" s="283" t="s">
        <v>206</v>
      </c>
      <c r="C104" s="330">
        <v>638.4</v>
      </c>
      <c r="D104" s="330">
        <v>638.4</v>
      </c>
      <c r="E104" s="217" t="s">
        <v>133</v>
      </c>
      <c r="F104" s="229">
        <v>0</v>
      </c>
      <c r="G104" s="219">
        <v>0</v>
      </c>
      <c r="H104" s="219">
        <v>0</v>
      </c>
      <c r="I104" s="305">
        <v>0</v>
      </c>
      <c r="J104" s="223">
        <v>0</v>
      </c>
      <c r="K104" s="237">
        <f t="shared" si="12"/>
        <v>0</v>
      </c>
      <c r="L104" s="336"/>
      <c r="M104" s="292"/>
      <c r="N104" s="237">
        <v>0</v>
      </c>
      <c r="O104" s="237"/>
      <c r="P104" s="225">
        <f t="shared" si="18"/>
        <v>0</v>
      </c>
      <c r="Q104" s="231"/>
      <c r="R104" s="231"/>
      <c r="S104" s="226">
        <f t="shared" si="19"/>
        <v>0</v>
      </c>
      <c r="T104" s="227">
        <v>0</v>
      </c>
      <c r="U104" s="226">
        <f t="shared" si="13"/>
        <v>0</v>
      </c>
      <c r="V104" s="226">
        <f t="shared" si="14"/>
        <v>0</v>
      </c>
      <c r="W104" s="226">
        <f t="shared" si="15"/>
        <v>0</v>
      </c>
      <c r="X104" s="226">
        <f t="shared" si="16"/>
        <v>0</v>
      </c>
      <c r="Y104" s="226">
        <f t="shared" si="17"/>
        <v>0</v>
      </c>
    </row>
    <row r="105" spans="1:25" ht="16.5" customHeight="1" x14ac:dyDescent="0.25">
      <c r="A105" s="215">
        <v>2220026</v>
      </c>
      <c r="B105" s="283" t="s">
        <v>35</v>
      </c>
      <c r="C105" s="330">
        <v>67.7</v>
      </c>
      <c r="D105" s="330">
        <v>67.7</v>
      </c>
      <c r="E105" s="217" t="s">
        <v>137</v>
      </c>
      <c r="F105" s="218">
        <v>1.4210854715202004E-14</v>
      </c>
      <c r="G105" s="219">
        <f>294+65</f>
        <v>359</v>
      </c>
      <c r="H105" s="219">
        <v>0</v>
      </c>
      <c r="I105" s="333">
        <f>308.55-14.55+65</f>
        <v>359</v>
      </c>
      <c r="J105" s="223">
        <v>0</v>
      </c>
      <c r="K105" s="237">
        <f t="shared" si="12"/>
        <v>0</v>
      </c>
      <c r="L105" s="336">
        <v>8.4499999999999993</v>
      </c>
      <c r="M105" s="292">
        <v>8.1</v>
      </c>
      <c r="N105" s="237">
        <v>3</v>
      </c>
      <c r="O105" s="237"/>
      <c r="P105" s="225">
        <f t="shared" si="18"/>
        <v>3</v>
      </c>
      <c r="Q105" s="231"/>
      <c r="R105" s="231"/>
      <c r="S105" s="226">
        <f t="shared" si="19"/>
        <v>9.6207486421917569E-13</v>
      </c>
      <c r="T105" s="227">
        <v>0</v>
      </c>
      <c r="U105" s="226">
        <f t="shared" si="13"/>
        <v>24304.3</v>
      </c>
      <c r="V105" s="226">
        <f t="shared" si="14"/>
        <v>0</v>
      </c>
      <c r="W105" s="226">
        <f t="shared" si="15"/>
        <v>24304.3</v>
      </c>
      <c r="X105" s="226">
        <f t="shared" si="16"/>
        <v>0</v>
      </c>
      <c r="Y105" s="226">
        <f t="shared" si="17"/>
        <v>0</v>
      </c>
    </row>
    <row r="106" spans="1:25" ht="15" x14ac:dyDescent="0.25">
      <c r="A106" s="215">
        <v>2220027</v>
      </c>
      <c r="B106" s="283" t="s">
        <v>79</v>
      </c>
      <c r="C106" s="330">
        <v>166.7</v>
      </c>
      <c r="D106" s="330">
        <v>166.7</v>
      </c>
      <c r="E106" s="217" t="s">
        <v>137</v>
      </c>
      <c r="F106" s="218">
        <v>0</v>
      </c>
      <c r="G106" s="219">
        <v>0</v>
      </c>
      <c r="H106" s="219">
        <v>0</v>
      </c>
      <c r="I106" s="333">
        <v>0</v>
      </c>
      <c r="J106" s="223">
        <v>0</v>
      </c>
      <c r="K106" s="237">
        <f t="shared" si="12"/>
        <v>0</v>
      </c>
      <c r="L106" s="335"/>
      <c r="M106" s="300"/>
      <c r="N106" s="237">
        <v>0</v>
      </c>
      <c r="O106" s="237"/>
      <c r="P106" s="225">
        <f t="shared" si="18"/>
        <v>0</v>
      </c>
      <c r="Q106" s="231"/>
      <c r="R106" s="231"/>
      <c r="S106" s="226">
        <f t="shared" si="19"/>
        <v>0</v>
      </c>
      <c r="T106" s="227">
        <v>0</v>
      </c>
      <c r="U106" s="226">
        <f t="shared" si="13"/>
        <v>0</v>
      </c>
      <c r="V106" s="226">
        <f t="shared" si="14"/>
        <v>0</v>
      </c>
      <c r="W106" s="226">
        <f t="shared" si="15"/>
        <v>0</v>
      </c>
      <c r="X106" s="226">
        <f t="shared" si="16"/>
        <v>0</v>
      </c>
      <c r="Y106" s="226">
        <f t="shared" si="17"/>
        <v>0</v>
      </c>
    </row>
    <row r="107" spans="1:25" ht="15" x14ac:dyDescent="0.25">
      <c r="A107" s="215">
        <v>2220080</v>
      </c>
      <c r="B107" s="283" t="s">
        <v>207</v>
      </c>
      <c r="C107" s="330">
        <v>15.85</v>
      </c>
      <c r="D107" s="330">
        <v>15.85</v>
      </c>
      <c r="E107" s="217" t="s">
        <v>133</v>
      </c>
      <c r="F107" s="218">
        <v>1</v>
      </c>
      <c r="G107" s="219">
        <v>0</v>
      </c>
      <c r="H107" s="219">
        <v>0</v>
      </c>
      <c r="I107" s="305">
        <v>0</v>
      </c>
      <c r="J107" s="223">
        <v>0</v>
      </c>
      <c r="K107" s="237">
        <f t="shared" si="12"/>
        <v>1</v>
      </c>
      <c r="L107" s="337"/>
      <c r="M107" s="292"/>
      <c r="N107" s="237">
        <v>1</v>
      </c>
      <c r="O107" s="237"/>
      <c r="P107" s="225">
        <f t="shared" si="18"/>
        <v>0</v>
      </c>
      <c r="Q107" s="232"/>
      <c r="R107" s="232"/>
      <c r="S107" s="226">
        <f t="shared" si="19"/>
        <v>15.85</v>
      </c>
      <c r="T107" s="227">
        <v>0</v>
      </c>
      <c r="U107" s="226">
        <f t="shared" si="13"/>
        <v>0</v>
      </c>
      <c r="V107" s="226">
        <f t="shared" si="14"/>
        <v>0</v>
      </c>
      <c r="W107" s="226">
        <f t="shared" si="15"/>
        <v>0</v>
      </c>
      <c r="X107" s="226">
        <f t="shared" si="16"/>
        <v>0</v>
      </c>
      <c r="Y107" s="226">
        <f t="shared" si="17"/>
        <v>15.85</v>
      </c>
    </row>
    <row r="108" spans="1:25" ht="15" x14ac:dyDescent="0.25">
      <c r="A108" s="215">
        <v>2220035</v>
      </c>
      <c r="B108" s="283" t="s">
        <v>208</v>
      </c>
      <c r="C108" s="330">
        <v>75</v>
      </c>
      <c r="D108" s="330">
        <v>75</v>
      </c>
      <c r="E108" s="217" t="s">
        <v>133</v>
      </c>
      <c r="F108" s="218">
        <v>0</v>
      </c>
      <c r="G108" s="219">
        <v>24</v>
      </c>
      <c r="H108" s="219">
        <v>0</v>
      </c>
      <c r="I108" s="305">
        <v>23</v>
      </c>
      <c r="J108" s="223">
        <v>0</v>
      </c>
      <c r="K108" s="237">
        <f t="shared" si="12"/>
        <v>1</v>
      </c>
      <c r="L108" s="337"/>
      <c r="M108" s="292"/>
      <c r="N108" s="237">
        <v>1</v>
      </c>
      <c r="O108" s="237"/>
      <c r="P108" s="225">
        <f t="shared" si="18"/>
        <v>0</v>
      </c>
      <c r="Q108" s="231"/>
      <c r="R108" s="231"/>
      <c r="S108" s="226">
        <f t="shared" si="19"/>
        <v>0</v>
      </c>
      <c r="T108" s="227">
        <v>0</v>
      </c>
      <c r="U108" s="226">
        <f t="shared" si="13"/>
        <v>1800</v>
      </c>
      <c r="V108" s="226">
        <f t="shared" si="14"/>
        <v>0</v>
      </c>
      <c r="W108" s="226">
        <f t="shared" si="15"/>
        <v>1725</v>
      </c>
      <c r="X108" s="226">
        <f t="shared" si="16"/>
        <v>0</v>
      </c>
      <c r="Y108" s="226">
        <f t="shared" si="17"/>
        <v>75</v>
      </c>
    </row>
    <row r="109" spans="1:25" ht="15.75" customHeight="1" x14ac:dyDescent="0.25">
      <c r="A109" s="215">
        <v>2220045</v>
      </c>
      <c r="B109" s="283" t="s">
        <v>96</v>
      </c>
      <c r="C109" s="330">
        <v>86</v>
      </c>
      <c r="D109" s="330">
        <v>86</v>
      </c>
      <c r="E109" s="217" t="s">
        <v>210</v>
      </c>
      <c r="F109" s="218">
        <v>29</v>
      </c>
      <c r="G109" s="219">
        <v>20</v>
      </c>
      <c r="H109" s="219">
        <v>0</v>
      </c>
      <c r="I109" s="305">
        <v>3</v>
      </c>
      <c r="J109" s="223">
        <v>0</v>
      </c>
      <c r="K109" s="237">
        <f t="shared" si="12"/>
        <v>46</v>
      </c>
      <c r="L109" s="337"/>
      <c r="M109" s="292"/>
      <c r="N109" s="237">
        <v>46</v>
      </c>
      <c r="O109" s="237"/>
      <c r="P109" s="225">
        <f t="shared" si="18"/>
        <v>0</v>
      </c>
      <c r="Q109" s="231"/>
      <c r="R109" s="231"/>
      <c r="S109" s="226">
        <f t="shared" si="19"/>
        <v>2494</v>
      </c>
      <c r="T109" s="227">
        <v>0</v>
      </c>
      <c r="U109" s="226">
        <f t="shared" si="13"/>
        <v>1720</v>
      </c>
      <c r="V109" s="226">
        <f t="shared" si="14"/>
        <v>0</v>
      </c>
      <c r="W109" s="226">
        <f t="shared" si="15"/>
        <v>258</v>
      </c>
      <c r="X109" s="226">
        <f t="shared" si="16"/>
        <v>0</v>
      </c>
      <c r="Y109" s="226">
        <f t="shared" si="17"/>
        <v>3956</v>
      </c>
    </row>
    <row r="110" spans="1:25" s="246" customFormat="1" ht="15.6" x14ac:dyDescent="0.25">
      <c r="A110" s="215">
        <v>2220028</v>
      </c>
      <c r="B110" s="283" t="s">
        <v>36</v>
      </c>
      <c r="C110" s="330">
        <v>29.2</v>
      </c>
      <c r="D110" s="330">
        <v>29.2</v>
      </c>
      <c r="E110" s="217" t="s">
        <v>137</v>
      </c>
      <c r="F110" s="218">
        <v>-4.2632564145606011E-14</v>
      </c>
      <c r="G110" s="219">
        <f>3154.5+162.5</f>
        <v>3317</v>
      </c>
      <c r="H110" s="219">
        <v>0</v>
      </c>
      <c r="I110" s="333">
        <f>3191.1-36.6+162.5</f>
        <v>3317</v>
      </c>
      <c r="J110" s="223">
        <v>0</v>
      </c>
      <c r="K110" s="237">
        <f t="shared" si="12"/>
        <v>0</v>
      </c>
      <c r="L110" s="337">
        <v>2.65</v>
      </c>
      <c r="M110" s="292">
        <v>71.95</v>
      </c>
      <c r="N110" s="237">
        <v>38</v>
      </c>
      <c r="O110" s="237"/>
      <c r="P110" s="225">
        <f t="shared" si="18"/>
        <v>38</v>
      </c>
      <c r="Q110" s="231"/>
      <c r="R110" s="231"/>
      <c r="S110" s="226">
        <v>0</v>
      </c>
      <c r="T110" s="227">
        <v>0</v>
      </c>
      <c r="U110" s="226">
        <f t="shared" si="13"/>
        <v>96856.4</v>
      </c>
      <c r="V110" s="226">
        <f t="shared" si="14"/>
        <v>0</v>
      </c>
      <c r="W110" s="226">
        <f t="shared" si="15"/>
        <v>96856.4</v>
      </c>
      <c r="X110" s="226">
        <f t="shared" si="16"/>
        <v>0</v>
      </c>
      <c r="Y110" s="226">
        <f t="shared" si="17"/>
        <v>0</v>
      </c>
    </row>
    <row r="111" spans="1:25" ht="15" customHeight="1" x14ac:dyDescent="0.25">
      <c r="A111" s="234">
        <v>2220053</v>
      </c>
      <c r="B111" s="283" t="s">
        <v>211</v>
      </c>
      <c r="C111" s="334">
        <v>2830</v>
      </c>
      <c r="D111" s="334">
        <v>2830</v>
      </c>
      <c r="E111" s="236" t="s">
        <v>135</v>
      </c>
      <c r="F111" s="229">
        <v>1</v>
      </c>
      <c r="G111" s="219">
        <v>0</v>
      </c>
      <c r="H111" s="219">
        <v>0</v>
      </c>
      <c r="I111" s="305">
        <v>0</v>
      </c>
      <c r="J111" s="223">
        <v>0</v>
      </c>
      <c r="K111" s="237">
        <f t="shared" si="12"/>
        <v>1</v>
      </c>
      <c r="L111" s="337"/>
      <c r="M111" s="292"/>
      <c r="N111" s="237">
        <v>1</v>
      </c>
      <c r="O111" s="237"/>
      <c r="P111" s="225">
        <f t="shared" si="18"/>
        <v>0</v>
      </c>
      <c r="Q111" s="231"/>
      <c r="R111" s="231"/>
      <c r="S111" s="226">
        <f>C111*F111</f>
        <v>2830</v>
      </c>
      <c r="T111" s="227">
        <v>0</v>
      </c>
      <c r="U111" s="226">
        <f t="shared" si="13"/>
        <v>0</v>
      </c>
      <c r="V111" s="226">
        <f t="shared" si="14"/>
        <v>0</v>
      </c>
      <c r="W111" s="226">
        <f t="shared" si="15"/>
        <v>0</v>
      </c>
      <c r="X111" s="226">
        <f t="shared" si="16"/>
        <v>0</v>
      </c>
      <c r="Y111" s="226">
        <f t="shared" si="17"/>
        <v>2830</v>
      </c>
    </row>
    <row r="112" spans="1:25" s="228" customFormat="1" ht="30" x14ac:dyDescent="0.25">
      <c r="A112" s="238">
        <v>2220148</v>
      </c>
      <c r="B112" s="283" t="s">
        <v>264</v>
      </c>
      <c r="C112" s="330">
        <v>0</v>
      </c>
      <c r="D112" s="330">
        <v>993.33</v>
      </c>
      <c r="E112" s="217"/>
      <c r="F112" s="218">
        <v>0</v>
      </c>
      <c r="G112" s="219">
        <v>50</v>
      </c>
      <c r="H112" s="219">
        <v>0</v>
      </c>
      <c r="I112" s="305">
        <v>48</v>
      </c>
      <c r="J112" s="223">
        <v>0</v>
      </c>
      <c r="K112" s="237">
        <f t="shared" si="12"/>
        <v>2</v>
      </c>
      <c r="L112" s="336"/>
      <c r="M112" s="292"/>
      <c r="N112" s="223">
        <v>2</v>
      </c>
      <c r="O112" s="223"/>
      <c r="P112" s="225">
        <f t="shared" si="18"/>
        <v>0</v>
      </c>
      <c r="Q112" s="231"/>
      <c r="R112" s="231"/>
      <c r="S112" s="226">
        <f>C112*F112</f>
        <v>0</v>
      </c>
      <c r="T112" s="227"/>
      <c r="U112" s="226">
        <f t="shared" si="13"/>
        <v>49666.5</v>
      </c>
      <c r="V112" s="226"/>
      <c r="W112" s="226">
        <f t="shared" si="15"/>
        <v>47679.840000000004</v>
      </c>
      <c r="X112" s="226"/>
      <c r="Y112" s="226"/>
    </row>
    <row r="113" spans="1:25" ht="22.5" customHeight="1" x14ac:dyDescent="0.25">
      <c r="A113" s="238">
        <v>2220149</v>
      </c>
      <c r="B113" s="283" t="s">
        <v>266</v>
      </c>
      <c r="C113" s="334">
        <v>0</v>
      </c>
      <c r="D113" s="334">
        <v>496.67</v>
      </c>
      <c r="E113" s="236"/>
      <c r="F113" s="229">
        <v>0</v>
      </c>
      <c r="G113" s="219">
        <v>26</v>
      </c>
      <c r="H113" s="219">
        <v>0</v>
      </c>
      <c r="I113" s="305">
        <v>24</v>
      </c>
      <c r="J113" s="223">
        <v>0</v>
      </c>
      <c r="K113" s="237">
        <f t="shared" si="12"/>
        <v>2</v>
      </c>
      <c r="L113" s="336"/>
      <c r="M113" s="292"/>
      <c r="N113" s="223">
        <v>2</v>
      </c>
      <c r="O113" s="223"/>
      <c r="P113" s="225">
        <f t="shared" si="18"/>
        <v>0</v>
      </c>
      <c r="Q113" s="231"/>
      <c r="R113" s="231"/>
      <c r="S113" s="226">
        <f>C113*F113</f>
        <v>0</v>
      </c>
      <c r="T113" s="227"/>
      <c r="U113" s="226">
        <f t="shared" si="13"/>
        <v>12913.42</v>
      </c>
      <c r="V113" s="226"/>
      <c r="W113" s="226">
        <f t="shared" si="15"/>
        <v>11920.08</v>
      </c>
      <c r="X113" s="226"/>
      <c r="Y113" s="226"/>
    </row>
    <row r="114" spans="1:25" ht="15" x14ac:dyDescent="0.25">
      <c r="A114" s="234">
        <v>2220150</v>
      </c>
      <c r="B114" s="283" t="s">
        <v>267</v>
      </c>
      <c r="C114" s="334">
        <v>0</v>
      </c>
      <c r="D114" s="334">
        <v>266.67</v>
      </c>
      <c r="E114" s="236"/>
      <c r="F114" s="229">
        <v>0</v>
      </c>
      <c r="G114" s="219">
        <v>2</v>
      </c>
      <c r="H114" s="219">
        <v>0</v>
      </c>
      <c r="I114" s="305">
        <v>1</v>
      </c>
      <c r="J114" s="223">
        <v>0</v>
      </c>
      <c r="K114" s="237">
        <f t="shared" si="12"/>
        <v>1</v>
      </c>
      <c r="L114" s="336"/>
      <c r="M114" s="292"/>
      <c r="N114" s="223">
        <v>1</v>
      </c>
      <c r="O114" s="223"/>
      <c r="P114" s="225">
        <f t="shared" si="18"/>
        <v>0</v>
      </c>
      <c r="Q114" s="231"/>
      <c r="R114" s="231"/>
      <c r="S114" s="226">
        <f>C114*F114</f>
        <v>0</v>
      </c>
      <c r="T114" s="227"/>
      <c r="U114" s="226">
        <f t="shared" si="13"/>
        <v>533.34</v>
      </c>
      <c r="V114" s="226"/>
      <c r="W114" s="226">
        <f t="shared" si="15"/>
        <v>266.67</v>
      </c>
      <c r="X114" s="226"/>
      <c r="Y114" s="226"/>
    </row>
    <row r="115" spans="1:25" ht="15" x14ac:dyDescent="0.25">
      <c r="A115" s="248">
        <v>2220151</v>
      </c>
      <c r="B115" s="283" t="s">
        <v>265</v>
      </c>
      <c r="C115" s="330">
        <v>0</v>
      </c>
      <c r="D115" s="330">
        <v>283.33</v>
      </c>
      <c r="E115" s="217"/>
      <c r="F115" s="218">
        <v>0</v>
      </c>
      <c r="G115" s="219">
        <v>6</v>
      </c>
      <c r="H115" s="219">
        <v>0</v>
      </c>
      <c r="I115" s="305">
        <v>4</v>
      </c>
      <c r="J115" s="223">
        <v>0</v>
      </c>
      <c r="K115" s="237">
        <f t="shared" si="12"/>
        <v>2</v>
      </c>
      <c r="L115" s="336"/>
      <c r="M115" s="292"/>
      <c r="N115" s="223">
        <v>2</v>
      </c>
      <c r="O115" s="223"/>
      <c r="P115" s="225">
        <f t="shared" si="18"/>
        <v>0</v>
      </c>
      <c r="Q115" s="231"/>
      <c r="R115" s="231"/>
      <c r="S115" s="226">
        <f>C115*F115</f>
        <v>0</v>
      </c>
      <c r="T115" s="227"/>
      <c r="U115" s="226">
        <f t="shared" si="13"/>
        <v>1699.98</v>
      </c>
      <c r="V115" s="226"/>
      <c r="W115" s="226">
        <f t="shared" si="15"/>
        <v>1133.32</v>
      </c>
      <c r="X115" s="226"/>
      <c r="Y115" s="226"/>
    </row>
    <row r="116" spans="1:25" s="228" customFormat="1" ht="15" customHeight="1" thickBot="1" x14ac:dyDescent="0.3">
      <c r="A116" s="301" t="s">
        <v>68</v>
      </c>
      <c r="B116" s="301"/>
      <c r="C116" s="302"/>
      <c r="D116" s="302"/>
      <c r="E116" s="303"/>
      <c r="F116" s="304">
        <f>SUM(F8:F115)</f>
        <v>81.004999999999384</v>
      </c>
      <c r="G116" s="304">
        <f>SUM(G8:G115)</f>
        <v>36546.75</v>
      </c>
      <c r="H116" s="304">
        <f t="shared" ref="H116:K116" si="20">SUM(H8:H115)</f>
        <v>0</v>
      </c>
      <c r="I116" s="304">
        <f t="shared" si="20"/>
        <v>36143.009999999995</v>
      </c>
      <c r="J116" s="304">
        <f t="shared" si="20"/>
        <v>0</v>
      </c>
      <c r="K116" s="304">
        <f t="shared" si="20"/>
        <v>484.74500000000012</v>
      </c>
      <c r="L116" s="304"/>
      <c r="M116" s="304"/>
      <c r="N116" s="304">
        <f>SUM(N8:N115)</f>
        <v>676.56</v>
      </c>
      <c r="O116" s="304">
        <f t="shared" ref="O116:P116" si="21">SUM(O8:O115)</f>
        <v>0</v>
      </c>
      <c r="P116" s="304">
        <f t="shared" si="21"/>
        <v>191.81499999999986</v>
      </c>
      <c r="Q116" s="231"/>
      <c r="R116" s="231"/>
      <c r="S116" s="250">
        <f>SUM(S8:S115)</f>
        <v>59126.832500000004</v>
      </c>
      <c r="T116" s="250">
        <f t="shared" ref="T116:Y116" si="22">SUM(T8:T115)</f>
        <v>0</v>
      </c>
      <c r="U116" s="250">
        <f t="shared" si="22"/>
        <v>3516527.8899999987</v>
      </c>
      <c r="V116" s="250">
        <f t="shared" si="22"/>
        <v>0</v>
      </c>
      <c r="W116" s="250">
        <f t="shared" si="22"/>
        <v>3390611.1029999992</v>
      </c>
      <c r="X116" s="250">
        <f t="shared" si="22"/>
        <v>0</v>
      </c>
      <c r="Y116" s="250">
        <f t="shared" si="22"/>
        <v>181230.28950000001</v>
      </c>
    </row>
    <row r="117" spans="1:25" ht="15.6" thickTop="1" x14ac:dyDescent="0.3">
      <c r="F117" s="251"/>
      <c r="P117" s="228"/>
    </row>
    <row r="118" spans="1:25" x14ac:dyDescent="0.3">
      <c r="F118" s="252"/>
    </row>
    <row r="119" spans="1:25" x14ac:dyDescent="0.3">
      <c r="A119" s="253"/>
      <c r="B119" s="208"/>
      <c r="C119" s="254"/>
      <c r="D119" s="254"/>
      <c r="E119" s="255"/>
      <c r="F119" s="256"/>
      <c r="G119" s="255"/>
      <c r="H119" s="255"/>
      <c r="I119" s="255"/>
      <c r="J119" s="255"/>
      <c r="K119" s="293"/>
      <c r="L119" s="293"/>
      <c r="M119" s="293"/>
      <c r="P119" s="257"/>
      <c r="Q119" s="255"/>
      <c r="R119" s="258"/>
      <c r="S119" s="258"/>
      <c r="T119" s="258"/>
      <c r="U119" s="258"/>
      <c r="V119" s="258"/>
    </row>
    <row r="120" spans="1:25" ht="15.6" x14ac:dyDescent="0.3">
      <c r="A120" s="253"/>
      <c r="B120" s="345" t="s">
        <v>253</v>
      </c>
      <c r="C120" s="345"/>
      <c r="D120" s="345"/>
      <c r="E120" s="345"/>
      <c r="F120" s="255"/>
      <c r="G120" s="346" t="s">
        <v>254</v>
      </c>
      <c r="H120" s="346"/>
      <c r="I120" s="346"/>
      <c r="J120" s="346"/>
      <c r="K120" s="347"/>
      <c r="L120" s="347"/>
      <c r="M120" s="347"/>
      <c r="N120" s="347"/>
      <c r="O120" s="289"/>
      <c r="P120" s="208"/>
      <c r="Q120" s="255"/>
      <c r="R120" s="258"/>
      <c r="S120" s="346" t="s">
        <v>255</v>
      </c>
      <c r="T120" s="346"/>
      <c r="U120" s="346"/>
      <c r="V120" s="346"/>
    </row>
    <row r="121" spans="1:25" ht="15.6" x14ac:dyDescent="0.3">
      <c r="A121" s="253"/>
      <c r="B121" s="350"/>
      <c r="C121" s="350"/>
      <c r="D121" s="350"/>
      <c r="E121" s="350"/>
      <c r="F121" s="260"/>
      <c r="G121" s="351"/>
      <c r="H121" s="351"/>
      <c r="I121" s="351"/>
      <c r="J121" s="351"/>
      <c r="K121" s="352"/>
      <c r="L121" s="352"/>
      <c r="M121" s="352"/>
      <c r="N121" s="352"/>
      <c r="O121" s="329"/>
      <c r="P121" s="261"/>
      <c r="Q121" s="261"/>
      <c r="R121" s="261"/>
      <c r="S121" s="353"/>
      <c r="T121" s="353"/>
      <c r="U121" s="353"/>
      <c r="V121" s="353"/>
    </row>
    <row r="122" spans="1:25" ht="15.6" x14ac:dyDescent="0.3">
      <c r="A122" s="253"/>
      <c r="B122" s="354" t="s">
        <v>256</v>
      </c>
      <c r="C122" s="354"/>
      <c r="D122" s="354"/>
      <c r="E122" s="354"/>
      <c r="F122" s="255"/>
      <c r="G122" s="355" t="s">
        <v>257</v>
      </c>
      <c r="H122" s="355"/>
      <c r="I122" s="355"/>
      <c r="J122" s="355"/>
      <c r="K122" s="356"/>
      <c r="L122" s="356"/>
      <c r="M122" s="356"/>
      <c r="N122" s="356"/>
      <c r="O122" s="290"/>
      <c r="P122" s="253"/>
      <c r="Q122" s="255"/>
      <c r="R122" s="255"/>
      <c r="S122" s="355" t="s">
        <v>258</v>
      </c>
      <c r="T122" s="355"/>
      <c r="U122" s="355"/>
      <c r="V122" s="355"/>
    </row>
    <row r="123" spans="1:25" ht="15.6" x14ac:dyDescent="0.3">
      <c r="A123" s="253"/>
      <c r="B123" s="348" t="s">
        <v>259</v>
      </c>
      <c r="C123" s="348"/>
      <c r="D123" s="348"/>
      <c r="E123" s="348"/>
      <c r="F123" s="255"/>
      <c r="G123" s="348" t="s">
        <v>260</v>
      </c>
      <c r="H123" s="348"/>
      <c r="I123" s="348"/>
      <c r="J123" s="348"/>
      <c r="K123" s="349"/>
      <c r="L123" s="349"/>
      <c r="M123" s="349"/>
      <c r="N123" s="349"/>
      <c r="O123" s="291"/>
      <c r="P123" s="253"/>
      <c r="Q123" s="255"/>
      <c r="R123" s="255"/>
      <c r="S123" s="348" t="s">
        <v>261</v>
      </c>
      <c r="T123" s="348"/>
      <c r="U123" s="348"/>
      <c r="V123" s="348"/>
    </row>
  </sheetData>
  <autoFilter ref="A7:Z116" xr:uid="{0BFEF28A-1488-46E0-BC41-237FC0EC7604}">
    <sortState xmlns:xlrd2="http://schemas.microsoft.com/office/spreadsheetml/2017/richdata2" ref="A8:Z116">
      <sortCondition ref="B7:B116"/>
    </sortState>
  </autoFilter>
  <mergeCells count="16">
    <mergeCell ref="B123:E123"/>
    <mergeCell ref="G123:N123"/>
    <mergeCell ref="S123:V123"/>
    <mergeCell ref="S120:V120"/>
    <mergeCell ref="B121:E121"/>
    <mergeCell ref="G121:N121"/>
    <mergeCell ref="S121:V121"/>
    <mergeCell ref="B122:E122"/>
    <mergeCell ref="G122:N122"/>
    <mergeCell ref="S122:V122"/>
    <mergeCell ref="A1:N1"/>
    <mergeCell ref="A2:N2"/>
    <mergeCell ref="A3:N3"/>
    <mergeCell ref="G5:N5"/>
    <mergeCell ref="B120:E120"/>
    <mergeCell ref="G120:N120"/>
  </mergeCells>
  <conditionalFormatting sqref="A107:A111">
    <cfRule type="duplicateValues" dxfId="2" priority="3"/>
  </conditionalFormatting>
  <conditionalFormatting sqref="A112:A113">
    <cfRule type="duplicateValues" dxfId="1" priority="1"/>
  </conditionalFormatting>
  <conditionalFormatting sqref="A119:A123">
    <cfRule type="duplicateValues" dxfId="0" priority="2"/>
  </conditionalFormatting>
  <pageMargins left="0.7" right="0.7" top="0.75" bottom="0.75" header="0.3" footer="0.3"/>
  <pageSetup scale="48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2993-B373-4035-BAEA-AA794A2DEEA4}">
  <sheetPr>
    <tabColor rgb="FFFF0000"/>
    <pageSetUpPr fitToPage="1"/>
  </sheetPr>
  <dimension ref="A1:Y123"/>
  <sheetViews>
    <sheetView topLeftCell="I1" zoomScale="70" zoomScaleNormal="70" workbookViewId="0">
      <pane ySplit="7" topLeftCell="A101" activePane="bottomLeft" state="frozen"/>
      <selection activeCell="B1" sqref="B1"/>
      <selection pane="bottomLeft" activeCell="Q7" sqref="Q7"/>
    </sheetView>
  </sheetViews>
  <sheetFormatPr baseColWidth="10" defaultColWidth="11.44140625" defaultRowHeight="14.4" x14ac:dyDescent="0.3"/>
  <cols>
    <col min="1" max="1" width="11.44140625" style="205"/>
    <col min="2" max="2" width="38.44140625" style="205" customWidth="1"/>
    <col min="3" max="4" width="13.6640625" style="206" customWidth="1"/>
    <col min="5" max="5" width="10.109375" style="207" customWidth="1"/>
    <col min="6" max="6" width="14.109375" style="208" customWidth="1"/>
    <col min="7" max="7" width="14.33203125" style="208" customWidth="1"/>
    <col min="8" max="8" width="12.88671875" style="208" customWidth="1"/>
    <col min="9" max="9" width="13.33203125" style="208" customWidth="1"/>
    <col min="10" max="10" width="13" style="208" customWidth="1"/>
    <col min="11" max="12" width="15.88671875" style="288" customWidth="1"/>
    <col min="13" max="13" width="18.109375" style="288" customWidth="1"/>
    <col min="14" max="14" width="15.33203125" style="288" customWidth="1"/>
    <col min="15" max="15" width="11.5546875" style="288" customWidth="1"/>
    <col min="16" max="16" width="14.33203125" style="199" customWidth="1"/>
    <col min="17" max="17" width="7.6640625" style="200" customWidth="1"/>
    <col min="18" max="18" width="3.44140625" style="200" customWidth="1"/>
    <col min="19" max="19" width="16.33203125" style="200" customWidth="1"/>
    <col min="20" max="20" width="11.44140625" style="200" customWidth="1"/>
    <col min="21" max="21" width="21.109375" style="200" customWidth="1"/>
    <col min="22" max="22" width="11.44140625" style="200" customWidth="1"/>
    <col min="23" max="23" width="19.6640625" style="200" customWidth="1"/>
    <col min="24" max="24" width="11.44140625" style="200" customWidth="1"/>
    <col min="25" max="25" width="14.33203125" style="200" customWidth="1"/>
    <col min="26" max="26" width="11.44140625" style="200" customWidth="1"/>
    <col min="27" max="16384" width="11.44140625" style="200"/>
  </cols>
  <sheetData>
    <row r="1" spans="1:25" ht="15" customHeight="1" x14ac:dyDescent="0.3">
      <c r="A1" s="341" t="s">
        <v>115</v>
      </c>
      <c r="B1" s="341"/>
      <c r="C1" s="341"/>
      <c r="D1" s="341"/>
      <c r="E1" s="341"/>
      <c r="F1" s="341"/>
      <c r="G1" s="341"/>
      <c r="H1" s="341"/>
      <c r="I1" s="341"/>
      <c r="J1" s="341"/>
      <c r="K1" s="342"/>
      <c r="L1" s="342"/>
      <c r="M1" s="342"/>
      <c r="N1" s="342"/>
      <c r="O1" s="285"/>
    </row>
    <row r="2" spans="1:25" ht="15" customHeight="1" x14ac:dyDescent="0.3">
      <c r="A2" s="341" t="s">
        <v>0</v>
      </c>
      <c r="B2" s="341"/>
      <c r="C2" s="341"/>
      <c r="D2" s="341"/>
      <c r="E2" s="341"/>
      <c r="F2" s="341"/>
      <c r="G2" s="341"/>
      <c r="H2" s="341"/>
      <c r="I2" s="341"/>
      <c r="J2" s="341"/>
      <c r="K2" s="342"/>
      <c r="L2" s="342"/>
      <c r="M2" s="342"/>
      <c r="N2" s="342"/>
      <c r="O2" s="285"/>
    </row>
    <row r="3" spans="1:25" ht="15" customHeight="1" x14ac:dyDescent="0.3">
      <c r="A3" s="341" t="s">
        <v>64</v>
      </c>
      <c r="B3" s="341"/>
      <c r="C3" s="341"/>
      <c r="D3" s="341"/>
      <c r="E3" s="341"/>
      <c r="F3" s="341"/>
      <c r="G3" s="341"/>
      <c r="H3" s="341"/>
      <c r="I3" s="341"/>
      <c r="J3" s="341"/>
      <c r="K3" s="342"/>
      <c r="L3" s="342"/>
      <c r="M3" s="342"/>
      <c r="N3" s="342"/>
      <c r="O3" s="285"/>
    </row>
    <row r="4" spans="1:25" ht="15.75" customHeight="1" x14ac:dyDescent="0.3">
      <c r="A4" s="201"/>
      <c r="B4" s="201"/>
      <c r="C4" s="202"/>
      <c r="D4" s="202"/>
      <c r="E4" s="201"/>
      <c r="F4" s="201"/>
      <c r="G4" s="201"/>
      <c r="H4" s="201"/>
      <c r="I4" s="203"/>
      <c r="J4" s="203"/>
      <c r="K4" s="204"/>
      <c r="L4" s="204"/>
      <c r="M4" s="204"/>
      <c r="N4" s="204"/>
      <c r="O4" s="204"/>
    </row>
    <row r="5" spans="1:25" ht="18" x14ac:dyDescent="0.35">
      <c r="G5" s="343" t="s">
        <v>262</v>
      </c>
      <c r="H5" s="343"/>
      <c r="I5" s="343"/>
      <c r="J5" s="343"/>
      <c r="K5" s="344"/>
      <c r="L5" s="344"/>
      <c r="M5" s="344"/>
      <c r="N5" s="344"/>
      <c r="O5" s="328"/>
    </row>
    <row r="6" spans="1:25" ht="18" x14ac:dyDescent="0.35">
      <c r="G6" s="209"/>
      <c r="H6" s="209"/>
      <c r="I6" s="209"/>
      <c r="J6" s="209"/>
      <c r="K6" s="286"/>
      <c r="L6" s="286"/>
      <c r="M6" s="286"/>
      <c r="N6" s="286"/>
      <c r="O6" s="328"/>
    </row>
    <row r="7" spans="1:25" ht="66" customHeight="1" x14ac:dyDescent="0.3">
      <c r="A7" s="210" t="s">
        <v>117</v>
      </c>
      <c r="B7" s="210" t="s">
        <v>118</v>
      </c>
      <c r="C7" s="211" t="s">
        <v>218</v>
      </c>
      <c r="D7" s="211" t="s">
        <v>263</v>
      </c>
      <c r="E7" s="210" t="s">
        <v>121</v>
      </c>
      <c r="F7" s="210" t="s">
        <v>242</v>
      </c>
      <c r="G7" s="210" t="s">
        <v>243</v>
      </c>
      <c r="H7" s="210" t="s">
        <v>126</v>
      </c>
      <c r="I7" s="210" t="s">
        <v>127</v>
      </c>
      <c r="J7" s="210" t="s">
        <v>128</v>
      </c>
      <c r="K7" s="287" t="s">
        <v>244</v>
      </c>
      <c r="L7" s="287" t="s">
        <v>268</v>
      </c>
      <c r="M7" s="287" t="s">
        <v>269</v>
      </c>
      <c r="N7" s="287" t="s">
        <v>130</v>
      </c>
      <c r="O7" s="287" t="s">
        <v>275</v>
      </c>
      <c r="P7" s="210" t="s">
        <v>245</v>
      </c>
      <c r="Q7" s="212"/>
      <c r="R7" s="212"/>
      <c r="S7" s="210" t="s">
        <v>247</v>
      </c>
      <c r="T7" s="210" t="s">
        <v>248</v>
      </c>
      <c r="U7" s="210" t="s">
        <v>249</v>
      </c>
      <c r="V7" s="210" t="s">
        <v>250</v>
      </c>
      <c r="W7" s="210" t="s">
        <v>251</v>
      </c>
      <c r="X7" s="210" t="s">
        <v>252</v>
      </c>
      <c r="Y7" s="210" t="s">
        <v>68</v>
      </c>
    </row>
    <row r="8" spans="1:25" s="228" customFormat="1" ht="15" x14ac:dyDescent="0.25">
      <c r="A8" s="215">
        <v>2220001</v>
      </c>
      <c r="B8" s="283" t="s">
        <v>12</v>
      </c>
      <c r="C8" s="330">
        <v>36.5</v>
      </c>
      <c r="D8" s="330">
        <v>36.5</v>
      </c>
      <c r="E8" s="217" t="s">
        <v>131</v>
      </c>
      <c r="F8" s="218">
        <v>0</v>
      </c>
      <c r="G8" s="219">
        <v>1271</v>
      </c>
      <c r="H8" s="219">
        <v>0</v>
      </c>
      <c r="I8" s="333">
        <f>1295-25</f>
        <v>1270</v>
      </c>
      <c r="J8" s="223">
        <v>0</v>
      </c>
      <c r="K8" s="237">
        <f t="shared" ref="K8:K39" si="0">F8+G8+H8-I8-J8</f>
        <v>1</v>
      </c>
      <c r="L8" s="336">
        <v>25</v>
      </c>
      <c r="M8" s="292">
        <v>15</v>
      </c>
      <c r="N8" s="237">
        <v>16</v>
      </c>
      <c r="O8" s="237"/>
      <c r="P8" s="225">
        <f>N8-K8</f>
        <v>15</v>
      </c>
      <c r="Q8" s="224"/>
      <c r="R8" s="224"/>
      <c r="S8" s="226">
        <f t="shared" ref="S8:S25" si="1">C8*F8</f>
        <v>0</v>
      </c>
      <c r="T8" s="227">
        <v>0</v>
      </c>
      <c r="U8" s="226">
        <f t="shared" ref="U8:U39" si="2">G8*D8</f>
        <v>46391.5</v>
      </c>
      <c r="V8" s="226">
        <f t="shared" ref="V8:V39" si="3">H8*D8</f>
        <v>0</v>
      </c>
      <c r="W8" s="226">
        <f t="shared" ref="W8:W39" si="4">I8*D8</f>
        <v>46355</v>
      </c>
      <c r="X8" s="226">
        <f t="shared" ref="X8:X39" si="5">J8*D8</f>
        <v>0</v>
      </c>
      <c r="Y8" s="226">
        <f t="shared" ref="Y8:Y39" si="6">S8+T8+U8+V8-W8-X8</f>
        <v>36.5</v>
      </c>
    </row>
    <row r="9" spans="1:25" s="228" customFormat="1" ht="15" x14ac:dyDescent="0.25">
      <c r="A9" s="215">
        <v>2220044</v>
      </c>
      <c r="B9" s="283" t="s">
        <v>132</v>
      </c>
      <c r="C9" s="330">
        <v>305</v>
      </c>
      <c r="D9" s="330">
        <v>305</v>
      </c>
      <c r="E9" s="217" t="s">
        <v>133</v>
      </c>
      <c r="F9" s="218">
        <v>0</v>
      </c>
      <c r="G9" s="219">
        <v>2500</v>
      </c>
      <c r="H9" s="219">
        <v>0</v>
      </c>
      <c r="I9" s="305">
        <v>2452</v>
      </c>
      <c r="J9" s="223">
        <v>0</v>
      </c>
      <c r="K9" s="237">
        <f t="shared" si="0"/>
        <v>48</v>
      </c>
      <c r="L9" s="336">
        <v>0</v>
      </c>
      <c r="N9" s="237">
        <v>48</v>
      </c>
      <c r="O9" s="237"/>
      <c r="P9" s="225">
        <f t="shared" ref="P9:P39" si="7">N9-K9</f>
        <v>0</v>
      </c>
      <c r="Q9" s="224"/>
      <c r="R9" s="224"/>
      <c r="S9" s="226">
        <f t="shared" si="1"/>
        <v>0</v>
      </c>
      <c r="T9" s="227">
        <v>0</v>
      </c>
      <c r="U9" s="226">
        <f t="shared" si="2"/>
        <v>762500</v>
      </c>
      <c r="V9" s="226">
        <f t="shared" si="3"/>
        <v>0</v>
      </c>
      <c r="W9" s="226">
        <f t="shared" si="4"/>
        <v>747860</v>
      </c>
      <c r="X9" s="226">
        <f t="shared" si="5"/>
        <v>0</v>
      </c>
      <c r="Y9" s="226">
        <f t="shared" si="6"/>
        <v>14640</v>
      </c>
    </row>
    <row r="10" spans="1:25" s="228" customFormat="1" ht="15" x14ac:dyDescent="0.25">
      <c r="A10" s="215">
        <v>2220002</v>
      </c>
      <c r="B10" s="283" t="s">
        <v>14</v>
      </c>
      <c r="C10" s="330">
        <v>57.3</v>
      </c>
      <c r="D10" s="330">
        <v>57.3</v>
      </c>
      <c r="E10" s="217" t="s">
        <v>131</v>
      </c>
      <c r="F10" s="229">
        <v>0</v>
      </c>
      <c r="G10" s="219">
        <v>2445</v>
      </c>
      <c r="H10" s="219">
        <v>0</v>
      </c>
      <c r="I10" s="333">
        <f>2612-167</f>
        <v>2445</v>
      </c>
      <c r="J10" s="223">
        <v>0</v>
      </c>
      <c r="K10" s="237">
        <f>F10+G10+H10-I10-J10</f>
        <v>0</v>
      </c>
      <c r="L10" s="336">
        <v>111</v>
      </c>
      <c r="M10" s="292">
        <v>90</v>
      </c>
      <c r="N10" s="237">
        <v>34</v>
      </c>
      <c r="O10" s="237"/>
      <c r="P10" s="225">
        <f t="shared" si="7"/>
        <v>34</v>
      </c>
      <c r="Q10" s="224"/>
      <c r="R10" s="224"/>
      <c r="S10" s="226">
        <f t="shared" si="1"/>
        <v>0</v>
      </c>
      <c r="T10" s="227">
        <v>0</v>
      </c>
      <c r="U10" s="226">
        <f t="shared" si="2"/>
        <v>140098.5</v>
      </c>
      <c r="V10" s="226">
        <f t="shared" si="3"/>
        <v>0</v>
      </c>
      <c r="W10" s="226">
        <f t="shared" si="4"/>
        <v>140098.5</v>
      </c>
      <c r="X10" s="226">
        <f t="shared" si="5"/>
        <v>0</v>
      </c>
      <c r="Y10" s="226">
        <f t="shared" si="6"/>
        <v>0</v>
      </c>
    </row>
    <row r="11" spans="1:25" s="228" customFormat="1" ht="15" x14ac:dyDescent="0.25">
      <c r="A11" s="215">
        <v>2220085</v>
      </c>
      <c r="B11" s="283" t="s">
        <v>134</v>
      </c>
      <c r="C11" s="330">
        <v>2725</v>
      </c>
      <c r="D11" s="330">
        <v>2725</v>
      </c>
      <c r="E11" s="217" t="s">
        <v>135</v>
      </c>
      <c r="F11" s="218">
        <v>1</v>
      </c>
      <c r="G11" s="219">
        <v>0</v>
      </c>
      <c r="H11" s="219">
        <v>0</v>
      </c>
      <c r="I11" s="305">
        <v>0</v>
      </c>
      <c r="J11" s="223">
        <v>0</v>
      </c>
      <c r="K11" s="237">
        <f t="shared" si="0"/>
        <v>1</v>
      </c>
      <c r="L11" s="336"/>
      <c r="M11" s="292"/>
      <c r="N11" s="237">
        <v>1</v>
      </c>
      <c r="O11" s="237"/>
      <c r="P11" s="225">
        <f t="shared" si="7"/>
        <v>0</v>
      </c>
      <c r="Q11" s="224"/>
      <c r="R11" s="224"/>
      <c r="S11" s="226">
        <f t="shared" si="1"/>
        <v>2725</v>
      </c>
      <c r="T11" s="227">
        <v>0</v>
      </c>
      <c r="U11" s="226">
        <f t="shared" si="2"/>
        <v>0</v>
      </c>
      <c r="V11" s="226">
        <f t="shared" si="3"/>
        <v>0</v>
      </c>
      <c r="W11" s="226">
        <f t="shared" si="4"/>
        <v>0</v>
      </c>
      <c r="X11" s="226">
        <f t="shared" si="5"/>
        <v>0</v>
      </c>
      <c r="Y11" s="226">
        <f t="shared" si="6"/>
        <v>2725</v>
      </c>
    </row>
    <row r="12" spans="1:25" s="228" customFormat="1" ht="15" x14ac:dyDescent="0.25">
      <c r="A12" s="215">
        <v>2220003</v>
      </c>
      <c r="B12" s="283" t="s">
        <v>136</v>
      </c>
      <c r="C12" s="330">
        <v>29.2</v>
      </c>
      <c r="D12" s="330">
        <v>29.2</v>
      </c>
      <c r="E12" s="217" t="s">
        <v>137</v>
      </c>
      <c r="F12" s="218">
        <v>0</v>
      </c>
      <c r="G12" s="219">
        <v>50</v>
      </c>
      <c r="H12" s="219">
        <v>0</v>
      </c>
      <c r="I12" s="333">
        <f>54.15-4.15</f>
        <v>50</v>
      </c>
      <c r="J12" s="223">
        <v>0</v>
      </c>
      <c r="K12" s="237">
        <f t="shared" si="0"/>
        <v>0</v>
      </c>
      <c r="L12" s="336">
        <v>3.15</v>
      </c>
      <c r="M12" s="292">
        <v>1.6</v>
      </c>
      <c r="N12" s="237">
        <v>0.6</v>
      </c>
      <c r="O12" s="237"/>
      <c r="P12" s="225">
        <f t="shared" si="7"/>
        <v>0.6</v>
      </c>
      <c r="Q12" s="224"/>
      <c r="R12" s="224"/>
      <c r="S12" s="226">
        <f t="shared" si="1"/>
        <v>0</v>
      </c>
      <c r="T12" s="227">
        <v>0</v>
      </c>
      <c r="U12" s="226">
        <f t="shared" si="2"/>
        <v>1460</v>
      </c>
      <c r="V12" s="226">
        <f t="shared" si="3"/>
        <v>0</v>
      </c>
      <c r="W12" s="226">
        <f t="shared" si="4"/>
        <v>1460</v>
      </c>
      <c r="X12" s="226">
        <f t="shared" si="5"/>
        <v>0</v>
      </c>
      <c r="Y12" s="226">
        <f t="shared" si="6"/>
        <v>0</v>
      </c>
    </row>
    <row r="13" spans="1:25" s="228" customFormat="1" ht="15" x14ac:dyDescent="0.25">
      <c r="A13" s="215">
        <v>2220030</v>
      </c>
      <c r="B13" s="283" t="s">
        <v>138</v>
      </c>
      <c r="C13" s="330">
        <v>62.5</v>
      </c>
      <c r="D13" s="330">
        <v>62.5</v>
      </c>
      <c r="E13" s="217" t="s">
        <v>137</v>
      </c>
      <c r="F13" s="218">
        <v>0</v>
      </c>
      <c r="G13" s="219">
        <v>43</v>
      </c>
      <c r="H13" s="219">
        <v>0</v>
      </c>
      <c r="I13" s="305">
        <v>26</v>
      </c>
      <c r="J13" s="223">
        <v>0</v>
      </c>
      <c r="K13" s="237">
        <f t="shared" si="0"/>
        <v>17</v>
      </c>
      <c r="L13" s="336"/>
      <c r="M13" s="292"/>
      <c r="N13" s="237">
        <v>17</v>
      </c>
      <c r="O13" s="237"/>
      <c r="P13" s="225">
        <f t="shared" si="7"/>
        <v>0</v>
      </c>
      <c r="Q13" s="224"/>
      <c r="R13" s="224"/>
      <c r="S13" s="226">
        <f t="shared" si="1"/>
        <v>0</v>
      </c>
      <c r="T13" s="227">
        <v>0</v>
      </c>
      <c r="U13" s="226">
        <f t="shared" si="2"/>
        <v>2687.5</v>
      </c>
      <c r="V13" s="226">
        <f t="shared" si="3"/>
        <v>0</v>
      </c>
      <c r="W13" s="226">
        <f t="shared" si="4"/>
        <v>1625</v>
      </c>
      <c r="X13" s="226">
        <f t="shared" si="5"/>
        <v>0</v>
      </c>
      <c r="Y13" s="226">
        <f t="shared" si="6"/>
        <v>1062.5</v>
      </c>
    </row>
    <row r="14" spans="1:25" s="228" customFormat="1" ht="15" x14ac:dyDescent="0.25">
      <c r="A14" s="215">
        <v>2220138</v>
      </c>
      <c r="B14" s="283" t="s">
        <v>139</v>
      </c>
      <c r="C14" s="330">
        <v>1100</v>
      </c>
      <c r="D14" s="330">
        <v>1100</v>
      </c>
      <c r="E14" s="217" t="s">
        <v>135</v>
      </c>
      <c r="F14" s="218">
        <v>0</v>
      </c>
      <c r="G14" s="219">
        <v>14</v>
      </c>
      <c r="H14" s="219">
        <v>0</v>
      </c>
      <c r="I14" s="305">
        <v>11</v>
      </c>
      <c r="J14" s="223">
        <v>0</v>
      </c>
      <c r="K14" s="237">
        <f t="shared" si="0"/>
        <v>3</v>
      </c>
      <c r="L14" s="336"/>
      <c r="M14" s="292"/>
      <c r="N14" s="237">
        <v>3</v>
      </c>
      <c r="O14" s="237"/>
      <c r="P14" s="225">
        <f t="shared" si="7"/>
        <v>0</v>
      </c>
      <c r="Q14" s="224"/>
      <c r="R14" s="224"/>
      <c r="S14" s="226">
        <f t="shared" si="1"/>
        <v>0</v>
      </c>
      <c r="T14" s="227">
        <v>0</v>
      </c>
      <c r="U14" s="226">
        <f t="shared" si="2"/>
        <v>15400</v>
      </c>
      <c r="V14" s="226">
        <f t="shared" si="3"/>
        <v>0</v>
      </c>
      <c r="W14" s="226">
        <f t="shared" si="4"/>
        <v>12100</v>
      </c>
      <c r="X14" s="226">
        <f t="shared" si="5"/>
        <v>0</v>
      </c>
      <c r="Y14" s="226">
        <f t="shared" si="6"/>
        <v>3300</v>
      </c>
    </row>
    <row r="15" spans="1:25" ht="15" x14ac:dyDescent="0.25">
      <c r="A15" s="215">
        <v>2220046</v>
      </c>
      <c r="B15" s="283" t="s">
        <v>140</v>
      </c>
      <c r="C15" s="330">
        <v>1250</v>
      </c>
      <c r="D15" s="330">
        <v>1250</v>
      </c>
      <c r="E15" s="217" t="s">
        <v>135</v>
      </c>
      <c r="F15" s="218">
        <v>0</v>
      </c>
      <c r="G15" s="219">
        <v>0</v>
      </c>
      <c r="H15" s="219">
        <v>0</v>
      </c>
      <c r="I15" s="305">
        <v>0</v>
      </c>
      <c r="J15" s="223">
        <v>0</v>
      </c>
      <c r="K15" s="237">
        <f t="shared" si="0"/>
        <v>0</v>
      </c>
      <c r="L15" s="336"/>
      <c r="M15" s="292"/>
      <c r="N15" s="237">
        <v>0</v>
      </c>
      <c r="O15" s="237"/>
      <c r="P15" s="225">
        <f t="shared" si="7"/>
        <v>0</v>
      </c>
      <c r="Q15" s="224"/>
      <c r="R15" s="224"/>
      <c r="S15" s="226">
        <f t="shared" si="1"/>
        <v>0</v>
      </c>
      <c r="T15" s="227">
        <v>0</v>
      </c>
      <c r="U15" s="226">
        <f t="shared" si="2"/>
        <v>0</v>
      </c>
      <c r="V15" s="226">
        <f t="shared" si="3"/>
        <v>0</v>
      </c>
      <c r="W15" s="226">
        <f t="shared" si="4"/>
        <v>0</v>
      </c>
      <c r="X15" s="226">
        <f t="shared" si="5"/>
        <v>0</v>
      </c>
      <c r="Y15" s="226">
        <f t="shared" si="6"/>
        <v>0</v>
      </c>
    </row>
    <row r="16" spans="1:25" ht="15" x14ac:dyDescent="0.25">
      <c r="A16" s="215">
        <v>2220134</v>
      </c>
      <c r="B16" s="283" t="s">
        <v>141</v>
      </c>
      <c r="C16" s="330">
        <v>1197.1199999999999</v>
      </c>
      <c r="D16" s="330">
        <v>1197.1199999999999</v>
      </c>
      <c r="E16" s="217" t="s">
        <v>133</v>
      </c>
      <c r="F16" s="218">
        <v>0</v>
      </c>
      <c r="G16" s="219">
        <v>0</v>
      </c>
      <c r="H16" s="219">
        <v>0</v>
      </c>
      <c r="I16" s="305">
        <v>0</v>
      </c>
      <c r="J16" s="223">
        <v>0</v>
      </c>
      <c r="K16" s="237">
        <f t="shared" si="0"/>
        <v>0</v>
      </c>
      <c r="L16" s="336"/>
      <c r="M16" s="292"/>
      <c r="N16" s="237">
        <v>0</v>
      </c>
      <c r="O16" s="237"/>
      <c r="P16" s="225">
        <f t="shared" si="7"/>
        <v>0</v>
      </c>
      <c r="Q16" s="224"/>
      <c r="R16" s="224"/>
      <c r="S16" s="226">
        <f t="shared" si="1"/>
        <v>0</v>
      </c>
      <c r="T16" s="227">
        <v>0</v>
      </c>
      <c r="U16" s="226">
        <f t="shared" si="2"/>
        <v>0</v>
      </c>
      <c r="V16" s="226">
        <f t="shared" si="3"/>
        <v>0</v>
      </c>
      <c r="W16" s="226">
        <f t="shared" si="4"/>
        <v>0</v>
      </c>
      <c r="X16" s="226">
        <f t="shared" si="5"/>
        <v>0</v>
      </c>
      <c r="Y16" s="226">
        <f t="shared" si="6"/>
        <v>0</v>
      </c>
    </row>
    <row r="17" spans="1:25" ht="15" x14ac:dyDescent="0.25">
      <c r="A17" s="215">
        <v>2220094</v>
      </c>
      <c r="B17" s="283" t="s">
        <v>142</v>
      </c>
      <c r="C17" s="330">
        <v>850</v>
      </c>
      <c r="D17" s="330">
        <v>850</v>
      </c>
      <c r="E17" s="217" t="s">
        <v>133</v>
      </c>
      <c r="F17" s="218">
        <v>0</v>
      </c>
      <c r="G17" s="219">
        <v>0</v>
      </c>
      <c r="H17" s="219">
        <v>0</v>
      </c>
      <c r="I17" s="305">
        <v>0</v>
      </c>
      <c r="J17" s="223">
        <v>0</v>
      </c>
      <c r="K17" s="237">
        <f t="shared" si="0"/>
        <v>0</v>
      </c>
      <c r="L17" s="336"/>
      <c r="M17" s="292"/>
      <c r="N17" s="237">
        <v>0</v>
      </c>
      <c r="O17" s="237"/>
      <c r="P17" s="225">
        <f t="shared" si="7"/>
        <v>0</v>
      </c>
      <c r="Q17" s="231"/>
      <c r="R17" s="231"/>
      <c r="S17" s="226">
        <f t="shared" si="1"/>
        <v>0</v>
      </c>
      <c r="T17" s="227">
        <v>0</v>
      </c>
      <c r="U17" s="226">
        <f t="shared" si="2"/>
        <v>0</v>
      </c>
      <c r="V17" s="226">
        <f t="shared" si="3"/>
        <v>0</v>
      </c>
      <c r="W17" s="226">
        <f t="shared" si="4"/>
        <v>0</v>
      </c>
      <c r="X17" s="226">
        <f t="shared" si="5"/>
        <v>0</v>
      </c>
      <c r="Y17" s="226">
        <f t="shared" si="6"/>
        <v>0</v>
      </c>
    </row>
    <row r="18" spans="1:25" ht="15" x14ac:dyDescent="0.25">
      <c r="A18" s="215">
        <v>2220004</v>
      </c>
      <c r="B18" s="283" t="s">
        <v>16</v>
      </c>
      <c r="C18" s="330">
        <v>39.1</v>
      </c>
      <c r="D18" s="330">
        <v>39.1</v>
      </c>
      <c r="E18" s="217" t="s">
        <v>137</v>
      </c>
      <c r="F18" s="218">
        <v>0</v>
      </c>
      <c r="G18" s="219">
        <v>269</v>
      </c>
      <c r="H18" s="219">
        <v>0</v>
      </c>
      <c r="I18" s="333">
        <v>257.16000000000003</v>
      </c>
      <c r="J18" s="223">
        <v>0</v>
      </c>
      <c r="K18" s="237">
        <f t="shared" si="0"/>
        <v>11.839999999999975</v>
      </c>
      <c r="L18" s="336">
        <v>-2.15</v>
      </c>
      <c r="M18" s="292">
        <v>-6.66</v>
      </c>
      <c r="N18" s="237">
        <v>3</v>
      </c>
      <c r="O18" s="237"/>
      <c r="P18" s="225">
        <f t="shared" si="7"/>
        <v>-8.839999999999975</v>
      </c>
      <c r="Q18" s="231"/>
      <c r="R18" s="231"/>
      <c r="S18" s="226">
        <f t="shared" si="1"/>
        <v>0</v>
      </c>
      <c r="T18" s="227">
        <v>0</v>
      </c>
      <c r="U18" s="226">
        <f t="shared" si="2"/>
        <v>10517.9</v>
      </c>
      <c r="V18" s="226">
        <f t="shared" si="3"/>
        <v>0</v>
      </c>
      <c r="W18" s="226">
        <f t="shared" si="4"/>
        <v>10054.956000000002</v>
      </c>
      <c r="X18" s="226">
        <f t="shared" si="5"/>
        <v>0</v>
      </c>
      <c r="Y18" s="226">
        <f t="shared" si="6"/>
        <v>462.94399999999769</v>
      </c>
    </row>
    <row r="19" spans="1:25" ht="15" x14ac:dyDescent="0.25">
      <c r="A19" s="215">
        <v>2220005</v>
      </c>
      <c r="B19" s="283" t="s">
        <v>62</v>
      </c>
      <c r="C19" s="330">
        <v>93.5</v>
      </c>
      <c r="D19" s="330">
        <v>93.5</v>
      </c>
      <c r="E19" s="217" t="s">
        <v>137</v>
      </c>
      <c r="F19" s="218">
        <v>2.6645352591003757E-15</v>
      </c>
      <c r="G19" s="219">
        <v>65</v>
      </c>
      <c r="H19" s="219">
        <v>0</v>
      </c>
      <c r="I19" s="333">
        <f>66.65-1.65</f>
        <v>65</v>
      </c>
      <c r="J19" s="223">
        <v>0</v>
      </c>
      <c r="K19" s="237">
        <f t="shared" si="0"/>
        <v>0</v>
      </c>
      <c r="L19" s="336"/>
      <c r="M19" s="292"/>
      <c r="N19" s="237">
        <v>2.85</v>
      </c>
      <c r="O19" s="237"/>
      <c r="P19" s="225">
        <f t="shared" si="7"/>
        <v>2.85</v>
      </c>
      <c r="Q19" s="231"/>
      <c r="R19" s="231"/>
      <c r="S19" s="226">
        <f t="shared" si="1"/>
        <v>2.4913404672588513E-13</v>
      </c>
      <c r="T19" s="227">
        <v>0</v>
      </c>
      <c r="U19" s="226">
        <f t="shared" si="2"/>
        <v>6077.5</v>
      </c>
      <c r="V19" s="226">
        <f t="shared" si="3"/>
        <v>0</v>
      </c>
      <c r="W19" s="226">
        <f t="shared" si="4"/>
        <v>6077.5</v>
      </c>
      <c r="X19" s="226">
        <f t="shared" si="5"/>
        <v>0</v>
      </c>
      <c r="Y19" s="226">
        <f t="shared" si="6"/>
        <v>0</v>
      </c>
    </row>
    <row r="20" spans="1:25" ht="15" x14ac:dyDescent="0.25">
      <c r="A20" s="215">
        <v>2220006</v>
      </c>
      <c r="B20" s="283" t="s">
        <v>17</v>
      </c>
      <c r="C20" s="330">
        <v>36.5</v>
      </c>
      <c r="D20" s="330">
        <v>36.5</v>
      </c>
      <c r="E20" s="217" t="s">
        <v>137</v>
      </c>
      <c r="F20" s="218">
        <v>4.9999999999954499E-3</v>
      </c>
      <c r="G20" s="219">
        <v>182</v>
      </c>
      <c r="H20" s="219">
        <v>0</v>
      </c>
      <c r="I20" s="333">
        <f>182.75-0.75</f>
        <v>182</v>
      </c>
      <c r="J20" s="223">
        <v>0</v>
      </c>
      <c r="K20" s="237">
        <f t="shared" si="0"/>
        <v>4.9999999999954525E-3</v>
      </c>
      <c r="L20" s="336">
        <v>-3.25</v>
      </c>
      <c r="M20" s="292">
        <v>6.99</v>
      </c>
      <c r="N20" s="237">
        <v>2</v>
      </c>
      <c r="O20" s="237"/>
      <c r="P20" s="225">
        <f t="shared" si="7"/>
        <v>1.9950000000000045</v>
      </c>
      <c r="Q20" s="231"/>
      <c r="R20" s="231"/>
      <c r="S20" s="226">
        <f t="shared" si="1"/>
        <v>0.18249999999983393</v>
      </c>
      <c r="T20" s="227">
        <v>0</v>
      </c>
      <c r="U20" s="226">
        <f t="shared" si="2"/>
        <v>6643</v>
      </c>
      <c r="V20" s="226">
        <f t="shared" si="3"/>
        <v>0</v>
      </c>
      <c r="W20" s="226">
        <f t="shared" si="4"/>
        <v>6643</v>
      </c>
      <c r="X20" s="226">
        <f t="shared" si="5"/>
        <v>0</v>
      </c>
      <c r="Y20" s="226">
        <f t="shared" si="6"/>
        <v>0.18249999999989086</v>
      </c>
    </row>
    <row r="21" spans="1:25" ht="15" x14ac:dyDescent="0.25">
      <c r="A21" s="215">
        <v>2220089</v>
      </c>
      <c r="B21" s="283" t="s">
        <v>143</v>
      </c>
      <c r="C21" s="330">
        <v>420</v>
      </c>
      <c r="D21" s="330">
        <v>420</v>
      </c>
      <c r="E21" s="217" t="s">
        <v>137</v>
      </c>
      <c r="F21" s="218">
        <v>0</v>
      </c>
      <c r="G21" s="219">
        <v>0</v>
      </c>
      <c r="H21" s="219">
        <v>0</v>
      </c>
      <c r="I21" s="305">
        <v>0</v>
      </c>
      <c r="J21" s="223">
        <v>0</v>
      </c>
      <c r="K21" s="237">
        <f t="shared" si="0"/>
        <v>0</v>
      </c>
      <c r="L21" s="336"/>
      <c r="M21" s="292"/>
      <c r="N21" s="237">
        <v>0</v>
      </c>
      <c r="O21" s="237"/>
      <c r="P21" s="225">
        <f t="shared" si="7"/>
        <v>0</v>
      </c>
      <c r="Q21" s="231"/>
      <c r="R21" s="231"/>
      <c r="S21" s="226">
        <f t="shared" si="1"/>
        <v>0</v>
      </c>
      <c r="T21" s="227">
        <v>0</v>
      </c>
      <c r="U21" s="226">
        <f t="shared" si="2"/>
        <v>0</v>
      </c>
      <c r="V21" s="226">
        <f t="shared" si="3"/>
        <v>0</v>
      </c>
      <c r="W21" s="226">
        <f t="shared" si="4"/>
        <v>0</v>
      </c>
      <c r="X21" s="226">
        <f t="shared" si="5"/>
        <v>0</v>
      </c>
      <c r="Y21" s="226">
        <f t="shared" si="6"/>
        <v>0</v>
      </c>
    </row>
    <row r="22" spans="1:25" ht="15" x14ac:dyDescent="0.25">
      <c r="A22" s="215">
        <v>2220072</v>
      </c>
      <c r="B22" s="283" t="s">
        <v>144</v>
      </c>
      <c r="C22" s="330">
        <v>350</v>
      </c>
      <c r="D22" s="330">
        <v>350</v>
      </c>
      <c r="E22" s="217" t="s">
        <v>133</v>
      </c>
      <c r="F22" s="218">
        <v>1</v>
      </c>
      <c r="G22" s="219">
        <v>0</v>
      </c>
      <c r="H22" s="219">
        <v>0</v>
      </c>
      <c r="I22" s="305">
        <v>0</v>
      </c>
      <c r="J22" s="223">
        <v>0</v>
      </c>
      <c r="K22" s="237">
        <f t="shared" si="0"/>
        <v>1</v>
      </c>
      <c r="L22" s="336"/>
      <c r="M22" s="292"/>
      <c r="N22" s="237">
        <v>1</v>
      </c>
      <c r="O22" s="237"/>
      <c r="P22" s="225">
        <f t="shared" si="7"/>
        <v>0</v>
      </c>
      <c r="Q22" s="231"/>
      <c r="R22" s="231"/>
      <c r="S22" s="226">
        <f t="shared" si="1"/>
        <v>350</v>
      </c>
      <c r="T22" s="227">
        <v>0</v>
      </c>
      <c r="U22" s="226">
        <f t="shared" si="2"/>
        <v>0</v>
      </c>
      <c r="V22" s="226">
        <f t="shared" si="3"/>
        <v>0</v>
      </c>
      <c r="W22" s="226">
        <f t="shared" si="4"/>
        <v>0</v>
      </c>
      <c r="X22" s="226">
        <f t="shared" si="5"/>
        <v>0</v>
      </c>
      <c r="Y22" s="226">
        <f t="shared" si="6"/>
        <v>350</v>
      </c>
    </row>
    <row r="23" spans="1:25" ht="15" x14ac:dyDescent="0.25">
      <c r="A23" s="215">
        <v>2220090</v>
      </c>
      <c r="B23" s="283" t="s">
        <v>145</v>
      </c>
      <c r="C23" s="330">
        <v>520</v>
      </c>
      <c r="D23" s="330">
        <v>520</v>
      </c>
      <c r="E23" s="217" t="s">
        <v>137</v>
      </c>
      <c r="F23" s="218">
        <v>0</v>
      </c>
      <c r="G23" s="219">
        <v>0</v>
      </c>
      <c r="H23" s="219">
        <v>0</v>
      </c>
      <c r="I23" s="305">
        <v>0</v>
      </c>
      <c r="J23" s="223">
        <v>0</v>
      </c>
      <c r="K23" s="237">
        <f t="shared" si="0"/>
        <v>0</v>
      </c>
      <c r="L23" s="336"/>
      <c r="M23" s="292"/>
      <c r="N23" s="237">
        <v>0</v>
      </c>
      <c r="O23" s="237"/>
      <c r="P23" s="225">
        <f t="shared" si="7"/>
        <v>0</v>
      </c>
      <c r="Q23" s="231"/>
      <c r="R23" s="231"/>
      <c r="S23" s="226">
        <f t="shared" si="1"/>
        <v>0</v>
      </c>
      <c r="T23" s="227">
        <v>0</v>
      </c>
      <c r="U23" s="226">
        <f t="shared" si="2"/>
        <v>0</v>
      </c>
      <c r="V23" s="226">
        <f t="shared" si="3"/>
        <v>0</v>
      </c>
      <c r="W23" s="226">
        <f t="shared" si="4"/>
        <v>0</v>
      </c>
      <c r="X23" s="226">
        <f t="shared" si="5"/>
        <v>0</v>
      </c>
      <c r="Y23" s="226">
        <f t="shared" si="6"/>
        <v>0</v>
      </c>
    </row>
    <row r="24" spans="1:25" ht="15" x14ac:dyDescent="0.25">
      <c r="A24" s="215">
        <v>2220007</v>
      </c>
      <c r="B24" s="283" t="s">
        <v>37</v>
      </c>
      <c r="C24" s="330">
        <v>85.5</v>
      </c>
      <c r="D24" s="330">
        <v>85.5</v>
      </c>
      <c r="E24" s="217" t="s">
        <v>137</v>
      </c>
      <c r="F24" s="218">
        <v>0</v>
      </c>
      <c r="G24" s="219">
        <v>66.5</v>
      </c>
      <c r="H24" s="219">
        <v>0</v>
      </c>
      <c r="I24" s="333">
        <f>68.7-2.2</f>
        <v>66.5</v>
      </c>
      <c r="J24" s="223">
        <v>0</v>
      </c>
      <c r="K24" s="237">
        <f t="shared" si="0"/>
        <v>0</v>
      </c>
      <c r="L24" s="336">
        <v>1.1000000000000001</v>
      </c>
      <c r="M24" s="292">
        <v>2.2999999999999998</v>
      </c>
      <c r="N24" s="237">
        <v>1.4</v>
      </c>
      <c r="O24" s="237"/>
      <c r="P24" s="225">
        <f t="shared" si="7"/>
        <v>1.4</v>
      </c>
      <c r="Q24" s="231"/>
      <c r="R24" s="231"/>
      <c r="S24" s="226">
        <f t="shared" si="1"/>
        <v>0</v>
      </c>
      <c r="T24" s="227">
        <v>0</v>
      </c>
      <c r="U24" s="226">
        <f t="shared" si="2"/>
        <v>5685.75</v>
      </c>
      <c r="V24" s="226">
        <f t="shared" si="3"/>
        <v>0</v>
      </c>
      <c r="W24" s="226">
        <f t="shared" si="4"/>
        <v>5685.75</v>
      </c>
      <c r="X24" s="226">
        <f t="shared" si="5"/>
        <v>0</v>
      </c>
      <c r="Y24" s="226">
        <f t="shared" si="6"/>
        <v>0</v>
      </c>
    </row>
    <row r="25" spans="1:25" ht="30" x14ac:dyDescent="0.25">
      <c r="A25" s="215">
        <v>2220050</v>
      </c>
      <c r="B25" s="283" t="s">
        <v>146</v>
      </c>
      <c r="C25" s="330">
        <v>1392</v>
      </c>
      <c r="D25" s="330">
        <v>1200</v>
      </c>
      <c r="E25" s="217" t="s">
        <v>135</v>
      </c>
      <c r="F25" s="363">
        <v>0</v>
      </c>
      <c r="G25" s="219">
        <v>37</v>
      </c>
      <c r="H25" s="219">
        <v>0</v>
      </c>
      <c r="I25" s="305">
        <v>17</v>
      </c>
      <c r="J25" s="223">
        <v>0</v>
      </c>
      <c r="K25" s="237">
        <f t="shared" si="0"/>
        <v>20</v>
      </c>
      <c r="L25" s="336"/>
      <c r="M25" s="292"/>
      <c r="N25" s="237">
        <v>20</v>
      </c>
      <c r="O25" s="237"/>
      <c r="P25" s="225">
        <f t="shared" si="7"/>
        <v>0</v>
      </c>
      <c r="Q25" s="231"/>
      <c r="R25" s="231"/>
      <c r="S25" s="226">
        <f t="shared" si="1"/>
        <v>0</v>
      </c>
      <c r="T25" s="227">
        <v>0</v>
      </c>
      <c r="U25" s="226">
        <f t="shared" si="2"/>
        <v>44400</v>
      </c>
      <c r="V25" s="226">
        <f t="shared" si="3"/>
        <v>0</v>
      </c>
      <c r="W25" s="226">
        <f t="shared" si="4"/>
        <v>20400</v>
      </c>
      <c r="X25" s="226">
        <f t="shared" si="5"/>
        <v>0</v>
      </c>
      <c r="Y25" s="226">
        <f t="shared" si="6"/>
        <v>24000</v>
      </c>
    </row>
    <row r="26" spans="1:25" ht="15" x14ac:dyDescent="0.25">
      <c r="A26" s="215">
        <v>2220042</v>
      </c>
      <c r="B26" s="283" t="s">
        <v>147</v>
      </c>
      <c r="C26" s="330">
        <v>215</v>
      </c>
      <c r="D26" s="330">
        <v>215</v>
      </c>
      <c r="E26" s="217" t="s">
        <v>137</v>
      </c>
      <c r="F26" s="218">
        <v>-2.2737367544323206E-13</v>
      </c>
      <c r="G26" s="219">
        <v>3000</v>
      </c>
      <c r="H26" s="219">
        <v>0</v>
      </c>
      <c r="I26" s="305">
        <f>3063.1-63.1</f>
        <v>3000</v>
      </c>
      <c r="J26" s="223">
        <v>0</v>
      </c>
      <c r="K26" s="237">
        <f t="shared" si="0"/>
        <v>0</v>
      </c>
      <c r="L26" s="336">
        <v>273.60000000000002</v>
      </c>
      <c r="M26" s="292"/>
      <c r="N26" s="237">
        <v>0</v>
      </c>
      <c r="O26" s="237"/>
      <c r="P26" s="225">
        <f t="shared" si="7"/>
        <v>0</v>
      </c>
      <c r="Q26" s="231"/>
      <c r="R26" s="231"/>
      <c r="S26" s="226">
        <v>0</v>
      </c>
      <c r="T26" s="227">
        <v>0</v>
      </c>
      <c r="U26" s="226">
        <f t="shared" si="2"/>
        <v>645000</v>
      </c>
      <c r="V26" s="226">
        <f t="shared" si="3"/>
        <v>0</v>
      </c>
      <c r="W26" s="226">
        <f t="shared" si="4"/>
        <v>645000</v>
      </c>
      <c r="X26" s="226">
        <f t="shared" si="5"/>
        <v>0</v>
      </c>
      <c r="Y26" s="226">
        <f t="shared" si="6"/>
        <v>0</v>
      </c>
    </row>
    <row r="27" spans="1:25" ht="15" x14ac:dyDescent="0.25">
      <c r="A27" s="215">
        <v>2220068</v>
      </c>
      <c r="B27" s="283" t="s">
        <v>148</v>
      </c>
      <c r="C27" s="330">
        <v>519.67999999999995</v>
      </c>
      <c r="D27" s="330">
        <v>519.67999999999995</v>
      </c>
      <c r="E27" s="217" t="s">
        <v>133</v>
      </c>
      <c r="F27" s="218">
        <v>5</v>
      </c>
      <c r="G27" s="219">
        <v>0</v>
      </c>
      <c r="H27" s="219">
        <v>0</v>
      </c>
      <c r="I27" s="305">
        <v>0</v>
      </c>
      <c r="J27" s="223">
        <v>0</v>
      </c>
      <c r="K27" s="237">
        <f t="shared" si="0"/>
        <v>5</v>
      </c>
      <c r="L27" s="336"/>
      <c r="M27" s="292"/>
      <c r="N27" s="237">
        <v>5</v>
      </c>
      <c r="O27" s="237"/>
      <c r="P27" s="225">
        <f t="shared" si="7"/>
        <v>0</v>
      </c>
      <c r="Q27" s="231"/>
      <c r="R27" s="231"/>
      <c r="S27" s="226">
        <f>C27*F27</f>
        <v>2598.3999999999996</v>
      </c>
      <c r="T27" s="227">
        <v>0</v>
      </c>
      <c r="U27" s="226">
        <f t="shared" si="2"/>
        <v>0</v>
      </c>
      <c r="V27" s="226">
        <f t="shared" si="3"/>
        <v>0</v>
      </c>
      <c r="W27" s="226">
        <f t="shared" si="4"/>
        <v>0</v>
      </c>
      <c r="X27" s="226">
        <f t="shared" si="5"/>
        <v>0</v>
      </c>
      <c r="Y27" s="226">
        <f t="shared" si="6"/>
        <v>2598.3999999999996</v>
      </c>
    </row>
    <row r="28" spans="1:25" ht="15" x14ac:dyDescent="0.25">
      <c r="A28" s="215">
        <v>2220008</v>
      </c>
      <c r="B28" s="283" t="s">
        <v>18</v>
      </c>
      <c r="C28" s="330">
        <v>40</v>
      </c>
      <c r="D28" s="330">
        <v>40</v>
      </c>
      <c r="E28" s="217" t="s">
        <v>137</v>
      </c>
      <c r="F28" s="218">
        <v>-2.886579864025407E-15</v>
      </c>
      <c r="G28" s="219">
        <v>178</v>
      </c>
      <c r="H28" s="219">
        <v>0</v>
      </c>
      <c r="I28" s="333">
        <f>181.4-3.4</f>
        <v>178</v>
      </c>
      <c r="J28" s="223">
        <v>0</v>
      </c>
      <c r="K28" s="237">
        <f t="shared" si="0"/>
        <v>0</v>
      </c>
      <c r="L28" s="336">
        <v>2.2000000000000002</v>
      </c>
      <c r="M28" s="292">
        <v>6</v>
      </c>
      <c r="N28" s="237">
        <v>2</v>
      </c>
      <c r="O28" s="237"/>
      <c r="P28" s="225">
        <f t="shared" si="7"/>
        <v>2</v>
      </c>
      <c r="Q28" s="231"/>
      <c r="R28" s="231"/>
      <c r="S28" s="226">
        <v>0</v>
      </c>
      <c r="T28" s="227">
        <v>0</v>
      </c>
      <c r="U28" s="226">
        <f t="shared" si="2"/>
        <v>7120</v>
      </c>
      <c r="V28" s="226">
        <f t="shared" si="3"/>
        <v>0</v>
      </c>
      <c r="W28" s="226">
        <f t="shared" si="4"/>
        <v>7120</v>
      </c>
      <c r="X28" s="226">
        <f t="shared" si="5"/>
        <v>0</v>
      </c>
      <c r="Y28" s="226">
        <f t="shared" si="6"/>
        <v>0</v>
      </c>
    </row>
    <row r="29" spans="1:25" ht="30" x14ac:dyDescent="0.25">
      <c r="A29" s="215">
        <v>2220066</v>
      </c>
      <c r="B29" s="283" t="s">
        <v>149</v>
      </c>
      <c r="C29" s="330">
        <v>510</v>
      </c>
      <c r="D29" s="330">
        <v>510</v>
      </c>
      <c r="E29" s="217" t="s">
        <v>133</v>
      </c>
      <c r="F29" s="218">
        <v>0</v>
      </c>
      <c r="G29" s="219">
        <v>0</v>
      </c>
      <c r="H29" s="219">
        <v>0</v>
      </c>
      <c r="I29" s="305">
        <v>0</v>
      </c>
      <c r="J29" s="223">
        <v>0</v>
      </c>
      <c r="K29" s="237">
        <f t="shared" si="0"/>
        <v>0</v>
      </c>
      <c r="L29" s="336"/>
      <c r="M29" s="292"/>
      <c r="N29" s="237">
        <v>0</v>
      </c>
      <c r="O29" s="237"/>
      <c r="P29" s="225">
        <f t="shared" si="7"/>
        <v>0</v>
      </c>
      <c r="Q29" s="231"/>
      <c r="R29" s="231"/>
      <c r="S29" s="226">
        <f>C29*F29</f>
        <v>0</v>
      </c>
      <c r="T29" s="227">
        <v>0</v>
      </c>
      <c r="U29" s="226">
        <f t="shared" si="2"/>
        <v>0</v>
      </c>
      <c r="V29" s="226">
        <f t="shared" si="3"/>
        <v>0</v>
      </c>
      <c r="W29" s="226">
        <f t="shared" si="4"/>
        <v>0</v>
      </c>
      <c r="X29" s="226">
        <f t="shared" si="5"/>
        <v>0</v>
      </c>
      <c r="Y29" s="226">
        <f t="shared" si="6"/>
        <v>0</v>
      </c>
    </row>
    <row r="30" spans="1:25" ht="15" x14ac:dyDescent="0.25">
      <c r="A30" s="215">
        <v>2220009</v>
      </c>
      <c r="B30" s="283" t="s">
        <v>19</v>
      </c>
      <c r="C30" s="330">
        <v>41.5</v>
      </c>
      <c r="D30" s="330">
        <v>41.5</v>
      </c>
      <c r="E30" s="217" t="s">
        <v>137</v>
      </c>
      <c r="F30" s="218">
        <v>-5.3290705182007514E-15</v>
      </c>
      <c r="G30" s="219">
        <v>28.4</v>
      </c>
      <c r="H30" s="219">
        <v>0</v>
      </c>
      <c r="I30" s="333">
        <f>31.36-2.96</f>
        <v>28.4</v>
      </c>
      <c r="J30" s="223">
        <v>0</v>
      </c>
      <c r="K30" s="237">
        <f t="shared" si="0"/>
        <v>-7.1054273576010019E-15</v>
      </c>
      <c r="L30" s="336">
        <v>2.25</v>
      </c>
      <c r="M30" s="292">
        <v>0.9</v>
      </c>
      <c r="N30" s="237">
        <v>0.25</v>
      </c>
      <c r="O30" s="237"/>
      <c r="P30" s="225">
        <f t="shared" si="7"/>
        <v>0.25000000000000711</v>
      </c>
      <c r="Q30" s="231"/>
      <c r="R30" s="231"/>
      <c r="S30" s="226">
        <v>0</v>
      </c>
      <c r="T30" s="227">
        <v>0</v>
      </c>
      <c r="U30" s="226">
        <f t="shared" si="2"/>
        <v>1178.5999999999999</v>
      </c>
      <c r="V30" s="226">
        <f t="shared" si="3"/>
        <v>0</v>
      </c>
      <c r="W30" s="226">
        <f t="shared" si="4"/>
        <v>1178.5999999999999</v>
      </c>
      <c r="X30" s="226">
        <f t="shared" si="5"/>
        <v>0</v>
      </c>
      <c r="Y30" s="226">
        <f t="shared" si="6"/>
        <v>0</v>
      </c>
    </row>
    <row r="31" spans="1:25" ht="15" x14ac:dyDescent="0.25">
      <c r="A31" s="215">
        <v>2220010</v>
      </c>
      <c r="B31" s="283" t="s">
        <v>72</v>
      </c>
      <c r="C31" s="330">
        <v>20.7</v>
      </c>
      <c r="D31" s="330">
        <v>20.7</v>
      </c>
      <c r="E31" s="217" t="s">
        <v>131</v>
      </c>
      <c r="F31" s="218">
        <v>0</v>
      </c>
      <c r="G31" s="219">
        <v>340</v>
      </c>
      <c r="H31" s="219">
        <v>0</v>
      </c>
      <c r="I31" s="333">
        <v>321</v>
      </c>
      <c r="J31" s="223">
        <v>0</v>
      </c>
      <c r="K31" s="237">
        <f t="shared" si="0"/>
        <v>19</v>
      </c>
      <c r="L31" s="336">
        <v>-7</v>
      </c>
      <c r="M31" s="292">
        <v>-8</v>
      </c>
      <c r="N31" s="237">
        <v>4</v>
      </c>
      <c r="O31" s="237"/>
      <c r="P31" s="225">
        <f t="shared" si="7"/>
        <v>-15</v>
      </c>
      <c r="Q31" s="231"/>
      <c r="R31" s="231"/>
      <c r="S31" s="226">
        <f t="shared" ref="S31:S48" si="8">C31*F31</f>
        <v>0</v>
      </c>
      <c r="T31" s="227">
        <v>0</v>
      </c>
      <c r="U31" s="226">
        <f t="shared" si="2"/>
        <v>7038</v>
      </c>
      <c r="V31" s="226">
        <f t="shared" si="3"/>
        <v>0</v>
      </c>
      <c r="W31" s="226">
        <f t="shared" si="4"/>
        <v>6644.7</v>
      </c>
      <c r="X31" s="226">
        <f t="shared" si="5"/>
        <v>0</v>
      </c>
      <c r="Y31" s="226">
        <f t="shared" si="6"/>
        <v>393.30000000000018</v>
      </c>
    </row>
    <row r="32" spans="1:25" ht="55.2" x14ac:dyDescent="0.25">
      <c r="A32" s="215">
        <v>2220011</v>
      </c>
      <c r="B32" s="283" t="s">
        <v>21</v>
      </c>
      <c r="C32" s="330">
        <v>46.9</v>
      </c>
      <c r="D32" s="330">
        <v>46.9</v>
      </c>
      <c r="E32" s="217" t="s">
        <v>133</v>
      </c>
      <c r="F32" s="218">
        <v>0</v>
      </c>
      <c r="G32" s="219">
        <v>324</v>
      </c>
      <c r="H32" s="219">
        <v>0</v>
      </c>
      <c r="I32" s="333">
        <v>312</v>
      </c>
      <c r="J32" s="223">
        <v>0</v>
      </c>
      <c r="K32" s="237">
        <f t="shared" si="0"/>
        <v>12</v>
      </c>
      <c r="L32" s="336">
        <v>-1</v>
      </c>
      <c r="M32" s="292">
        <v>-7</v>
      </c>
      <c r="N32" s="237">
        <v>4</v>
      </c>
      <c r="O32" s="237" t="s">
        <v>270</v>
      </c>
      <c r="P32" s="225">
        <f t="shared" si="7"/>
        <v>-8</v>
      </c>
      <c r="Q32" s="231"/>
      <c r="R32" s="231"/>
      <c r="S32" s="226">
        <f t="shared" si="8"/>
        <v>0</v>
      </c>
      <c r="T32" s="227">
        <v>0</v>
      </c>
      <c r="U32" s="226">
        <f t="shared" si="2"/>
        <v>15195.6</v>
      </c>
      <c r="V32" s="226">
        <f t="shared" si="3"/>
        <v>0</v>
      </c>
      <c r="W32" s="226">
        <f t="shared" si="4"/>
        <v>14632.8</v>
      </c>
      <c r="X32" s="226">
        <f t="shared" si="5"/>
        <v>0</v>
      </c>
      <c r="Y32" s="226">
        <f t="shared" si="6"/>
        <v>562.80000000000109</v>
      </c>
    </row>
    <row r="33" spans="1:25" ht="15" x14ac:dyDescent="0.3">
      <c r="A33" s="215">
        <v>2220070</v>
      </c>
      <c r="B33" s="283" t="s">
        <v>150</v>
      </c>
      <c r="C33" s="330">
        <v>54</v>
      </c>
      <c r="D33" s="330">
        <v>54</v>
      </c>
      <c r="E33" s="217" t="s">
        <v>133</v>
      </c>
      <c r="F33" s="218">
        <v>0</v>
      </c>
      <c r="G33" s="219">
        <v>0</v>
      </c>
      <c r="H33" s="219">
        <v>0</v>
      </c>
      <c r="I33" s="305">
        <v>0</v>
      </c>
      <c r="J33" s="223">
        <v>0</v>
      </c>
      <c r="K33" s="237">
        <f t="shared" si="0"/>
        <v>0</v>
      </c>
      <c r="M33" s="292"/>
      <c r="N33" s="237">
        <v>0</v>
      </c>
      <c r="O33" s="237"/>
      <c r="P33" s="225">
        <f t="shared" si="7"/>
        <v>0</v>
      </c>
      <c r="Q33" s="231"/>
      <c r="R33" s="231"/>
      <c r="S33" s="226">
        <f t="shared" si="8"/>
        <v>0</v>
      </c>
      <c r="T33" s="227">
        <v>0</v>
      </c>
      <c r="U33" s="226">
        <f t="shared" si="2"/>
        <v>0</v>
      </c>
      <c r="V33" s="226">
        <f t="shared" si="3"/>
        <v>0</v>
      </c>
      <c r="W33" s="226">
        <f t="shared" si="4"/>
        <v>0</v>
      </c>
      <c r="X33" s="226">
        <f t="shared" si="5"/>
        <v>0</v>
      </c>
      <c r="Y33" s="226">
        <f t="shared" si="6"/>
        <v>0</v>
      </c>
    </row>
    <row r="34" spans="1:25" ht="15" x14ac:dyDescent="0.25">
      <c r="A34" s="234">
        <v>2220139</v>
      </c>
      <c r="B34" s="283" t="s">
        <v>46</v>
      </c>
      <c r="C34" s="330">
        <v>890</v>
      </c>
      <c r="D34" s="330">
        <v>890</v>
      </c>
      <c r="E34" s="217" t="s">
        <v>135</v>
      </c>
      <c r="F34" s="233">
        <v>0</v>
      </c>
      <c r="G34" s="219">
        <v>91</v>
      </c>
      <c r="H34" s="219">
        <v>0</v>
      </c>
      <c r="I34" s="305">
        <v>78</v>
      </c>
      <c r="J34" s="223">
        <v>0</v>
      </c>
      <c r="K34" s="237">
        <f t="shared" si="0"/>
        <v>13</v>
      </c>
      <c r="L34" s="336"/>
      <c r="M34" s="292"/>
      <c r="N34" s="237">
        <v>13</v>
      </c>
      <c r="O34" s="237"/>
      <c r="P34" s="225">
        <f t="shared" si="7"/>
        <v>0</v>
      </c>
      <c r="Q34" s="231"/>
      <c r="R34" s="231"/>
      <c r="S34" s="226">
        <f t="shared" si="8"/>
        <v>0</v>
      </c>
      <c r="T34" s="227">
        <v>0</v>
      </c>
      <c r="U34" s="226">
        <f t="shared" si="2"/>
        <v>80990</v>
      </c>
      <c r="V34" s="226">
        <f t="shared" si="3"/>
        <v>0</v>
      </c>
      <c r="W34" s="226">
        <f t="shared" si="4"/>
        <v>69420</v>
      </c>
      <c r="X34" s="226">
        <f t="shared" si="5"/>
        <v>0</v>
      </c>
      <c r="Y34" s="226">
        <f t="shared" si="6"/>
        <v>11570</v>
      </c>
    </row>
    <row r="35" spans="1:25" ht="15" x14ac:dyDescent="0.25">
      <c r="A35" s="215">
        <v>2220047</v>
      </c>
      <c r="B35" s="283" t="s">
        <v>151</v>
      </c>
      <c r="C35" s="330">
        <v>1000</v>
      </c>
      <c r="D35" s="330">
        <v>1000</v>
      </c>
      <c r="E35" s="217" t="s">
        <v>135</v>
      </c>
      <c r="F35" s="218">
        <v>0</v>
      </c>
      <c r="G35" s="219">
        <v>0</v>
      </c>
      <c r="H35" s="219">
        <v>0</v>
      </c>
      <c r="I35" s="305">
        <v>0</v>
      </c>
      <c r="J35" s="223">
        <v>0</v>
      </c>
      <c r="K35" s="237">
        <f t="shared" si="0"/>
        <v>0</v>
      </c>
      <c r="L35" s="336"/>
      <c r="M35" s="292"/>
      <c r="N35" s="237">
        <v>0</v>
      </c>
      <c r="O35" s="237"/>
      <c r="P35" s="225">
        <f t="shared" si="7"/>
        <v>0</v>
      </c>
      <c r="Q35" s="231"/>
      <c r="R35" s="231"/>
      <c r="S35" s="226">
        <f t="shared" si="8"/>
        <v>0</v>
      </c>
      <c r="T35" s="227">
        <v>0</v>
      </c>
      <c r="U35" s="226">
        <f t="shared" si="2"/>
        <v>0</v>
      </c>
      <c r="V35" s="226">
        <f t="shared" si="3"/>
        <v>0</v>
      </c>
      <c r="W35" s="226">
        <f t="shared" si="4"/>
        <v>0</v>
      </c>
      <c r="X35" s="226">
        <f t="shared" si="5"/>
        <v>0</v>
      </c>
      <c r="Y35" s="226">
        <f t="shared" si="6"/>
        <v>0</v>
      </c>
    </row>
    <row r="36" spans="1:25" ht="15" x14ac:dyDescent="0.25">
      <c r="A36" s="215">
        <v>2220012</v>
      </c>
      <c r="B36" s="283" t="s">
        <v>22</v>
      </c>
      <c r="C36" s="330">
        <v>13.7</v>
      </c>
      <c r="D36" s="330">
        <v>13.7</v>
      </c>
      <c r="E36" s="217" t="s">
        <v>133</v>
      </c>
      <c r="F36" s="218">
        <v>0</v>
      </c>
      <c r="G36" s="219">
        <v>766</v>
      </c>
      <c r="H36" s="219">
        <v>0</v>
      </c>
      <c r="I36" s="333">
        <f>797-31</f>
        <v>766</v>
      </c>
      <c r="J36" s="223">
        <v>0</v>
      </c>
      <c r="K36" s="237">
        <f t="shared" si="0"/>
        <v>0</v>
      </c>
      <c r="L36" s="336">
        <v>15</v>
      </c>
      <c r="M36" s="292">
        <v>25</v>
      </c>
      <c r="N36" s="237">
        <v>9</v>
      </c>
      <c r="O36" s="237"/>
      <c r="P36" s="225">
        <f t="shared" si="7"/>
        <v>9</v>
      </c>
      <c r="Q36" s="231"/>
      <c r="R36" s="231"/>
      <c r="S36" s="226">
        <f t="shared" si="8"/>
        <v>0</v>
      </c>
      <c r="T36" s="227">
        <v>0</v>
      </c>
      <c r="U36" s="226">
        <f t="shared" si="2"/>
        <v>10494.199999999999</v>
      </c>
      <c r="V36" s="226">
        <f t="shared" si="3"/>
        <v>0</v>
      </c>
      <c r="W36" s="226">
        <f t="shared" si="4"/>
        <v>10494.199999999999</v>
      </c>
      <c r="X36" s="226">
        <f t="shared" si="5"/>
        <v>0</v>
      </c>
      <c r="Y36" s="226">
        <f t="shared" si="6"/>
        <v>0</v>
      </c>
    </row>
    <row r="37" spans="1:25" ht="15" x14ac:dyDescent="0.25">
      <c r="A37" s="215">
        <v>2220135</v>
      </c>
      <c r="B37" s="283" t="s">
        <v>152</v>
      </c>
      <c r="C37" s="330">
        <v>199</v>
      </c>
      <c r="D37" s="330">
        <v>199</v>
      </c>
      <c r="E37" s="217" t="s">
        <v>133</v>
      </c>
      <c r="F37" s="218">
        <v>0</v>
      </c>
      <c r="G37" s="219">
        <v>0</v>
      </c>
      <c r="H37" s="219">
        <v>0</v>
      </c>
      <c r="I37" s="305">
        <v>0</v>
      </c>
      <c r="J37" s="223">
        <v>0</v>
      </c>
      <c r="K37" s="237">
        <f t="shared" si="0"/>
        <v>0</v>
      </c>
      <c r="L37" s="336"/>
      <c r="M37" s="292"/>
      <c r="N37" s="237">
        <v>0</v>
      </c>
      <c r="O37" s="237"/>
      <c r="P37" s="225">
        <f t="shared" si="7"/>
        <v>0</v>
      </c>
      <c r="Q37" s="231"/>
      <c r="R37" s="231"/>
      <c r="S37" s="226">
        <f t="shared" si="8"/>
        <v>0</v>
      </c>
      <c r="T37" s="227">
        <v>0</v>
      </c>
      <c r="U37" s="226">
        <f t="shared" si="2"/>
        <v>0</v>
      </c>
      <c r="V37" s="226">
        <f t="shared" si="3"/>
        <v>0</v>
      </c>
      <c r="W37" s="226">
        <f t="shared" si="4"/>
        <v>0</v>
      </c>
      <c r="X37" s="226">
        <f t="shared" si="5"/>
        <v>0</v>
      </c>
      <c r="Y37" s="226">
        <f t="shared" si="6"/>
        <v>0</v>
      </c>
    </row>
    <row r="38" spans="1:25" ht="15" x14ac:dyDescent="0.25">
      <c r="A38" s="234">
        <v>2220140</v>
      </c>
      <c r="B38" s="283" t="s">
        <v>153</v>
      </c>
      <c r="C38" s="330">
        <v>690</v>
      </c>
      <c r="D38" s="330">
        <v>690</v>
      </c>
      <c r="E38" s="217" t="s">
        <v>135</v>
      </c>
      <c r="F38" s="218">
        <v>0</v>
      </c>
      <c r="G38" s="219">
        <v>75</v>
      </c>
      <c r="H38" s="219">
        <v>0</v>
      </c>
      <c r="I38" s="305">
        <v>67</v>
      </c>
      <c r="J38" s="223">
        <v>0</v>
      </c>
      <c r="K38" s="237">
        <f t="shared" si="0"/>
        <v>8</v>
      </c>
      <c r="L38" s="336"/>
      <c r="M38" s="292"/>
      <c r="N38" s="237">
        <v>8</v>
      </c>
      <c r="O38" s="237"/>
      <c r="P38" s="225">
        <f t="shared" si="7"/>
        <v>0</v>
      </c>
      <c r="Q38" s="231"/>
      <c r="R38" s="231"/>
      <c r="S38" s="226">
        <f t="shared" si="8"/>
        <v>0</v>
      </c>
      <c r="T38" s="227">
        <v>0</v>
      </c>
      <c r="U38" s="226">
        <f t="shared" si="2"/>
        <v>51750</v>
      </c>
      <c r="V38" s="226">
        <f t="shared" si="3"/>
        <v>0</v>
      </c>
      <c r="W38" s="226">
        <f t="shared" si="4"/>
        <v>46230</v>
      </c>
      <c r="X38" s="226">
        <f t="shared" si="5"/>
        <v>0</v>
      </c>
      <c r="Y38" s="226">
        <f t="shared" si="6"/>
        <v>5520</v>
      </c>
    </row>
    <row r="39" spans="1:25" ht="15" x14ac:dyDescent="0.25">
      <c r="A39" s="215">
        <v>2220048</v>
      </c>
      <c r="B39" s="283" t="s">
        <v>154</v>
      </c>
      <c r="C39" s="330">
        <v>790</v>
      </c>
      <c r="D39" s="330">
        <v>790</v>
      </c>
      <c r="E39" s="217" t="s">
        <v>135</v>
      </c>
      <c r="F39" s="218">
        <v>0</v>
      </c>
      <c r="G39" s="219">
        <v>0</v>
      </c>
      <c r="H39" s="219">
        <v>0</v>
      </c>
      <c r="I39" s="305">
        <v>0</v>
      </c>
      <c r="J39" s="223">
        <v>0</v>
      </c>
      <c r="K39" s="237">
        <f t="shared" si="0"/>
        <v>0</v>
      </c>
      <c r="L39" s="336"/>
      <c r="M39" s="292"/>
      <c r="N39" s="237">
        <v>0</v>
      </c>
      <c r="O39" s="237"/>
      <c r="P39" s="225">
        <f t="shared" si="7"/>
        <v>0</v>
      </c>
      <c r="Q39" s="231"/>
      <c r="R39" s="231"/>
      <c r="S39" s="226">
        <f t="shared" si="8"/>
        <v>0</v>
      </c>
      <c r="T39" s="227">
        <v>0</v>
      </c>
      <c r="U39" s="226">
        <f t="shared" si="2"/>
        <v>0</v>
      </c>
      <c r="V39" s="226">
        <f t="shared" si="3"/>
        <v>0</v>
      </c>
      <c r="W39" s="226">
        <f t="shared" si="4"/>
        <v>0</v>
      </c>
      <c r="X39" s="226">
        <f t="shared" si="5"/>
        <v>0</v>
      </c>
      <c r="Y39" s="226">
        <f t="shared" si="6"/>
        <v>0</v>
      </c>
    </row>
    <row r="40" spans="1:25" ht="15" x14ac:dyDescent="0.25">
      <c r="A40" s="234">
        <v>2220137</v>
      </c>
      <c r="B40" s="283" t="s">
        <v>155</v>
      </c>
      <c r="C40" s="330">
        <v>1050</v>
      </c>
      <c r="D40" s="330">
        <v>1050</v>
      </c>
      <c r="E40" s="217" t="s">
        <v>135</v>
      </c>
      <c r="F40" s="218">
        <v>0</v>
      </c>
      <c r="G40" s="219">
        <v>0</v>
      </c>
      <c r="H40" s="219">
        <v>0</v>
      </c>
      <c r="I40" s="305">
        <v>0</v>
      </c>
      <c r="J40" s="223">
        <v>0</v>
      </c>
      <c r="K40" s="237">
        <f t="shared" ref="K40:K71" si="9">F40+G40+H40-I40-J40</f>
        <v>0</v>
      </c>
      <c r="L40" s="336"/>
      <c r="M40" s="292"/>
      <c r="N40" s="237">
        <v>0</v>
      </c>
      <c r="O40" s="237"/>
      <c r="P40" s="225">
        <f t="shared" ref="P40:P71" si="10">N40-K40</f>
        <v>0</v>
      </c>
      <c r="Q40" s="231"/>
      <c r="R40" s="231"/>
      <c r="S40" s="226">
        <f t="shared" si="8"/>
        <v>0</v>
      </c>
      <c r="T40" s="227">
        <v>0</v>
      </c>
      <c r="U40" s="226">
        <f t="shared" ref="U40:U71" si="11">G40*D40</f>
        <v>0</v>
      </c>
      <c r="V40" s="226">
        <f t="shared" ref="V40:V71" si="12">H40*D40</f>
        <v>0</v>
      </c>
      <c r="W40" s="226">
        <f t="shared" ref="W40:W71" si="13">I40*D40</f>
        <v>0</v>
      </c>
      <c r="X40" s="226">
        <f t="shared" ref="X40:X71" si="14">J40*D40</f>
        <v>0</v>
      </c>
      <c r="Y40" s="226">
        <f t="shared" ref="Y40:Y71" si="15">S40+T40+U40+V40-W40-X40</f>
        <v>0</v>
      </c>
    </row>
    <row r="41" spans="1:25" ht="15" x14ac:dyDescent="0.25">
      <c r="A41" s="215">
        <v>2220049</v>
      </c>
      <c r="B41" s="283" t="s">
        <v>156</v>
      </c>
      <c r="C41" s="330">
        <v>1200</v>
      </c>
      <c r="D41" s="330">
        <v>1200</v>
      </c>
      <c r="E41" s="217" t="s">
        <v>135</v>
      </c>
      <c r="F41" s="218">
        <v>0</v>
      </c>
      <c r="G41" s="219">
        <v>0</v>
      </c>
      <c r="H41" s="219">
        <v>0</v>
      </c>
      <c r="I41" s="305">
        <v>0</v>
      </c>
      <c r="J41" s="223">
        <v>0</v>
      </c>
      <c r="K41" s="237">
        <f t="shared" si="9"/>
        <v>0</v>
      </c>
      <c r="L41" s="336"/>
      <c r="M41" s="292"/>
      <c r="N41" s="237">
        <v>0</v>
      </c>
      <c r="O41" s="237"/>
      <c r="P41" s="225">
        <f t="shared" si="10"/>
        <v>0</v>
      </c>
      <c r="Q41" s="231"/>
      <c r="R41" s="231"/>
      <c r="S41" s="226">
        <f t="shared" si="8"/>
        <v>0</v>
      </c>
      <c r="T41" s="227">
        <v>0</v>
      </c>
      <c r="U41" s="226">
        <f t="shared" si="11"/>
        <v>0</v>
      </c>
      <c r="V41" s="226">
        <f t="shared" si="12"/>
        <v>0</v>
      </c>
      <c r="W41" s="226">
        <f t="shared" si="13"/>
        <v>0</v>
      </c>
      <c r="X41" s="226">
        <f t="shared" si="14"/>
        <v>0</v>
      </c>
      <c r="Y41" s="226">
        <f t="shared" si="15"/>
        <v>0</v>
      </c>
    </row>
    <row r="42" spans="1:25" ht="96.6" x14ac:dyDescent="0.25">
      <c r="A42" s="215">
        <v>2220013</v>
      </c>
      <c r="B42" s="283" t="s">
        <v>23</v>
      </c>
      <c r="C42" s="330">
        <v>20.8</v>
      </c>
      <c r="D42" s="330">
        <v>20.8</v>
      </c>
      <c r="E42" s="217" t="s">
        <v>131</v>
      </c>
      <c r="F42" s="218">
        <v>0</v>
      </c>
      <c r="G42" s="219">
        <v>2817</v>
      </c>
      <c r="H42" s="219">
        <v>0</v>
      </c>
      <c r="I42" s="333">
        <f>2854-37</f>
        <v>2817</v>
      </c>
      <c r="J42" s="223">
        <v>0</v>
      </c>
      <c r="K42" s="237">
        <f t="shared" si="9"/>
        <v>0</v>
      </c>
      <c r="L42" s="336">
        <v>11</v>
      </c>
      <c r="M42" s="292">
        <v>68</v>
      </c>
      <c r="N42" s="237">
        <v>35</v>
      </c>
      <c r="O42" s="237" t="s">
        <v>271</v>
      </c>
      <c r="P42" s="225">
        <f t="shared" si="10"/>
        <v>35</v>
      </c>
      <c r="Q42" s="231"/>
      <c r="R42" s="231"/>
      <c r="S42" s="226">
        <f t="shared" si="8"/>
        <v>0</v>
      </c>
      <c r="T42" s="227">
        <v>0</v>
      </c>
      <c r="U42" s="226">
        <f t="shared" si="11"/>
        <v>58593.599999999999</v>
      </c>
      <c r="V42" s="226">
        <f t="shared" si="12"/>
        <v>0</v>
      </c>
      <c r="W42" s="226">
        <f t="shared" si="13"/>
        <v>58593.599999999999</v>
      </c>
      <c r="X42" s="226">
        <f t="shared" si="14"/>
        <v>0</v>
      </c>
      <c r="Y42" s="226">
        <f t="shared" si="15"/>
        <v>0</v>
      </c>
    </row>
    <row r="43" spans="1:25" ht="15" x14ac:dyDescent="0.25">
      <c r="A43" s="215">
        <v>2220081</v>
      </c>
      <c r="B43" s="283" t="s">
        <v>157</v>
      </c>
      <c r="C43" s="330">
        <v>1755</v>
      </c>
      <c r="D43" s="330">
        <v>1755</v>
      </c>
      <c r="E43" s="217" t="s">
        <v>133</v>
      </c>
      <c r="F43" s="218">
        <v>11</v>
      </c>
      <c r="G43" s="219">
        <v>0</v>
      </c>
      <c r="H43" s="219">
        <v>0</v>
      </c>
      <c r="I43" s="305">
        <v>0</v>
      </c>
      <c r="J43" s="223">
        <v>0</v>
      </c>
      <c r="K43" s="237">
        <f t="shared" si="9"/>
        <v>11</v>
      </c>
      <c r="L43" s="336"/>
      <c r="M43" s="292"/>
      <c r="N43" s="237">
        <v>11</v>
      </c>
      <c r="O43" s="237"/>
      <c r="P43" s="225">
        <f t="shared" si="10"/>
        <v>0</v>
      </c>
      <c r="Q43" s="231"/>
      <c r="R43" s="231"/>
      <c r="S43" s="226">
        <f t="shared" si="8"/>
        <v>19305</v>
      </c>
      <c r="T43" s="227">
        <v>0</v>
      </c>
      <c r="U43" s="226">
        <f t="shared" si="11"/>
        <v>0</v>
      </c>
      <c r="V43" s="226">
        <f t="shared" si="12"/>
        <v>0</v>
      </c>
      <c r="W43" s="226">
        <f t="shared" si="13"/>
        <v>0</v>
      </c>
      <c r="X43" s="226">
        <f t="shared" si="14"/>
        <v>0</v>
      </c>
      <c r="Y43" s="226">
        <f t="shared" si="15"/>
        <v>19305</v>
      </c>
    </row>
    <row r="44" spans="1:25" ht="15" x14ac:dyDescent="0.25">
      <c r="A44" s="215">
        <v>2220136</v>
      </c>
      <c r="B44" s="283" t="s">
        <v>158</v>
      </c>
      <c r="C44" s="330">
        <v>558.4</v>
      </c>
      <c r="D44" s="330">
        <v>558.4</v>
      </c>
      <c r="E44" s="217" t="s">
        <v>133</v>
      </c>
      <c r="F44" s="218">
        <v>0</v>
      </c>
      <c r="G44" s="219">
        <v>0</v>
      </c>
      <c r="H44" s="219">
        <v>0</v>
      </c>
      <c r="I44" s="305">
        <v>0</v>
      </c>
      <c r="J44" s="223">
        <v>0</v>
      </c>
      <c r="K44" s="237">
        <f t="shared" si="9"/>
        <v>0</v>
      </c>
      <c r="L44" s="336"/>
      <c r="M44" s="292"/>
      <c r="N44" s="237">
        <v>0</v>
      </c>
      <c r="O44" s="237"/>
      <c r="P44" s="225">
        <f t="shared" si="10"/>
        <v>0</v>
      </c>
      <c r="Q44" s="231"/>
      <c r="R44" s="231"/>
      <c r="S44" s="226">
        <f t="shared" si="8"/>
        <v>0</v>
      </c>
      <c r="T44" s="227">
        <v>0</v>
      </c>
      <c r="U44" s="226">
        <f t="shared" si="11"/>
        <v>0</v>
      </c>
      <c r="V44" s="226">
        <f t="shared" si="12"/>
        <v>0</v>
      </c>
      <c r="W44" s="226">
        <f t="shared" si="13"/>
        <v>0</v>
      </c>
      <c r="X44" s="226">
        <f t="shared" si="14"/>
        <v>0</v>
      </c>
      <c r="Y44" s="226">
        <f t="shared" si="15"/>
        <v>0</v>
      </c>
    </row>
    <row r="45" spans="1:25" ht="15" x14ac:dyDescent="0.25">
      <c r="A45" s="215">
        <v>2220091</v>
      </c>
      <c r="B45" s="283" t="s">
        <v>159</v>
      </c>
      <c r="C45" s="330">
        <v>190</v>
      </c>
      <c r="D45" s="330">
        <v>190</v>
      </c>
      <c r="E45" s="217" t="s">
        <v>137</v>
      </c>
      <c r="F45" s="218">
        <v>0</v>
      </c>
      <c r="G45" s="219">
        <v>0</v>
      </c>
      <c r="H45" s="219">
        <v>0</v>
      </c>
      <c r="I45" s="305">
        <v>0</v>
      </c>
      <c r="J45" s="223">
        <v>0</v>
      </c>
      <c r="K45" s="237">
        <f t="shared" si="9"/>
        <v>0</v>
      </c>
      <c r="L45" s="336"/>
      <c r="M45" s="292"/>
      <c r="N45" s="237">
        <v>0</v>
      </c>
      <c r="O45" s="237"/>
      <c r="P45" s="225">
        <f t="shared" si="10"/>
        <v>0</v>
      </c>
      <c r="Q45" s="231"/>
      <c r="R45" s="231"/>
      <c r="S45" s="226">
        <f t="shared" si="8"/>
        <v>0</v>
      </c>
      <c r="T45" s="227">
        <v>0</v>
      </c>
      <c r="U45" s="226">
        <f t="shared" si="11"/>
        <v>0</v>
      </c>
      <c r="V45" s="226">
        <f t="shared" si="12"/>
        <v>0</v>
      </c>
      <c r="W45" s="226">
        <f t="shared" si="13"/>
        <v>0</v>
      </c>
      <c r="X45" s="226">
        <f t="shared" si="14"/>
        <v>0</v>
      </c>
      <c r="Y45" s="226">
        <f t="shared" si="15"/>
        <v>0</v>
      </c>
    </row>
    <row r="46" spans="1:25" ht="30" x14ac:dyDescent="0.25">
      <c r="A46" s="215">
        <v>2220079</v>
      </c>
      <c r="B46" s="283" t="s">
        <v>160</v>
      </c>
      <c r="C46" s="330">
        <v>287.86</v>
      </c>
      <c r="D46" s="330">
        <v>287.86</v>
      </c>
      <c r="E46" s="217" t="s">
        <v>133</v>
      </c>
      <c r="F46" s="218">
        <v>0</v>
      </c>
      <c r="G46" s="219">
        <v>0</v>
      </c>
      <c r="H46" s="219">
        <v>0</v>
      </c>
      <c r="I46" s="305">
        <v>0</v>
      </c>
      <c r="J46" s="223">
        <v>0</v>
      </c>
      <c r="K46" s="237">
        <f t="shared" si="9"/>
        <v>0</v>
      </c>
      <c r="L46" s="336"/>
      <c r="M46" s="292"/>
      <c r="N46" s="237">
        <v>0</v>
      </c>
      <c r="O46" s="237"/>
      <c r="P46" s="225">
        <f t="shared" si="10"/>
        <v>0</v>
      </c>
      <c r="Q46" s="231"/>
      <c r="R46" s="231"/>
      <c r="S46" s="226">
        <f t="shared" si="8"/>
        <v>0</v>
      </c>
      <c r="T46" s="227">
        <v>0</v>
      </c>
      <c r="U46" s="226">
        <f t="shared" si="11"/>
        <v>0</v>
      </c>
      <c r="V46" s="226">
        <f t="shared" si="12"/>
        <v>0</v>
      </c>
      <c r="W46" s="226">
        <f t="shared" si="13"/>
        <v>0</v>
      </c>
      <c r="X46" s="226">
        <f t="shared" si="14"/>
        <v>0</v>
      </c>
      <c r="Y46" s="226">
        <f t="shared" si="15"/>
        <v>0</v>
      </c>
    </row>
    <row r="47" spans="1:25" ht="30" x14ac:dyDescent="0.25">
      <c r="A47" s="215">
        <v>2220076</v>
      </c>
      <c r="B47" s="283" t="s">
        <v>161</v>
      </c>
      <c r="C47" s="330">
        <v>164</v>
      </c>
      <c r="D47" s="330">
        <v>164</v>
      </c>
      <c r="E47" s="217" t="s">
        <v>133</v>
      </c>
      <c r="F47" s="218">
        <v>0</v>
      </c>
      <c r="G47" s="219">
        <v>0</v>
      </c>
      <c r="H47" s="219">
        <v>0</v>
      </c>
      <c r="I47" s="305">
        <v>0</v>
      </c>
      <c r="J47" s="223">
        <v>0</v>
      </c>
      <c r="K47" s="237">
        <f t="shared" si="9"/>
        <v>0</v>
      </c>
      <c r="L47" s="336"/>
      <c r="M47" s="292"/>
      <c r="N47" s="237">
        <v>0</v>
      </c>
      <c r="O47" s="237"/>
      <c r="P47" s="225">
        <f t="shared" si="10"/>
        <v>0</v>
      </c>
      <c r="Q47" s="231"/>
      <c r="R47" s="231"/>
      <c r="S47" s="226">
        <f t="shared" si="8"/>
        <v>0</v>
      </c>
      <c r="T47" s="227">
        <v>0</v>
      </c>
      <c r="U47" s="226">
        <f t="shared" si="11"/>
        <v>0</v>
      </c>
      <c r="V47" s="226">
        <f t="shared" si="12"/>
        <v>0</v>
      </c>
      <c r="W47" s="226">
        <f t="shared" si="13"/>
        <v>0</v>
      </c>
      <c r="X47" s="226">
        <f t="shared" si="14"/>
        <v>0</v>
      </c>
      <c r="Y47" s="226">
        <f t="shared" si="15"/>
        <v>0</v>
      </c>
    </row>
    <row r="48" spans="1:25" ht="15" x14ac:dyDescent="0.25">
      <c r="A48" s="215">
        <v>2220014</v>
      </c>
      <c r="B48" s="283" t="s">
        <v>24</v>
      </c>
      <c r="C48" s="330">
        <v>59.9</v>
      </c>
      <c r="D48" s="330">
        <v>59.9</v>
      </c>
      <c r="E48" s="217" t="s">
        <v>137</v>
      </c>
      <c r="F48" s="218">
        <v>3.5527136788005009E-15</v>
      </c>
      <c r="G48" s="219">
        <v>43.5</v>
      </c>
      <c r="H48" s="219">
        <v>0</v>
      </c>
      <c r="I48" s="333">
        <v>43.4</v>
      </c>
      <c r="J48" s="223">
        <v>0</v>
      </c>
      <c r="K48" s="237">
        <f t="shared" si="9"/>
        <v>0.10000000000000142</v>
      </c>
      <c r="L48" s="336">
        <v>-0.75</v>
      </c>
      <c r="M48" s="292">
        <v>1.3</v>
      </c>
      <c r="N48" s="237">
        <v>0.65</v>
      </c>
      <c r="O48" s="237"/>
      <c r="P48" s="225">
        <f t="shared" si="10"/>
        <v>0.5499999999999986</v>
      </c>
      <c r="Q48" s="231"/>
      <c r="R48" s="231"/>
      <c r="S48" s="226">
        <f t="shared" si="8"/>
        <v>2.1280754936015E-13</v>
      </c>
      <c r="T48" s="227">
        <v>0</v>
      </c>
      <c r="U48" s="226">
        <f t="shared" si="11"/>
        <v>2605.65</v>
      </c>
      <c r="V48" s="226">
        <f t="shared" si="12"/>
        <v>0</v>
      </c>
      <c r="W48" s="226">
        <f t="shared" si="13"/>
        <v>2599.66</v>
      </c>
      <c r="X48" s="226">
        <f t="shared" si="14"/>
        <v>0</v>
      </c>
      <c r="Y48" s="226">
        <f t="shared" si="15"/>
        <v>5.9900000000002365</v>
      </c>
    </row>
    <row r="49" spans="1:25" ht="15" x14ac:dyDescent="0.25">
      <c r="A49" s="215">
        <v>2220015</v>
      </c>
      <c r="B49" s="283" t="s">
        <v>25</v>
      </c>
      <c r="C49" s="330">
        <v>98.9</v>
      </c>
      <c r="D49" s="330">
        <v>98.9</v>
      </c>
      <c r="E49" s="217" t="s">
        <v>137</v>
      </c>
      <c r="F49" s="218">
        <v>-1.4432899320127035E-15</v>
      </c>
      <c r="G49" s="219">
        <v>112.5</v>
      </c>
      <c r="H49" s="219">
        <v>0</v>
      </c>
      <c r="I49" s="333">
        <f>118.15-5.65</f>
        <v>112.5</v>
      </c>
      <c r="J49" s="223">
        <v>0</v>
      </c>
      <c r="K49" s="237">
        <f t="shared" si="9"/>
        <v>0</v>
      </c>
      <c r="L49" s="336">
        <v>1.95</v>
      </c>
      <c r="M49" s="292">
        <v>3.3</v>
      </c>
      <c r="N49" s="237">
        <v>0</v>
      </c>
      <c r="O49" s="237"/>
      <c r="P49" s="225">
        <f t="shared" si="10"/>
        <v>0</v>
      </c>
      <c r="Q49" s="231"/>
      <c r="R49" s="231"/>
      <c r="S49" s="226">
        <v>0</v>
      </c>
      <c r="T49" s="227">
        <v>0</v>
      </c>
      <c r="U49" s="226">
        <f t="shared" si="11"/>
        <v>11126.25</v>
      </c>
      <c r="V49" s="226">
        <f t="shared" si="12"/>
        <v>0</v>
      </c>
      <c r="W49" s="226">
        <f t="shared" si="13"/>
        <v>11126.25</v>
      </c>
      <c r="X49" s="226">
        <f t="shared" si="14"/>
        <v>0</v>
      </c>
      <c r="Y49" s="226">
        <f t="shared" si="15"/>
        <v>0</v>
      </c>
    </row>
    <row r="50" spans="1:25" ht="15" x14ac:dyDescent="0.25">
      <c r="A50" s="215">
        <v>2220052</v>
      </c>
      <c r="B50" s="283" t="s">
        <v>162</v>
      </c>
      <c r="C50" s="330">
        <v>2710</v>
      </c>
      <c r="D50" s="330">
        <v>3270</v>
      </c>
      <c r="E50" s="217" t="s">
        <v>135</v>
      </c>
      <c r="F50" s="218">
        <v>2</v>
      </c>
      <c r="G50" s="219">
        <v>2</v>
      </c>
      <c r="H50" s="219">
        <v>0</v>
      </c>
      <c r="I50" s="305">
        <v>1</v>
      </c>
      <c r="J50" s="223">
        <v>0</v>
      </c>
      <c r="K50" s="237">
        <f t="shared" si="9"/>
        <v>3</v>
      </c>
      <c r="L50" s="336"/>
      <c r="M50" s="292"/>
      <c r="N50" s="237">
        <v>3</v>
      </c>
      <c r="O50" s="237"/>
      <c r="P50" s="225">
        <f t="shared" si="10"/>
        <v>0</v>
      </c>
      <c r="Q50" s="231"/>
      <c r="R50" s="231"/>
      <c r="S50" s="226">
        <f t="shared" ref="S50:S56" si="16">C50*F50</f>
        <v>5420</v>
      </c>
      <c r="T50" s="227">
        <v>0</v>
      </c>
      <c r="U50" s="226">
        <f t="shared" si="11"/>
        <v>6540</v>
      </c>
      <c r="V50" s="226">
        <f t="shared" si="12"/>
        <v>0</v>
      </c>
      <c r="W50" s="226">
        <f t="shared" si="13"/>
        <v>3270</v>
      </c>
      <c r="X50" s="226">
        <f t="shared" si="14"/>
        <v>0</v>
      </c>
      <c r="Y50" s="226">
        <f t="shared" si="15"/>
        <v>8690</v>
      </c>
    </row>
    <row r="51" spans="1:25" ht="15" x14ac:dyDescent="0.25">
      <c r="A51" s="215">
        <v>2220093</v>
      </c>
      <c r="B51" s="283" t="s">
        <v>163</v>
      </c>
      <c r="C51" s="330">
        <v>1091.99</v>
      </c>
      <c r="D51" s="330">
        <v>1091.99</v>
      </c>
      <c r="E51" s="217" t="s">
        <v>133</v>
      </c>
      <c r="F51" s="218">
        <v>0</v>
      </c>
      <c r="G51" s="219">
        <v>0</v>
      </c>
      <c r="H51" s="219">
        <v>0</v>
      </c>
      <c r="I51" s="305">
        <v>0</v>
      </c>
      <c r="J51" s="223">
        <v>0</v>
      </c>
      <c r="K51" s="237">
        <f t="shared" si="9"/>
        <v>0</v>
      </c>
      <c r="L51" s="336"/>
      <c r="M51" s="292"/>
      <c r="N51" s="237">
        <v>0</v>
      </c>
      <c r="O51" s="237"/>
      <c r="P51" s="225">
        <f t="shared" si="10"/>
        <v>0</v>
      </c>
      <c r="Q51" s="231"/>
      <c r="R51" s="231"/>
      <c r="S51" s="226">
        <f t="shared" si="16"/>
        <v>0</v>
      </c>
      <c r="T51" s="227">
        <v>0</v>
      </c>
      <c r="U51" s="226">
        <f t="shared" si="11"/>
        <v>0</v>
      </c>
      <c r="V51" s="226">
        <f t="shared" si="12"/>
        <v>0</v>
      </c>
      <c r="W51" s="226">
        <f t="shared" si="13"/>
        <v>0</v>
      </c>
      <c r="X51" s="226">
        <f t="shared" si="14"/>
        <v>0</v>
      </c>
      <c r="Y51" s="226">
        <f t="shared" si="15"/>
        <v>0</v>
      </c>
    </row>
    <row r="52" spans="1:25" ht="15" x14ac:dyDescent="0.25">
      <c r="A52" s="215">
        <v>2220092</v>
      </c>
      <c r="B52" s="283" t="s">
        <v>164</v>
      </c>
      <c r="C52" s="330">
        <v>484.4</v>
      </c>
      <c r="D52" s="330">
        <v>484.4</v>
      </c>
      <c r="E52" s="217" t="s">
        <v>133</v>
      </c>
      <c r="F52" s="218">
        <v>5</v>
      </c>
      <c r="G52" s="219">
        <v>0</v>
      </c>
      <c r="H52" s="219">
        <v>0</v>
      </c>
      <c r="I52" s="305">
        <v>0</v>
      </c>
      <c r="J52" s="223">
        <v>0</v>
      </c>
      <c r="K52" s="237">
        <f t="shared" si="9"/>
        <v>5</v>
      </c>
      <c r="L52" s="336"/>
      <c r="M52" s="292"/>
      <c r="N52" s="237">
        <v>5</v>
      </c>
      <c r="O52" s="237"/>
      <c r="P52" s="225">
        <f t="shared" si="10"/>
        <v>0</v>
      </c>
      <c r="Q52" s="231"/>
      <c r="R52" s="231"/>
      <c r="S52" s="226">
        <f t="shared" si="16"/>
        <v>2422</v>
      </c>
      <c r="T52" s="227">
        <v>0</v>
      </c>
      <c r="U52" s="226">
        <f t="shared" si="11"/>
        <v>0</v>
      </c>
      <c r="V52" s="226">
        <f t="shared" si="12"/>
        <v>0</v>
      </c>
      <c r="W52" s="226">
        <f t="shared" si="13"/>
        <v>0</v>
      </c>
      <c r="X52" s="226">
        <f t="shared" si="14"/>
        <v>0</v>
      </c>
      <c r="Y52" s="226">
        <f t="shared" si="15"/>
        <v>2422</v>
      </c>
    </row>
    <row r="53" spans="1:25" ht="15" customHeight="1" x14ac:dyDescent="0.25">
      <c r="A53" s="234">
        <v>2220144</v>
      </c>
      <c r="B53" s="338" t="s">
        <v>165</v>
      </c>
      <c r="C53" s="331">
        <v>631.04</v>
      </c>
      <c r="D53" s="331">
        <v>631.04</v>
      </c>
      <c r="E53" s="236" t="s">
        <v>133</v>
      </c>
      <c r="F53" s="229">
        <v>0</v>
      </c>
      <c r="G53" s="219">
        <v>0</v>
      </c>
      <c r="H53" s="219">
        <v>0</v>
      </c>
      <c r="I53" s="305">
        <v>0</v>
      </c>
      <c r="J53" s="223">
        <v>0</v>
      </c>
      <c r="K53" s="237">
        <f t="shared" si="9"/>
        <v>0</v>
      </c>
      <c r="L53" s="336"/>
      <c r="M53" s="292"/>
      <c r="N53" s="237">
        <v>0</v>
      </c>
      <c r="O53" s="237"/>
      <c r="P53" s="225">
        <f t="shared" si="10"/>
        <v>0</v>
      </c>
      <c r="Q53" s="231"/>
      <c r="R53" s="231"/>
      <c r="S53" s="226">
        <f t="shared" si="16"/>
        <v>0</v>
      </c>
      <c r="T53" s="227">
        <v>0</v>
      </c>
      <c r="U53" s="226">
        <f t="shared" si="11"/>
        <v>0</v>
      </c>
      <c r="V53" s="226">
        <f t="shared" si="12"/>
        <v>0</v>
      </c>
      <c r="W53" s="226">
        <f t="shared" si="13"/>
        <v>0</v>
      </c>
      <c r="X53" s="226">
        <f t="shared" si="14"/>
        <v>0</v>
      </c>
      <c r="Y53" s="226">
        <f t="shared" si="15"/>
        <v>0</v>
      </c>
    </row>
    <row r="54" spans="1:25" ht="110.4" x14ac:dyDescent="0.25">
      <c r="A54" s="215">
        <v>2220016</v>
      </c>
      <c r="B54" s="283" t="s">
        <v>26</v>
      </c>
      <c r="C54" s="330">
        <v>26.1</v>
      </c>
      <c r="D54" s="330">
        <v>26.1</v>
      </c>
      <c r="E54" s="217" t="s">
        <v>133</v>
      </c>
      <c r="F54" s="218">
        <v>0</v>
      </c>
      <c r="G54" s="219">
        <v>3196</v>
      </c>
      <c r="H54" s="219">
        <v>0</v>
      </c>
      <c r="I54" s="333">
        <f>3246-50</f>
        <v>3196</v>
      </c>
      <c r="J54" s="223">
        <v>0</v>
      </c>
      <c r="K54" s="237">
        <f t="shared" si="9"/>
        <v>0</v>
      </c>
      <c r="L54" s="336">
        <v>12</v>
      </c>
      <c r="M54" s="292">
        <v>106</v>
      </c>
      <c r="N54" s="237">
        <v>44</v>
      </c>
      <c r="O54" s="237" t="s">
        <v>272</v>
      </c>
      <c r="P54" s="225">
        <f t="shared" si="10"/>
        <v>44</v>
      </c>
      <c r="Q54" s="231"/>
      <c r="R54" s="231"/>
      <c r="S54" s="226">
        <f t="shared" si="16"/>
        <v>0</v>
      </c>
      <c r="T54" s="227">
        <v>0</v>
      </c>
      <c r="U54" s="226">
        <f t="shared" si="11"/>
        <v>83415.600000000006</v>
      </c>
      <c r="V54" s="226">
        <f t="shared" si="12"/>
        <v>0</v>
      </c>
      <c r="W54" s="226">
        <f t="shared" si="13"/>
        <v>83415.600000000006</v>
      </c>
      <c r="X54" s="226">
        <f t="shared" si="14"/>
        <v>0</v>
      </c>
      <c r="Y54" s="226">
        <f t="shared" si="15"/>
        <v>0</v>
      </c>
    </row>
    <row r="55" spans="1:25" ht="15" x14ac:dyDescent="0.25">
      <c r="A55" s="215">
        <v>2220131</v>
      </c>
      <c r="B55" s="283" t="s">
        <v>166</v>
      </c>
      <c r="C55" s="330">
        <v>78.2</v>
      </c>
      <c r="D55" s="330">
        <v>78.2</v>
      </c>
      <c r="E55" s="217" t="s">
        <v>137</v>
      </c>
      <c r="F55" s="218">
        <v>0</v>
      </c>
      <c r="G55" s="219">
        <v>46.5</v>
      </c>
      <c r="H55" s="219">
        <v>0</v>
      </c>
      <c r="I55" s="333">
        <f>50.7-4.2</f>
        <v>46.5</v>
      </c>
      <c r="J55" s="223">
        <v>0</v>
      </c>
      <c r="K55" s="237">
        <f t="shared" si="9"/>
        <v>0</v>
      </c>
      <c r="L55" s="336">
        <v>3</v>
      </c>
      <c r="M55" s="292">
        <v>1.6</v>
      </c>
      <c r="N55" s="237">
        <v>0.4</v>
      </c>
      <c r="O55" s="237"/>
      <c r="P55" s="225">
        <f t="shared" si="10"/>
        <v>0.4</v>
      </c>
      <c r="Q55" s="231"/>
      <c r="R55" s="231"/>
      <c r="S55" s="226">
        <f t="shared" si="16"/>
        <v>0</v>
      </c>
      <c r="T55" s="227">
        <v>0</v>
      </c>
      <c r="U55" s="226">
        <f t="shared" si="11"/>
        <v>3636.3</v>
      </c>
      <c r="V55" s="226">
        <f t="shared" si="12"/>
        <v>0</v>
      </c>
      <c r="W55" s="226">
        <f t="shared" si="13"/>
        <v>3636.3</v>
      </c>
      <c r="X55" s="226">
        <f t="shared" si="14"/>
        <v>0</v>
      </c>
      <c r="Y55" s="226">
        <f t="shared" si="15"/>
        <v>0</v>
      </c>
    </row>
    <row r="56" spans="1:25" ht="15" x14ac:dyDescent="0.25">
      <c r="A56" s="215">
        <v>2220086</v>
      </c>
      <c r="B56" s="283" t="s">
        <v>167</v>
      </c>
      <c r="C56" s="330">
        <v>440</v>
      </c>
      <c r="D56" s="330">
        <v>440</v>
      </c>
      <c r="E56" s="217" t="s">
        <v>133</v>
      </c>
      <c r="F56" s="218">
        <v>0</v>
      </c>
      <c r="G56" s="219">
        <v>0</v>
      </c>
      <c r="H56" s="219">
        <v>0</v>
      </c>
      <c r="I56" s="305">
        <v>0</v>
      </c>
      <c r="J56" s="223">
        <v>0</v>
      </c>
      <c r="K56" s="237">
        <f t="shared" si="9"/>
        <v>0</v>
      </c>
      <c r="L56" s="336"/>
      <c r="M56" s="292"/>
      <c r="N56" s="237">
        <v>0</v>
      </c>
      <c r="O56" s="237"/>
      <c r="P56" s="225">
        <f t="shared" si="10"/>
        <v>0</v>
      </c>
      <c r="Q56" s="231"/>
      <c r="R56" s="231"/>
      <c r="S56" s="226">
        <f t="shared" si="16"/>
        <v>0</v>
      </c>
      <c r="T56" s="227">
        <v>0</v>
      </c>
      <c r="U56" s="226">
        <f t="shared" si="11"/>
        <v>0</v>
      </c>
      <c r="V56" s="226">
        <f t="shared" si="12"/>
        <v>0</v>
      </c>
      <c r="W56" s="226">
        <f t="shared" si="13"/>
        <v>0</v>
      </c>
      <c r="X56" s="226">
        <f t="shared" si="14"/>
        <v>0</v>
      </c>
      <c r="Y56" s="226">
        <f t="shared" si="15"/>
        <v>0</v>
      </c>
    </row>
    <row r="57" spans="1:25" ht="69" x14ac:dyDescent="0.25">
      <c r="A57" s="215">
        <v>2220017</v>
      </c>
      <c r="B57" s="283" t="s">
        <v>74</v>
      </c>
      <c r="C57" s="330">
        <v>135.4</v>
      </c>
      <c r="D57" s="330">
        <v>135.4</v>
      </c>
      <c r="E57" s="217" t="s">
        <v>137</v>
      </c>
      <c r="F57" s="218">
        <v>-8.5265128291212022E-14</v>
      </c>
      <c r="G57" s="219">
        <v>1337</v>
      </c>
      <c r="H57" s="219">
        <v>0</v>
      </c>
      <c r="I57" s="333">
        <f>1392.13-55.13</f>
        <v>1337</v>
      </c>
      <c r="J57" s="223">
        <v>0</v>
      </c>
      <c r="K57" s="237">
        <f t="shared" si="9"/>
        <v>0</v>
      </c>
      <c r="L57" s="336">
        <v>17.25</v>
      </c>
      <c r="M57" s="292">
        <v>1.91</v>
      </c>
      <c r="N57" s="237">
        <v>16</v>
      </c>
      <c r="O57" s="237" t="s">
        <v>273</v>
      </c>
      <c r="P57" s="225">
        <f t="shared" si="10"/>
        <v>16</v>
      </c>
      <c r="Q57" s="231"/>
      <c r="R57" s="231"/>
      <c r="S57" s="226">
        <v>0</v>
      </c>
      <c r="T57" s="227">
        <v>0</v>
      </c>
      <c r="U57" s="226">
        <f t="shared" si="11"/>
        <v>181029.80000000002</v>
      </c>
      <c r="V57" s="226">
        <f t="shared" si="12"/>
        <v>0</v>
      </c>
      <c r="W57" s="226">
        <f t="shared" si="13"/>
        <v>181029.80000000002</v>
      </c>
      <c r="X57" s="226">
        <f t="shared" si="14"/>
        <v>0</v>
      </c>
      <c r="Y57" s="226">
        <f t="shared" si="15"/>
        <v>0</v>
      </c>
    </row>
    <row r="58" spans="1:25" ht="15" x14ac:dyDescent="0.25">
      <c r="A58" s="215">
        <v>2220062</v>
      </c>
      <c r="B58" s="283" t="s">
        <v>168</v>
      </c>
      <c r="C58" s="330">
        <v>850</v>
      </c>
      <c r="D58" s="330">
        <v>850</v>
      </c>
      <c r="E58" s="217" t="s">
        <v>135</v>
      </c>
      <c r="F58" s="218">
        <v>0</v>
      </c>
      <c r="G58" s="219">
        <v>0</v>
      </c>
      <c r="H58" s="219">
        <v>0</v>
      </c>
      <c r="I58" s="305">
        <v>0</v>
      </c>
      <c r="J58" s="223">
        <v>0</v>
      </c>
      <c r="K58" s="237">
        <f t="shared" si="9"/>
        <v>0</v>
      </c>
      <c r="L58" s="336"/>
      <c r="M58" s="292"/>
      <c r="N58" s="237">
        <v>0</v>
      </c>
      <c r="O58" s="237"/>
      <c r="P58" s="225">
        <f t="shared" si="10"/>
        <v>0</v>
      </c>
      <c r="Q58" s="231"/>
      <c r="R58" s="231"/>
      <c r="S58" s="226">
        <f t="shared" ref="S58:S66" si="17">C58*F58</f>
        <v>0</v>
      </c>
      <c r="T58" s="227">
        <v>0</v>
      </c>
      <c r="U58" s="226">
        <f t="shared" si="11"/>
        <v>0</v>
      </c>
      <c r="V58" s="226">
        <f t="shared" si="12"/>
        <v>0</v>
      </c>
      <c r="W58" s="226">
        <f t="shared" si="13"/>
        <v>0</v>
      </c>
      <c r="X58" s="226">
        <f t="shared" si="14"/>
        <v>0</v>
      </c>
      <c r="Y58" s="226">
        <f t="shared" si="15"/>
        <v>0</v>
      </c>
    </row>
    <row r="59" spans="1:25" ht="15" customHeight="1" x14ac:dyDescent="0.25">
      <c r="A59" s="215">
        <v>2220082</v>
      </c>
      <c r="B59" s="283" t="s">
        <v>169</v>
      </c>
      <c r="C59" s="330">
        <v>376.36</v>
      </c>
      <c r="D59" s="330">
        <v>2760</v>
      </c>
      <c r="E59" s="217" t="s">
        <v>135</v>
      </c>
      <c r="F59" s="218">
        <v>0</v>
      </c>
      <c r="G59" s="219">
        <v>2</v>
      </c>
      <c r="H59" s="219">
        <v>0</v>
      </c>
      <c r="I59" s="305">
        <v>0</v>
      </c>
      <c r="J59" s="223">
        <v>0</v>
      </c>
      <c r="K59" s="237">
        <f t="shared" si="9"/>
        <v>2</v>
      </c>
      <c r="L59" s="336"/>
      <c r="M59" s="292"/>
      <c r="N59" s="237">
        <v>2</v>
      </c>
      <c r="O59" s="237"/>
      <c r="P59" s="225">
        <f t="shared" si="10"/>
        <v>0</v>
      </c>
      <c r="Q59" s="231"/>
      <c r="R59" s="231"/>
      <c r="S59" s="226">
        <f t="shared" si="17"/>
        <v>0</v>
      </c>
      <c r="T59" s="227">
        <v>0</v>
      </c>
      <c r="U59" s="226">
        <f t="shared" si="11"/>
        <v>5520</v>
      </c>
      <c r="V59" s="226">
        <f t="shared" si="12"/>
        <v>0</v>
      </c>
      <c r="W59" s="226">
        <f t="shared" si="13"/>
        <v>0</v>
      </c>
      <c r="X59" s="226">
        <f t="shared" si="14"/>
        <v>0</v>
      </c>
      <c r="Y59" s="226">
        <f t="shared" si="15"/>
        <v>5520</v>
      </c>
    </row>
    <row r="60" spans="1:25" ht="15" customHeight="1" x14ac:dyDescent="0.25">
      <c r="A60" s="215">
        <v>2220061</v>
      </c>
      <c r="B60" s="283" t="s">
        <v>170</v>
      </c>
      <c r="C60" s="330">
        <v>2500</v>
      </c>
      <c r="D60" s="330">
        <v>2500</v>
      </c>
      <c r="E60" s="217" t="s">
        <v>135</v>
      </c>
      <c r="F60" s="218">
        <v>0</v>
      </c>
      <c r="G60" s="219">
        <v>0</v>
      </c>
      <c r="H60" s="219">
        <v>0</v>
      </c>
      <c r="I60" s="305">
        <v>0</v>
      </c>
      <c r="J60" s="223">
        <v>0</v>
      </c>
      <c r="K60" s="237">
        <f t="shared" si="9"/>
        <v>0</v>
      </c>
      <c r="L60" s="336"/>
      <c r="M60" s="292"/>
      <c r="N60" s="237">
        <v>0</v>
      </c>
      <c r="O60" s="237"/>
      <c r="P60" s="225">
        <f t="shared" si="10"/>
        <v>0</v>
      </c>
      <c r="Q60" s="231"/>
      <c r="R60" s="231"/>
      <c r="S60" s="226">
        <f t="shared" si="17"/>
        <v>0</v>
      </c>
      <c r="T60" s="227">
        <v>0</v>
      </c>
      <c r="U60" s="226">
        <f t="shared" si="11"/>
        <v>0</v>
      </c>
      <c r="V60" s="226">
        <f t="shared" si="12"/>
        <v>0</v>
      </c>
      <c r="W60" s="226">
        <f t="shared" si="13"/>
        <v>0</v>
      </c>
      <c r="X60" s="226">
        <f t="shared" si="14"/>
        <v>0</v>
      </c>
      <c r="Y60" s="226">
        <f t="shared" si="15"/>
        <v>0</v>
      </c>
    </row>
    <row r="61" spans="1:25" ht="15" customHeight="1" x14ac:dyDescent="0.25">
      <c r="A61" s="215">
        <v>2220051</v>
      </c>
      <c r="B61" s="283" t="s">
        <v>171</v>
      </c>
      <c r="C61" s="330">
        <v>2840</v>
      </c>
      <c r="D61" s="330">
        <v>2840</v>
      </c>
      <c r="E61" s="217" t="s">
        <v>135</v>
      </c>
      <c r="F61" s="218">
        <v>2</v>
      </c>
      <c r="G61" s="219">
        <v>2</v>
      </c>
      <c r="H61" s="219">
        <v>0</v>
      </c>
      <c r="I61" s="305">
        <v>1</v>
      </c>
      <c r="J61" s="223">
        <v>0</v>
      </c>
      <c r="K61" s="237">
        <f t="shared" si="9"/>
        <v>3</v>
      </c>
      <c r="L61" s="336"/>
      <c r="M61" s="292"/>
      <c r="N61" s="237">
        <v>3</v>
      </c>
      <c r="O61" s="237"/>
      <c r="P61" s="225">
        <f t="shared" si="10"/>
        <v>0</v>
      </c>
      <c r="Q61" s="231"/>
      <c r="R61" s="231"/>
      <c r="S61" s="226">
        <f t="shared" si="17"/>
        <v>5680</v>
      </c>
      <c r="T61" s="227">
        <v>0</v>
      </c>
      <c r="U61" s="226">
        <f t="shared" si="11"/>
        <v>5680</v>
      </c>
      <c r="V61" s="226">
        <f t="shared" si="12"/>
        <v>0</v>
      </c>
      <c r="W61" s="226">
        <f t="shared" si="13"/>
        <v>2840</v>
      </c>
      <c r="X61" s="226">
        <f t="shared" si="14"/>
        <v>0</v>
      </c>
      <c r="Y61" s="226">
        <f t="shared" si="15"/>
        <v>8520</v>
      </c>
    </row>
    <row r="62" spans="1:25" ht="15" customHeight="1" x14ac:dyDescent="0.25">
      <c r="A62" s="215">
        <v>2220064</v>
      </c>
      <c r="B62" s="283" t="s">
        <v>172</v>
      </c>
      <c r="C62" s="330">
        <v>2370</v>
      </c>
      <c r="D62" s="330">
        <v>2370</v>
      </c>
      <c r="E62" s="217" t="s">
        <v>135</v>
      </c>
      <c r="F62" s="218">
        <v>3</v>
      </c>
      <c r="G62" s="219">
        <v>0</v>
      </c>
      <c r="H62" s="219">
        <v>0</v>
      </c>
      <c r="I62" s="305">
        <v>0</v>
      </c>
      <c r="J62" s="223">
        <v>0</v>
      </c>
      <c r="K62" s="237">
        <f t="shared" si="9"/>
        <v>3</v>
      </c>
      <c r="L62" s="336"/>
      <c r="M62" s="292"/>
      <c r="N62" s="237">
        <v>3</v>
      </c>
      <c r="O62" s="237"/>
      <c r="P62" s="225">
        <f t="shared" si="10"/>
        <v>0</v>
      </c>
      <c r="Q62" s="231"/>
      <c r="R62" s="231"/>
      <c r="S62" s="226">
        <f t="shared" si="17"/>
        <v>7110</v>
      </c>
      <c r="T62" s="227">
        <v>0</v>
      </c>
      <c r="U62" s="226">
        <f t="shared" si="11"/>
        <v>0</v>
      </c>
      <c r="V62" s="226">
        <f t="shared" si="12"/>
        <v>0</v>
      </c>
      <c r="W62" s="226">
        <f t="shared" si="13"/>
        <v>0</v>
      </c>
      <c r="X62" s="226">
        <f t="shared" si="14"/>
        <v>0</v>
      </c>
      <c r="Y62" s="226">
        <f t="shared" si="15"/>
        <v>7110</v>
      </c>
    </row>
    <row r="63" spans="1:25" ht="15" customHeight="1" x14ac:dyDescent="0.25">
      <c r="A63" s="215">
        <v>2220063</v>
      </c>
      <c r="B63" s="283" t="s">
        <v>173</v>
      </c>
      <c r="C63" s="330">
        <v>2720</v>
      </c>
      <c r="D63" s="330">
        <v>2720</v>
      </c>
      <c r="E63" s="217" t="s">
        <v>135</v>
      </c>
      <c r="F63" s="218">
        <v>0</v>
      </c>
      <c r="G63" s="219">
        <v>0</v>
      </c>
      <c r="H63" s="219">
        <v>0</v>
      </c>
      <c r="I63" s="305">
        <v>0</v>
      </c>
      <c r="J63" s="223">
        <v>0</v>
      </c>
      <c r="K63" s="237">
        <f t="shared" si="9"/>
        <v>0</v>
      </c>
      <c r="L63" s="336"/>
      <c r="M63" s="292"/>
      <c r="N63" s="237">
        <v>0</v>
      </c>
      <c r="O63" s="237"/>
      <c r="P63" s="225">
        <f t="shared" si="10"/>
        <v>0</v>
      </c>
      <c r="Q63" s="231"/>
      <c r="R63" s="231"/>
      <c r="S63" s="226">
        <f t="shared" si="17"/>
        <v>0</v>
      </c>
      <c r="T63" s="227">
        <v>0</v>
      </c>
      <c r="U63" s="226">
        <f t="shared" si="11"/>
        <v>0</v>
      </c>
      <c r="V63" s="226">
        <f t="shared" si="12"/>
        <v>0</v>
      </c>
      <c r="W63" s="226">
        <f t="shared" si="13"/>
        <v>0</v>
      </c>
      <c r="X63" s="226">
        <f t="shared" si="14"/>
        <v>0</v>
      </c>
      <c r="Y63" s="226">
        <f t="shared" si="15"/>
        <v>0</v>
      </c>
    </row>
    <row r="64" spans="1:25" ht="15" x14ac:dyDescent="0.25">
      <c r="A64" s="215">
        <v>2220018</v>
      </c>
      <c r="B64" s="283" t="s">
        <v>28</v>
      </c>
      <c r="C64" s="330">
        <v>44.8</v>
      </c>
      <c r="D64" s="330">
        <v>44.8</v>
      </c>
      <c r="E64" s="217" t="s">
        <v>137</v>
      </c>
      <c r="F64" s="218">
        <v>0</v>
      </c>
      <c r="G64" s="219">
        <v>459</v>
      </c>
      <c r="H64" s="219">
        <v>0</v>
      </c>
      <c r="I64" s="333">
        <f>481.35-22.35</f>
        <v>459</v>
      </c>
      <c r="J64" s="223">
        <v>0</v>
      </c>
      <c r="K64" s="237">
        <f t="shared" si="9"/>
        <v>0</v>
      </c>
      <c r="L64" s="336">
        <v>4.95</v>
      </c>
      <c r="M64" s="292">
        <v>16.5</v>
      </c>
      <c r="N64" s="237">
        <v>0</v>
      </c>
      <c r="O64" s="237"/>
      <c r="P64" s="225">
        <f t="shared" si="10"/>
        <v>0</v>
      </c>
      <c r="Q64" s="231"/>
      <c r="R64" s="231"/>
      <c r="S64" s="226">
        <f t="shared" si="17"/>
        <v>0</v>
      </c>
      <c r="T64" s="227">
        <v>0</v>
      </c>
      <c r="U64" s="226">
        <f t="shared" si="11"/>
        <v>20563.199999999997</v>
      </c>
      <c r="V64" s="226">
        <f t="shared" si="12"/>
        <v>0</v>
      </c>
      <c r="W64" s="226">
        <f t="shared" si="13"/>
        <v>20563.199999999997</v>
      </c>
      <c r="X64" s="226">
        <f t="shared" si="14"/>
        <v>0</v>
      </c>
      <c r="Y64" s="226">
        <f t="shared" si="15"/>
        <v>0</v>
      </c>
    </row>
    <row r="65" spans="1:25" ht="82.8" x14ac:dyDescent="0.25">
      <c r="A65" s="215">
        <v>2220037</v>
      </c>
      <c r="B65" s="283" t="s">
        <v>174</v>
      </c>
      <c r="C65" s="330">
        <v>302.10000000000002</v>
      </c>
      <c r="D65" s="330">
        <v>302.10000000000002</v>
      </c>
      <c r="E65" s="217" t="s">
        <v>175</v>
      </c>
      <c r="F65" s="218">
        <v>0</v>
      </c>
      <c r="G65" s="219">
        <v>50</v>
      </c>
      <c r="H65" s="219">
        <v>0</v>
      </c>
      <c r="I65" s="305">
        <f>18-2</f>
        <v>16</v>
      </c>
      <c r="J65" s="223">
        <v>0</v>
      </c>
      <c r="K65" s="237">
        <f t="shared" si="9"/>
        <v>34</v>
      </c>
      <c r="L65" s="336"/>
      <c r="M65" s="292"/>
      <c r="N65" s="237">
        <v>34</v>
      </c>
      <c r="O65" s="237" t="s">
        <v>277</v>
      </c>
      <c r="P65" s="225">
        <f t="shared" si="10"/>
        <v>0</v>
      </c>
      <c r="Q65" s="231"/>
      <c r="R65" s="231"/>
      <c r="S65" s="226">
        <f t="shared" si="17"/>
        <v>0</v>
      </c>
      <c r="T65" s="227">
        <v>0</v>
      </c>
      <c r="U65" s="226">
        <f t="shared" si="11"/>
        <v>15105.000000000002</v>
      </c>
      <c r="V65" s="226">
        <f t="shared" si="12"/>
        <v>0</v>
      </c>
      <c r="W65" s="226">
        <f t="shared" si="13"/>
        <v>4833.6000000000004</v>
      </c>
      <c r="X65" s="226">
        <f t="shared" si="14"/>
        <v>0</v>
      </c>
      <c r="Y65" s="226">
        <f t="shared" si="15"/>
        <v>10271.400000000001</v>
      </c>
    </row>
    <row r="66" spans="1:25" ht="15" x14ac:dyDescent="0.25">
      <c r="A66" s="215">
        <v>2220060</v>
      </c>
      <c r="B66" s="283" t="s">
        <v>176</v>
      </c>
      <c r="C66" s="330">
        <v>1610</v>
      </c>
      <c r="D66" s="330">
        <v>1610</v>
      </c>
      <c r="E66" s="217" t="s">
        <v>135</v>
      </c>
      <c r="F66" s="218">
        <v>1</v>
      </c>
      <c r="G66" s="219">
        <v>0</v>
      </c>
      <c r="H66" s="219">
        <v>0</v>
      </c>
      <c r="I66" s="305">
        <v>0</v>
      </c>
      <c r="J66" s="223">
        <v>0</v>
      </c>
      <c r="K66" s="237">
        <f t="shared" si="9"/>
        <v>1</v>
      </c>
      <c r="L66" s="336"/>
      <c r="M66" s="292"/>
      <c r="N66" s="237">
        <v>1</v>
      </c>
      <c r="O66" s="237"/>
      <c r="P66" s="225">
        <f t="shared" si="10"/>
        <v>0</v>
      </c>
      <c r="Q66" s="231"/>
      <c r="R66" s="231"/>
      <c r="S66" s="226">
        <f t="shared" si="17"/>
        <v>1610</v>
      </c>
      <c r="T66" s="227">
        <v>0</v>
      </c>
      <c r="U66" s="226">
        <f t="shared" si="11"/>
        <v>0</v>
      </c>
      <c r="V66" s="226">
        <f t="shared" si="12"/>
        <v>0</v>
      </c>
      <c r="W66" s="226">
        <f t="shared" si="13"/>
        <v>0</v>
      </c>
      <c r="X66" s="226">
        <f t="shared" si="14"/>
        <v>0</v>
      </c>
      <c r="Y66" s="226">
        <f t="shared" si="15"/>
        <v>1610</v>
      </c>
    </row>
    <row r="67" spans="1:25" ht="138" x14ac:dyDescent="0.25">
      <c r="A67" s="215">
        <v>2220019</v>
      </c>
      <c r="B67" s="283" t="s">
        <v>29</v>
      </c>
      <c r="C67" s="330">
        <v>36.5</v>
      </c>
      <c r="D67" s="330">
        <v>36.5</v>
      </c>
      <c r="E67" s="217" t="s">
        <v>137</v>
      </c>
      <c r="F67" s="218">
        <v>-1.1546319456101628E-14</v>
      </c>
      <c r="G67" s="219">
        <v>513</v>
      </c>
      <c r="H67" s="219">
        <v>0</v>
      </c>
      <c r="I67" s="333">
        <f>526.2-13.2</f>
        <v>513</v>
      </c>
      <c r="J67" s="223">
        <v>0</v>
      </c>
      <c r="K67" s="237">
        <f t="shared" si="9"/>
        <v>0</v>
      </c>
      <c r="L67" s="336">
        <v>4.05</v>
      </c>
      <c r="M67" s="292">
        <v>17.3</v>
      </c>
      <c r="N67" s="237">
        <v>5.95</v>
      </c>
      <c r="O67" s="237" t="s">
        <v>274</v>
      </c>
      <c r="P67" s="225">
        <f t="shared" si="10"/>
        <v>5.95</v>
      </c>
      <c r="Q67" s="231"/>
      <c r="R67" s="231"/>
      <c r="S67" s="226">
        <v>0</v>
      </c>
      <c r="T67" s="227">
        <v>0</v>
      </c>
      <c r="U67" s="226">
        <f t="shared" si="11"/>
        <v>18724.5</v>
      </c>
      <c r="V67" s="226">
        <f t="shared" si="12"/>
        <v>0</v>
      </c>
      <c r="W67" s="226">
        <f t="shared" si="13"/>
        <v>18724.5</v>
      </c>
      <c r="X67" s="226">
        <f t="shared" si="14"/>
        <v>0</v>
      </c>
      <c r="Y67" s="226">
        <f t="shared" si="15"/>
        <v>0</v>
      </c>
    </row>
    <row r="68" spans="1:25" ht="15" x14ac:dyDescent="0.25">
      <c r="A68" s="215">
        <v>2220032</v>
      </c>
      <c r="B68" s="283" t="s">
        <v>177</v>
      </c>
      <c r="C68" s="330">
        <v>93.8</v>
      </c>
      <c r="D68" s="330">
        <v>93.8</v>
      </c>
      <c r="E68" s="217" t="s">
        <v>133</v>
      </c>
      <c r="F68" s="218">
        <v>0</v>
      </c>
      <c r="G68" s="219">
        <v>28</v>
      </c>
      <c r="H68" s="219">
        <v>0</v>
      </c>
      <c r="I68" s="305">
        <v>6</v>
      </c>
      <c r="J68" s="223">
        <v>0</v>
      </c>
      <c r="K68" s="237">
        <f t="shared" si="9"/>
        <v>22</v>
      </c>
      <c r="L68" s="336"/>
      <c r="M68" s="292"/>
      <c r="N68" s="237">
        <v>22</v>
      </c>
      <c r="O68" s="237"/>
      <c r="P68" s="225">
        <f t="shared" si="10"/>
        <v>0</v>
      </c>
      <c r="Q68" s="231"/>
      <c r="R68" s="231"/>
      <c r="S68" s="226">
        <f t="shared" ref="S68:S78" si="18">C68*F68</f>
        <v>0</v>
      </c>
      <c r="T68" s="227">
        <v>0</v>
      </c>
      <c r="U68" s="226">
        <f t="shared" si="11"/>
        <v>2626.4</v>
      </c>
      <c r="V68" s="226">
        <f t="shared" si="12"/>
        <v>0</v>
      </c>
      <c r="W68" s="226">
        <f t="shared" si="13"/>
        <v>562.79999999999995</v>
      </c>
      <c r="X68" s="226">
        <f t="shared" si="14"/>
        <v>0</v>
      </c>
      <c r="Y68" s="226">
        <f t="shared" si="15"/>
        <v>2063.6000000000004</v>
      </c>
    </row>
    <row r="69" spans="1:25" ht="15" x14ac:dyDescent="0.25">
      <c r="A69" s="215">
        <v>2220020</v>
      </c>
      <c r="B69" s="283" t="s">
        <v>30</v>
      </c>
      <c r="C69" s="330">
        <v>75</v>
      </c>
      <c r="D69" s="330">
        <v>75</v>
      </c>
      <c r="E69" s="217" t="s">
        <v>137</v>
      </c>
      <c r="F69" s="218">
        <v>5.773159728050814E-15</v>
      </c>
      <c r="G69" s="219">
        <v>46.1</v>
      </c>
      <c r="H69" s="219">
        <v>0</v>
      </c>
      <c r="I69" s="333">
        <v>46.1</v>
      </c>
      <c r="J69" s="223">
        <v>0</v>
      </c>
      <c r="K69" s="237">
        <f t="shared" si="9"/>
        <v>7.1054273576010019E-15</v>
      </c>
      <c r="L69" s="336">
        <v>1.45</v>
      </c>
      <c r="M69" s="292"/>
      <c r="N69" s="237">
        <v>1.34</v>
      </c>
      <c r="O69" s="237"/>
      <c r="P69" s="225">
        <f t="shared" si="10"/>
        <v>1.339999999999993</v>
      </c>
      <c r="Q69" s="231"/>
      <c r="R69" s="231"/>
      <c r="S69" s="226">
        <f t="shared" si="18"/>
        <v>4.3298697960381105E-13</v>
      </c>
      <c r="T69" s="227">
        <v>0</v>
      </c>
      <c r="U69" s="226">
        <f t="shared" si="11"/>
        <v>3457.5</v>
      </c>
      <c r="V69" s="226">
        <f t="shared" si="12"/>
        <v>0</v>
      </c>
      <c r="W69" s="226">
        <f t="shared" si="13"/>
        <v>3457.5</v>
      </c>
      <c r="X69" s="226">
        <f t="shared" si="14"/>
        <v>0</v>
      </c>
      <c r="Y69" s="226">
        <f t="shared" si="15"/>
        <v>4.5474735088646412E-13</v>
      </c>
    </row>
    <row r="70" spans="1:25" ht="30" x14ac:dyDescent="0.25">
      <c r="A70" s="215">
        <v>2220055</v>
      </c>
      <c r="B70" s="283" t="s">
        <v>178</v>
      </c>
      <c r="C70" s="330">
        <v>1120</v>
      </c>
      <c r="D70" s="330">
        <v>1120</v>
      </c>
      <c r="E70" s="217" t="s">
        <v>135</v>
      </c>
      <c r="F70" s="218">
        <v>0</v>
      </c>
      <c r="G70" s="219">
        <v>10</v>
      </c>
      <c r="H70" s="219">
        <v>0</v>
      </c>
      <c r="I70" s="305">
        <v>7</v>
      </c>
      <c r="J70" s="223">
        <v>0</v>
      </c>
      <c r="K70" s="237">
        <f t="shared" si="9"/>
        <v>3</v>
      </c>
      <c r="L70" s="336"/>
      <c r="M70" s="292"/>
      <c r="N70" s="237">
        <v>3</v>
      </c>
      <c r="O70" s="237"/>
      <c r="P70" s="225">
        <f t="shared" si="10"/>
        <v>0</v>
      </c>
      <c r="Q70" s="231"/>
      <c r="R70" s="231"/>
      <c r="S70" s="226">
        <f t="shared" si="18"/>
        <v>0</v>
      </c>
      <c r="T70" s="227">
        <v>0</v>
      </c>
      <c r="U70" s="226">
        <f t="shared" si="11"/>
        <v>11200</v>
      </c>
      <c r="V70" s="226">
        <f t="shared" si="12"/>
        <v>0</v>
      </c>
      <c r="W70" s="226">
        <f t="shared" si="13"/>
        <v>7840</v>
      </c>
      <c r="X70" s="226">
        <f t="shared" si="14"/>
        <v>0</v>
      </c>
      <c r="Y70" s="226">
        <f t="shared" si="15"/>
        <v>3360</v>
      </c>
    </row>
    <row r="71" spans="1:25" ht="27.75" customHeight="1" x14ac:dyDescent="0.25">
      <c r="A71" s="215">
        <v>2220067</v>
      </c>
      <c r="B71" s="283" t="s">
        <v>179</v>
      </c>
      <c r="C71" s="330">
        <v>565.5</v>
      </c>
      <c r="D71" s="330">
        <v>565.5</v>
      </c>
      <c r="E71" s="217" t="s">
        <v>133</v>
      </c>
      <c r="F71" s="218">
        <v>5</v>
      </c>
      <c r="G71" s="219">
        <v>0</v>
      </c>
      <c r="H71" s="219">
        <v>0</v>
      </c>
      <c r="I71" s="305">
        <v>2</v>
      </c>
      <c r="J71" s="223">
        <v>0</v>
      </c>
      <c r="K71" s="237">
        <f t="shared" si="9"/>
        <v>3</v>
      </c>
      <c r="L71" s="336"/>
      <c r="M71" s="292"/>
      <c r="N71" s="237">
        <v>3</v>
      </c>
      <c r="O71" s="237"/>
      <c r="P71" s="225">
        <f t="shared" si="10"/>
        <v>0</v>
      </c>
      <c r="Q71" s="231"/>
      <c r="R71" s="231"/>
      <c r="S71" s="226">
        <f t="shared" si="18"/>
        <v>2827.5</v>
      </c>
      <c r="T71" s="227">
        <v>0</v>
      </c>
      <c r="U71" s="226">
        <f t="shared" si="11"/>
        <v>0</v>
      </c>
      <c r="V71" s="226">
        <f t="shared" si="12"/>
        <v>0</v>
      </c>
      <c r="W71" s="226">
        <f t="shared" si="13"/>
        <v>1131</v>
      </c>
      <c r="X71" s="226">
        <f t="shared" si="14"/>
        <v>0</v>
      </c>
      <c r="Y71" s="226">
        <f t="shared" si="15"/>
        <v>1696.5</v>
      </c>
    </row>
    <row r="72" spans="1:25" ht="15" x14ac:dyDescent="0.25">
      <c r="A72" s="234">
        <v>2220073</v>
      </c>
      <c r="B72" s="283" t="s">
        <v>180</v>
      </c>
      <c r="C72" s="330">
        <v>306.82</v>
      </c>
      <c r="D72" s="330">
        <v>306.82</v>
      </c>
      <c r="E72" s="217" t="s">
        <v>133</v>
      </c>
      <c r="F72" s="218">
        <v>5</v>
      </c>
      <c r="G72" s="219">
        <v>0</v>
      </c>
      <c r="H72" s="219">
        <v>0</v>
      </c>
      <c r="I72" s="305">
        <v>0</v>
      </c>
      <c r="J72" s="223">
        <v>0</v>
      </c>
      <c r="K72" s="237">
        <f t="shared" ref="K72:K103" si="19">F72+G72+H72-I72-J72</f>
        <v>5</v>
      </c>
      <c r="L72" s="336"/>
      <c r="M72" s="292"/>
      <c r="N72" s="237">
        <v>5</v>
      </c>
      <c r="O72" s="237"/>
      <c r="P72" s="225">
        <f t="shared" ref="P72:P103" si="20">N72-K72</f>
        <v>0</v>
      </c>
      <c r="Q72" s="231"/>
      <c r="R72" s="231"/>
      <c r="S72" s="226">
        <f t="shared" si="18"/>
        <v>1534.1</v>
      </c>
      <c r="T72" s="227">
        <v>0</v>
      </c>
      <c r="U72" s="226">
        <f t="shared" ref="U72:U103" si="21">G72*D72</f>
        <v>0</v>
      </c>
      <c r="V72" s="226">
        <f t="shared" ref="V72:V103" si="22">H72*D72</f>
        <v>0</v>
      </c>
      <c r="W72" s="226">
        <f t="shared" ref="W72:W103" si="23">I72*D72</f>
        <v>0</v>
      </c>
      <c r="X72" s="226">
        <f t="shared" ref="X72:X103" si="24">J72*D72</f>
        <v>0</v>
      </c>
      <c r="Y72" s="226">
        <f t="shared" ref="Y72:Y103" si="25">S72+T72+U72+V72-W72-X72</f>
        <v>1534.1</v>
      </c>
    </row>
    <row r="73" spans="1:25" ht="82.8" x14ac:dyDescent="0.25">
      <c r="A73" s="215">
        <v>2220141</v>
      </c>
      <c r="B73" s="283" t="s">
        <v>181</v>
      </c>
      <c r="C73" s="330">
        <v>700</v>
      </c>
      <c r="D73" s="330">
        <v>700</v>
      </c>
      <c r="E73" s="217" t="s">
        <v>135</v>
      </c>
      <c r="F73" s="218">
        <v>0</v>
      </c>
      <c r="G73" s="219">
        <v>82</v>
      </c>
      <c r="H73" s="219">
        <v>0</v>
      </c>
      <c r="I73" s="305">
        <f>79-3</f>
        <v>76</v>
      </c>
      <c r="J73" s="223">
        <v>0</v>
      </c>
      <c r="K73" s="237">
        <f t="shared" si="19"/>
        <v>6</v>
      </c>
      <c r="L73" s="336"/>
      <c r="M73" s="292"/>
      <c r="N73" s="237">
        <v>6</v>
      </c>
      <c r="O73" s="237" t="s">
        <v>276</v>
      </c>
      <c r="P73" s="225">
        <f t="shared" si="20"/>
        <v>0</v>
      </c>
      <c r="Q73" s="231"/>
      <c r="R73" s="231"/>
      <c r="S73" s="226">
        <f t="shared" si="18"/>
        <v>0</v>
      </c>
      <c r="T73" s="227">
        <v>0</v>
      </c>
      <c r="U73" s="226">
        <f t="shared" si="21"/>
        <v>57400</v>
      </c>
      <c r="V73" s="226">
        <f t="shared" si="22"/>
        <v>0</v>
      </c>
      <c r="W73" s="226">
        <f t="shared" si="23"/>
        <v>53200</v>
      </c>
      <c r="X73" s="226">
        <f t="shared" si="24"/>
        <v>0</v>
      </c>
      <c r="Y73" s="226">
        <f t="shared" si="25"/>
        <v>4200</v>
      </c>
    </row>
    <row r="74" spans="1:25" ht="15" x14ac:dyDescent="0.25">
      <c r="A74" s="234">
        <v>2220056</v>
      </c>
      <c r="B74" s="283" t="s">
        <v>182</v>
      </c>
      <c r="C74" s="330">
        <v>800</v>
      </c>
      <c r="D74" s="330">
        <v>800</v>
      </c>
      <c r="E74" s="217" t="s">
        <v>135</v>
      </c>
      <c r="F74" s="218">
        <v>0</v>
      </c>
      <c r="G74" s="219">
        <v>0</v>
      </c>
      <c r="H74" s="219">
        <v>0</v>
      </c>
      <c r="I74" s="305">
        <v>0</v>
      </c>
      <c r="J74" s="223">
        <v>0</v>
      </c>
      <c r="K74" s="237">
        <f t="shared" si="19"/>
        <v>0</v>
      </c>
      <c r="L74" s="336"/>
      <c r="M74" s="292"/>
      <c r="N74" s="237">
        <v>0</v>
      </c>
      <c r="O74" s="237"/>
      <c r="P74" s="225">
        <f t="shared" si="20"/>
        <v>0</v>
      </c>
      <c r="Q74" s="231"/>
      <c r="R74" s="231"/>
      <c r="S74" s="226">
        <f t="shared" si="18"/>
        <v>0</v>
      </c>
      <c r="T74" s="227">
        <v>0</v>
      </c>
      <c r="U74" s="226">
        <f t="shared" si="21"/>
        <v>0</v>
      </c>
      <c r="V74" s="226">
        <f t="shared" si="22"/>
        <v>0</v>
      </c>
      <c r="W74" s="226">
        <f t="shared" si="23"/>
        <v>0</v>
      </c>
      <c r="X74" s="226">
        <f t="shared" si="24"/>
        <v>0</v>
      </c>
      <c r="Y74" s="226">
        <f t="shared" si="25"/>
        <v>0</v>
      </c>
    </row>
    <row r="75" spans="1:25" ht="31.5" customHeight="1" x14ac:dyDescent="0.25">
      <c r="A75" s="215">
        <v>2220142</v>
      </c>
      <c r="B75" s="283" t="s">
        <v>183</v>
      </c>
      <c r="C75" s="330">
        <v>650</v>
      </c>
      <c r="D75" s="330">
        <v>650</v>
      </c>
      <c r="E75" s="217" t="s">
        <v>135</v>
      </c>
      <c r="F75" s="218">
        <v>0</v>
      </c>
      <c r="G75" s="219">
        <v>0</v>
      </c>
      <c r="H75" s="219">
        <v>0</v>
      </c>
      <c r="I75" s="305">
        <v>0</v>
      </c>
      <c r="J75" s="223">
        <v>0</v>
      </c>
      <c r="K75" s="237">
        <f t="shared" si="19"/>
        <v>0</v>
      </c>
      <c r="L75" s="336"/>
      <c r="M75" s="292"/>
      <c r="N75" s="237">
        <v>0</v>
      </c>
      <c r="O75" s="237"/>
      <c r="P75" s="225">
        <f t="shared" si="20"/>
        <v>0</v>
      </c>
      <c r="Q75" s="231"/>
      <c r="R75" s="231"/>
      <c r="S75" s="226">
        <f t="shared" si="18"/>
        <v>0</v>
      </c>
      <c r="T75" s="227">
        <v>0</v>
      </c>
      <c r="U75" s="226">
        <f t="shared" si="21"/>
        <v>0</v>
      </c>
      <c r="V75" s="226">
        <f t="shared" si="22"/>
        <v>0</v>
      </c>
      <c r="W75" s="226">
        <f t="shared" si="23"/>
        <v>0</v>
      </c>
      <c r="X75" s="226">
        <f t="shared" si="24"/>
        <v>0</v>
      </c>
      <c r="Y75" s="226">
        <f t="shared" si="25"/>
        <v>0</v>
      </c>
    </row>
    <row r="76" spans="1:25" ht="15" x14ac:dyDescent="0.25">
      <c r="A76" s="215">
        <v>2220075</v>
      </c>
      <c r="B76" s="283" t="s">
        <v>184</v>
      </c>
      <c r="C76" s="330">
        <v>698.4</v>
      </c>
      <c r="D76" s="330">
        <v>698.4</v>
      </c>
      <c r="E76" s="217" t="s">
        <v>135</v>
      </c>
      <c r="F76" s="218">
        <v>0</v>
      </c>
      <c r="G76" s="219">
        <v>0</v>
      </c>
      <c r="H76" s="219">
        <v>0</v>
      </c>
      <c r="I76" s="305">
        <v>0</v>
      </c>
      <c r="J76" s="223">
        <v>0</v>
      </c>
      <c r="K76" s="237">
        <f t="shared" si="19"/>
        <v>0</v>
      </c>
      <c r="L76" s="336"/>
      <c r="M76" s="292"/>
      <c r="N76" s="237">
        <v>0</v>
      </c>
      <c r="O76" s="237"/>
      <c r="P76" s="225">
        <f t="shared" si="20"/>
        <v>0</v>
      </c>
      <c r="Q76" s="231"/>
      <c r="R76" s="231"/>
      <c r="S76" s="226">
        <f t="shared" si="18"/>
        <v>0</v>
      </c>
      <c r="T76" s="227">
        <v>0</v>
      </c>
      <c r="U76" s="226">
        <f t="shared" si="21"/>
        <v>0</v>
      </c>
      <c r="V76" s="226">
        <f t="shared" si="22"/>
        <v>0</v>
      </c>
      <c r="W76" s="226">
        <f t="shared" si="23"/>
        <v>0</v>
      </c>
      <c r="X76" s="226">
        <f t="shared" si="24"/>
        <v>0</v>
      </c>
      <c r="Y76" s="226">
        <f t="shared" si="25"/>
        <v>0</v>
      </c>
    </row>
    <row r="77" spans="1:25" ht="15" x14ac:dyDescent="0.25">
      <c r="A77" s="215">
        <v>2220034</v>
      </c>
      <c r="B77" s="283" t="s">
        <v>185</v>
      </c>
      <c r="C77" s="330">
        <v>62.5</v>
      </c>
      <c r="D77" s="330">
        <v>62.5</v>
      </c>
      <c r="E77" s="217" t="s">
        <v>133</v>
      </c>
      <c r="F77" s="218">
        <v>0</v>
      </c>
      <c r="G77" s="219">
        <v>86</v>
      </c>
      <c r="H77" s="219">
        <v>0</v>
      </c>
      <c r="I77" s="305">
        <v>79</v>
      </c>
      <c r="J77" s="223">
        <v>0</v>
      </c>
      <c r="K77" s="237">
        <f t="shared" si="19"/>
        <v>7</v>
      </c>
      <c r="L77" s="336"/>
      <c r="M77" s="292"/>
      <c r="N77" s="237">
        <v>7</v>
      </c>
      <c r="O77" s="237"/>
      <c r="P77" s="225">
        <f t="shared" si="20"/>
        <v>0</v>
      </c>
      <c r="Q77" s="231"/>
      <c r="R77" s="231"/>
      <c r="S77" s="226">
        <f t="shared" si="18"/>
        <v>0</v>
      </c>
      <c r="T77" s="227">
        <v>0</v>
      </c>
      <c r="U77" s="226">
        <f t="shared" si="21"/>
        <v>5375</v>
      </c>
      <c r="V77" s="226">
        <f t="shared" si="22"/>
        <v>0</v>
      </c>
      <c r="W77" s="226">
        <f t="shared" si="23"/>
        <v>4937.5</v>
      </c>
      <c r="X77" s="226">
        <f t="shared" si="24"/>
        <v>0</v>
      </c>
      <c r="Y77" s="226">
        <f t="shared" si="25"/>
        <v>437.5</v>
      </c>
    </row>
    <row r="78" spans="1:25" ht="15" x14ac:dyDescent="0.25">
      <c r="A78" s="215">
        <v>2220033</v>
      </c>
      <c r="B78" s="283" t="s">
        <v>186</v>
      </c>
      <c r="C78" s="330">
        <v>72.400000000000006</v>
      </c>
      <c r="D78" s="330">
        <v>72.400000000000006</v>
      </c>
      <c r="E78" s="217" t="s">
        <v>133</v>
      </c>
      <c r="F78" s="218">
        <v>0</v>
      </c>
      <c r="G78" s="219">
        <v>86</v>
      </c>
      <c r="H78" s="219">
        <v>0</v>
      </c>
      <c r="I78" s="305">
        <v>84</v>
      </c>
      <c r="J78" s="223">
        <v>0</v>
      </c>
      <c r="K78" s="237">
        <f t="shared" si="19"/>
        <v>2</v>
      </c>
      <c r="L78" s="336"/>
      <c r="M78" s="292"/>
      <c r="N78" s="237">
        <v>4</v>
      </c>
      <c r="O78" s="237"/>
      <c r="P78" s="225">
        <f t="shared" si="20"/>
        <v>2</v>
      </c>
      <c r="Q78" s="231"/>
      <c r="R78" s="231"/>
      <c r="S78" s="226">
        <f t="shared" si="18"/>
        <v>0</v>
      </c>
      <c r="T78" s="227">
        <v>0</v>
      </c>
      <c r="U78" s="226">
        <f t="shared" si="21"/>
        <v>6226.4000000000005</v>
      </c>
      <c r="V78" s="226">
        <f t="shared" si="22"/>
        <v>0</v>
      </c>
      <c r="W78" s="226">
        <f t="shared" si="23"/>
        <v>6081.6</v>
      </c>
      <c r="X78" s="226">
        <f t="shared" si="24"/>
        <v>0</v>
      </c>
      <c r="Y78" s="226">
        <f t="shared" si="25"/>
        <v>144.80000000000018</v>
      </c>
    </row>
    <row r="79" spans="1:25" ht="15" x14ac:dyDescent="0.25">
      <c r="A79" s="215">
        <v>2220021</v>
      </c>
      <c r="B79" s="283" t="s">
        <v>31</v>
      </c>
      <c r="C79" s="330">
        <v>41.2</v>
      </c>
      <c r="D79" s="330">
        <v>41.2</v>
      </c>
      <c r="E79" s="217" t="s">
        <v>137</v>
      </c>
      <c r="F79" s="218">
        <v>-2.8421709430404007E-14</v>
      </c>
      <c r="G79" s="219">
        <v>345.5</v>
      </c>
      <c r="H79" s="219">
        <v>0</v>
      </c>
      <c r="I79" s="333">
        <f>346.2-0.7</f>
        <v>345.5</v>
      </c>
      <c r="J79" s="223">
        <v>0</v>
      </c>
      <c r="K79" s="237">
        <f t="shared" si="19"/>
        <v>0</v>
      </c>
      <c r="L79" s="336">
        <v>-10.7</v>
      </c>
      <c r="M79" s="292">
        <v>15.4</v>
      </c>
      <c r="N79" s="237">
        <v>4</v>
      </c>
      <c r="O79" s="237"/>
      <c r="P79" s="225">
        <f t="shared" si="20"/>
        <v>4</v>
      </c>
      <c r="Q79" s="231"/>
      <c r="R79" s="231"/>
      <c r="S79" s="226">
        <v>0</v>
      </c>
      <c r="T79" s="227">
        <v>0</v>
      </c>
      <c r="U79" s="226">
        <f t="shared" si="21"/>
        <v>14234.6</v>
      </c>
      <c r="V79" s="226">
        <f t="shared" si="22"/>
        <v>0</v>
      </c>
      <c r="W79" s="226">
        <f t="shared" si="23"/>
        <v>14234.6</v>
      </c>
      <c r="X79" s="226">
        <f t="shared" si="24"/>
        <v>0</v>
      </c>
      <c r="Y79" s="226">
        <f t="shared" si="25"/>
        <v>0</v>
      </c>
    </row>
    <row r="80" spans="1:25" ht="15" x14ac:dyDescent="0.25">
      <c r="A80" s="238">
        <v>2220147</v>
      </c>
      <c r="B80" s="339" t="s">
        <v>187</v>
      </c>
      <c r="C80" s="332">
        <v>12</v>
      </c>
      <c r="D80" s="332">
        <v>12</v>
      </c>
      <c r="E80" s="240" t="s">
        <v>133</v>
      </c>
      <c r="F80" s="241">
        <v>0</v>
      </c>
      <c r="G80" s="219">
        <v>0</v>
      </c>
      <c r="H80" s="219">
        <v>0</v>
      </c>
      <c r="I80" s="305">
        <v>0</v>
      </c>
      <c r="J80" s="223">
        <v>0</v>
      </c>
      <c r="K80" s="237">
        <f t="shared" si="19"/>
        <v>0</v>
      </c>
      <c r="L80" s="336"/>
      <c r="M80" s="292"/>
      <c r="N80" s="237">
        <v>0</v>
      </c>
      <c r="O80" s="237"/>
      <c r="P80" s="225">
        <f t="shared" si="20"/>
        <v>0</v>
      </c>
      <c r="Q80" s="231"/>
      <c r="R80" s="231"/>
      <c r="S80" s="226">
        <f>C80*F80</f>
        <v>0</v>
      </c>
      <c r="T80" s="227">
        <v>0</v>
      </c>
      <c r="U80" s="226">
        <f t="shared" si="21"/>
        <v>0</v>
      </c>
      <c r="V80" s="226">
        <f t="shared" si="22"/>
        <v>0</v>
      </c>
      <c r="W80" s="226">
        <f t="shared" si="23"/>
        <v>0</v>
      </c>
      <c r="X80" s="226">
        <f t="shared" si="24"/>
        <v>0</v>
      </c>
      <c r="Y80" s="226">
        <f t="shared" si="25"/>
        <v>0</v>
      </c>
    </row>
    <row r="81" spans="1:25" ht="15" x14ac:dyDescent="0.25">
      <c r="A81" s="215">
        <v>2220022</v>
      </c>
      <c r="B81" s="283" t="s">
        <v>78</v>
      </c>
      <c r="C81" s="330">
        <v>140.69999999999999</v>
      </c>
      <c r="D81" s="330">
        <v>140.69999999999999</v>
      </c>
      <c r="E81" s="217" t="s">
        <v>137</v>
      </c>
      <c r="F81" s="218">
        <v>0</v>
      </c>
      <c r="G81" s="219">
        <v>52</v>
      </c>
      <c r="H81" s="219">
        <v>0</v>
      </c>
      <c r="I81" s="333">
        <f>53.41-1.41</f>
        <v>52</v>
      </c>
      <c r="J81" s="223">
        <v>0</v>
      </c>
      <c r="K81" s="237">
        <f t="shared" si="19"/>
        <v>0</v>
      </c>
      <c r="L81" s="336">
        <v>0.25</v>
      </c>
      <c r="M81" s="292">
        <v>0.31</v>
      </c>
      <c r="N81" s="237">
        <v>2</v>
      </c>
      <c r="O81" s="237"/>
      <c r="P81" s="225">
        <f t="shared" si="20"/>
        <v>2</v>
      </c>
      <c r="Q81" s="231"/>
      <c r="R81" s="231"/>
      <c r="S81" s="226">
        <f>C81*F81</f>
        <v>0</v>
      </c>
      <c r="T81" s="227">
        <v>0</v>
      </c>
      <c r="U81" s="226">
        <f t="shared" si="21"/>
        <v>7316.4</v>
      </c>
      <c r="V81" s="226">
        <f t="shared" si="22"/>
        <v>0</v>
      </c>
      <c r="W81" s="226">
        <f t="shared" si="23"/>
        <v>7316.4</v>
      </c>
      <c r="X81" s="226">
        <f t="shared" si="24"/>
        <v>0</v>
      </c>
      <c r="Y81" s="226">
        <f t="shared" si="25"/>
        <v>0</v>
      </c>
    </row>
    <row r="82" spans="1:25" ht="15" x14ac:dyDescent="0.25">
      <c r="A82" s="215">
        <v>2220023</v>
      </c>
      <c r="B82" s="283" t="s">
        <v>32</v>
      </c>
      <c r="C82" s="330">
        <v>18.2</v>
      </c>
      <c r="D82" s="330">
        <v>18.2</v>
      </c>
      <c r="E82" s="217" t="s">
        <v>131</v>
      </c>
      <c r="F82" s="218">
        <v>0</v>
      </c>
      <c r="G82" s="219">
        <v>87</v>
      </c>
      <c r="H82" s="219">
        <v>0</v>
      </c>
      <c r="I82" s="333">
        <f>89-2</f>
        <v>87</v>
      </c>
      <c r="J82" s="223">
        <v>0</v>
      </c>
      <c r="K82" s="237">
        <f t="shared" si="19"/>
        <v>0</v>
      </c>
      <c r="L82" s="336">
        <v>1</v>
      </c>
      <c r="M82" s="292">
        <v>2</v>
      </c>
      <c r="N82" s="237">
        <v>1</v>
      </c>
      <c r="O82" s="237"/>
      <c r="P82" s="225">
        <f t="shared" si="20"/>
        <v>1</v>
      </c>
      <c r="Q82" s="231"/>
      <c r="R82" s="231"/>
      <c r="S82" s="226">
        <f>C82*F82</f>
        <v>0</v>
      </c>
      <c r="T82" s="227">
        <v>0</v>
      </c>
      <c r="U82" s="226">
        <f t="shared" si="21"/>
        <v>1583.3999999999999</v>
      </c>
      <c r="V82" s="226">
        <f t="shared" si="22"/>
        <v>0</v>
      </c>
      <c r="W82" s="226">
        <f t="shared" si="23"/>
        <v>1583.3999999999999</v>
      </c>
      <c r="X82" s="226">
        <f t="shared" si="24"/>
        <v>0</v>
      </c>
      <c r="Y82" s="226">
        <f t="shared" si="25"/>
        <v>0</v>
      </c>
    </row>
    <row r="83" spans="1:25" ht="15" x14ac:dyDescent="0.25">
      <c r="A83" s="215">
        <v>2220024</v>
      </c>
      <c r="B83" s="283" t="s">
        <v>33</v>
      </c>
      <c r="C83" s="330">
        <v>31.3</v>
      </c>
      <c r="D83" s="330">
        <v>31.3</v>
      </c>
      <c r="E83" s="217" t="s">
        <v>137</v>
      </c>
      <c r="F83" s="218">
        <v>-1.0658141036401503E-14</v>
      </c>
      <c r="G83" s="219">
        <v>679</v>
      </c>
      <c r="H83" s="219">
        <v>0</v>
      </c>
      <c r="I83" s="333">
        <v>652.79</v>
      </c>
      <c r="J83" s="223">
        <v>0</v>
      </c>
      <c r="K83" s="237">
        <f t="shared" si="19"/>
        <v>26.210000000000036</v>
      </c>
      <c r="L83" s="336">
        <v>-19.649999999999999</v>
      </c>
      <c r="M83" s="292">
        <v>0.49</v>
      </c>
      <c r="N83" s="237">
        <v>7</v>
      </c>
      <c r="O83" s="237"/>
      <c r="P83" s="225">
        <f t="shared" si="20"/>
        <v>-19.210000000000036</v>
      </c>
      <c r="Q83" s="231"/>
      <c r="R83" s="231"/>
      <c r="S83" s="226">
        <v>0</v>
      </c>
      <c r="T83" s="227">
        <v>0</v>
      </c>
      <c r="U83" s="226">
        <f t="shared" si="21"/>
        <v>21252.7</v>
      </c>
      <c r="V83" s="226">
        <f t="shared" si="22"/>
        <v>0</v>
      </c>
      <c r="W83" s="226">
        <f t="shared" si="23"/>
        <v>20432.327000000001</v>
      </c>
      <c r="X83" s="226">
        <f t="shared" si="24"/>
        <v>0</v>
      </c>
      <c r="Y83" s="226">
        <f t="shared" si="25"/>
        <v>820.37299999999959</v>
      </c>
    </row>
    <row r="84" spans="1:25" ht="30" x14ac:dyDescent="0.25">
      <c r="A84" s="215">
        <v>2220074</v>
      </c>
      <c r="B84" s="283" t="s">
        <v>188</v>
      </c>
      <c r="C84" s="330">
        <v>312.25</v>
      </c>
      <c r="D84" s="330">
        <v>312.25</v>
      </c>
      <c r="E84" s="217" t="s">
        <v>133</v>
      </c>
      <c r="F84" s="218">
        <v>0</v>
      </c>
      <c r="G84" s="219">
        <v>0</v>
      </c>
      <c r="H84" s="219">
        <v>0</v>
      </c>
      <c r="I84" s="305">
        <v>0</v>
      </c>
      <c r="J84" s="223">
        <v>0</v>
      </c>
      <c r="K84" s="237">
        <f t="shared" si="19"/>
        <v>0</v>
      </c>
      <c r="L84" s="336"/>
      <c r="M84" s="292"/>
      <c r="N84" s="237">
        <v>0</v>
      </c>
      <c r="O84" s="237"/>
      <c r="P84" s="225">
        <f t="shared" si="20"/>
        <v>0</v>
      </c>
      <c r="Q84" s="231"/>
      <c r="R84" s="231"/>
      <c r="S84" s="226">
        <f>C84*F84</f>
        <v>0</v>
      </c>
      <c r="T84" s="227">
        <v>0</v>
      </c>
      <c r="U84" s="226">
        <f t="shared" si="21"/>
        <v>0</v>
      </c>
      <c r="V84" s="226">
        <f t="shared" si="22"/>
        <v>0</v>
      </c>
      <c r="W84" s="226">
        <f t="shared" si="23"/>
        <v>0</v>
      </c>
      <c r="X84" s="226">
        <f t="shared" si="24"/>
        <v>0</v>
      </c>
      <c r="Y84" s="226">
        <f t="shared" si="25"/>
        <v>0</v>
      </c>
    </row>
    <row r="85" spans="1:25" ht="15" customHeight="1" x14ac:dyDescent="0.25">
      <c r="A85" s="215">
        <v>2220043</v>
      </c>
      <c r="B85" s="283" t="s">
        <v>189</v>
      </c>
      <c r="C85" s="330">
        <v>125</v>
      </c>
      <c r="D85" s="330">
        <v>125</v>
      </c>
      <c r="E85" s="217" t="s">
        <v>137</v>
      </c>
      <c r="F85" s="218">
        <v>-2.2737367544323206E-13</v>
      </c>
      <c r="G85" s="219">
        <v>4660</v>
      </c>
      <c r="H85" s="219">
        <v>0</v>
      </c>
      <c r="I85" s="333">
        <v>4557.41</v>
      </c>
      <c r="J85" s="223">
        <v>0</v>
      </c>
      <c r="K85" s="237">
        <f t="shared" si="19"/>
        <v>102.59000000000015</v>
      </c>
      <c r="L85" s="336">
        <v>8.65</v>
      </c>
      <c r="M85" s="292">
        <v>0</v>
      </c>
      <c r="N85" s="237">
        <v>111.12</v>
      </c>
      <c r="O85" s="237"/>
      <c r="P85" s="225">
        <f t="shared" si="20"/>
        <v>8.529999999999859</v>
      </c>
      <c r="Q85" s="231"/>
      <c r="R85" s="231"/>
      <c r="S85" s="226">
        <v>0</v>
      </c>
      <c r="T85" s="227">
        <v>0</v>
      </c>
      <c r="U85" s="226">
        <f t="shared" si="21"/>
        <v>582500</v>
      </c>
      <c r="V85" s="226">
        <f t="shared" si="22"/>
        <v>0</v>
      </c>
      <c r="W85" s="226">
        <f t="shared" si="23"/>
        <v>569676.25</v>
      </c>
      <c r="X85" s="226">
        <f t="shared" si="24"/>
        <v>0</v>
      </c>
      <c r="Y85" s="226">
        <f t="shared" si="25"/>
        <v>12823.75</v>
      </c>
    </row>
    <row r="86" spans="1:25" ht="15" x14ac:dyDescent="0.25">
      <c r="A86" s="234">
        <v>2220083</v>
      </c>
      <c r="B86" s="283" t="s">
        <v>190</v>
      </c>
      <c r="C86" s="330">
        <v>55</v>
      </c>
      <c r="D86" s="330">
        <v>55</v>
      </c>
      <c r="E86" s="217" t="s">
        <v>137</v>
      </c>
      <c r="F86" s="218">
        <v>0</v>
      </c>
      <c r="G86" s="219">
        <v>0</v>
      </c>
      <c r="H86" s="219">
        <v>0</v>
      </c>
      <c r="I86" s="305">
        <v>0</v>
      </c>
      <c r="J86" s="223">
        <v>0</v>
      </c>
      <c r="K86" s="237">
        <f t="shared" si="19"/>
        <v>0</v>
      </c>
      <c r="L86" s="336"/>
      <c r="M86" s="292"/>
      <c r="N86" s="237">
        <v>0</v>
      </c>
      <c r="O86" s="237"/>
      <c r="P86" s="225">
        <f t="shared" si="20"/>
        <v>0</v>
      </c>
      <c r="Q86" s="231"/>
      <c r="R86" s="231"/>
      <c r="S86" s="226">
        <f t="shared" ref="S86:S109" si="26">C86*F86</f>
        <v>0</v>
      </c>
      <c r="T86" s="227">
        <v>0</v>
      </c>
      <c r="U86" s="226">
        <f t="shared" si="21"/>
        <v>0</v>
      </c>
      <c r="V86" s="226">
        <f t="shared" si="22"/>
        <v>0</v>
      </c>
      <c r="W86" s="226">
        <f t="shared" si="23"/>
        <v>0</v>
      </c>
      <c r="X86" s="226">
        <f t="shared" si="24"/>
        <v>0</v>
      </c>
      <c r="Y86" s="226">
        <f t="shared" si="25"/>
        <v>0</v>
      </c>
    </row>
    <row r="87" spans="1:25" ht="15" x14ac:dyDescent="0.25">
      <c r="A87" s="215">
        <v>2220143</v>
      </c>
      <c r="B87" s="283" t="s">
        <v>191</v>
      </c>
      <c r="C87" s="330">
        <v>590</v>
      </c>
      <c r="D87" s="330">
        <v>590</v>
      </c>
      <c r="E87" s="217" t="s">
        <v>135</v>
      </c>
      <c r="F87" s="218">
        <v>0</v>
      </c>
      <c r="G87" s="219">
        <v>147</v>
      </c>
      <c r="H87" s="219">
        <v>0</v>
      </c>
      <c r="I87" s="305">
        <v>126</v>
      </c>
      <c r="J87" s="223">
        <v>0</v>
      </c>
      <c r="K87" s="237">
        <f t="shared" si="19"/>
        <v>21</v>
      </c>
      <c r="L87" s="336"/>
      <c r="M87" s="292"/>
      <c r="N87" s="237">
        <v>21</v>
      </c>
      <c r="O87" s="237"/>
      <c r="P87" s="225">
        <f t="shared" si="20"/>
        <v>0</v>
      </c>
      <c r="Q87" s="231"/>
      <c r="R87" s="231"/>
      <c r="S87" s="226">
        <f t="shared" si="26"/>
        <v>0</v>
      </c>
      <c r="T87" s="227">
        <v>0</v>
      </c>
      <c r="U87" s="226">
        <f t="shared" si="21"/>
        <v>86730</v>
      </c>
      <c r="V87" s="226">
        <f t="shared" si="22"/>
        <v>0</v>
      </c>
      <c r="W87" s="226">
        <f t="shared" si="23"/>
        <v>74340</v>
      </c>
      <c r="X87" s="226">
        <f t="shared" si="24"/>
        <v>0</v>
      </c>
      <c r="Y87" s="226">
        <f t="shared" si="25"/>
        <v>12390</v>
      </c>
    </row>
    <row r="88" spans="1:25" ht="15" x14ac:dyDescent="0.25">
      <c r="A88" s="215">
        <v>2220057</v>
      </c>
      <c r="B88" s="283" t="s">
        <v>192</v>
      </c>
      <c r="C88" s="330">
        <v>650</v>
      </c>
      <c r="D88" s="330">
        <v>650</v>
      </c>
      <c r="E88" s="217" t="s">
        <v>135</v>
      </c>
      <c r="F88" s="218">
        <v>0</v>
      </c>
      <c r="G88" s="219">
        <v>0</v>
      </c>
      <c r="H88" s="219">
        <v>0</v>
      </c>
      <c r="I88" s="305">
        <v>0</v>
      </c>
      <c r="J88" s="223">
        <v>0</v>
      </c>
      <c r="K88" s="237">
        <f t="shared" si="19"/>
        <v>0</v>
      </c>
      <c r="L88" s="336"/>
      <c r="M88" s="292"/>
      <c r="N88" s="237">
        <v>0</v>
      </c>
      <c r="O88" s="237"/>
      <c r="P88" s="225">
        <f t="shared" si="20"/>
        <v>0</v>
      </c>
      <c r="Q88" s="231"/>
      <c r="R88" s="231"/>
      <c r="S88" s="226">
        <f t="shared" si="26"/>
        <v>0</v>
      </c>
      <c r="T88" s="227">
        <v>0</v>
      </c>
      <c r="U88" s="226">
        <f t="shared" si="21"/>
        <v>0</v>
      </c>
      <c r="V88" s="226">
        <f t="shared" si="22"/>
        <v>0</v>
      </c>
      <c r="W88" s="226">
        <f t="shared" si="23"/>
        <v>0</v>
      </c>
      <c r="X88" s="226">
        <f t="shared" si="24"/>
        <v>0</v>
      </c>
      <c r="Y88" s="226">
        <f t="shared" si="25"/>
        <v>0</v>
      </c>
    </row>
    <row r="89" spans="1:25" ht="15" x14ac:dyDescent="0.25">
      <c r="A89" s="215">
        <v>2220077</v>
      </c>
      <c r="B89" s="283" t="s">
        <v>193</v>
      </c>
      <c r="C89" s="330">
        <v>156.80000000000001</v>
      </c>
      <c r="D89" s="330">
        <v>156.80000000000001</v>
      </c>
      <c r="E89" s="217" t="s">
        <v>133</v>
      </c>
      <c r="F89" s="218">
        <v>1</v>
      </c>
      <c r="G89" s="219">
        <v>0</v>
      </c>
      <c r="H89" s="219">
        <v>0</v>
      </c>
      <c r="I89" s="305">
        <v>0</v>
      </c>
      <c r="J89" s="223">
        <v>0</v>
      </c>
      <c r="K89" s="237">
        <f t="shared" si="19"/>
        <v>1</v>
      </c>
      <c r="L89" s="336"/>
      <c r="M89" s="292"/>
      <c r="N89" s="237">
        <v>1</v>
      </c>
      <c r="O89" s="237"/>
      <c r="P89" s="225">
        <f t="shared" si="20"/>
        <v>0</v>
      </c>
      <c r="Q89" s="231"/>
      <c r="R89" s="231"/>
      <c r="S89" s="226">
        <f t="shared" si="26"/>
        <v>156.80000000000001</v>
      </c>
      <c r="T89" s="227">
        <v>0</v>
      </c>
      <c r="U89" s="226">
        <f t="shared" si="21"/>
        <v>0</v>
      </c>
      <c r="V89" s="226">
        <f t="shared" si="22"/>
        <v>0</v>
      </c>
      <c r="W89" s="226">
        <f t="shared" si="23"/>
        <v>0</v>
      </c>
      <c r="X89" s="226">
        <f t="shared" si="24"/>
        <v>0</v>
      </c>
      <c r="Y89" s="226">
        <f t="shared" si="25"/>
        <v>156.80000000000001</v>
      </c>
    </row>
    <row r="90" spans="1:25" ht="15" x14ac:dyDescent="0.25">
      <c r="A90" s="215">
        <v>2220058</v>
      </c>
      <c r="B90" s="283" t="s">
        <v>194</v>
      </c>
      <c r="C90" s="330">
        <v>730</v>
      </c>
      <c r="D90" s="330">
        <v>730</v>
      </c>
      <c r="E90" s="217" t="s">
        <v>135</v>
      </c>
      <c r="F90" s="218">
        <v>0</v>
      </c>
      <c r="G90" s="219">
        <v>13</v>
      </c>
      <c r="H90" s="219">
        <v>0</v>
      </c>
      <c r="I90" s="305">
        <v>11</v>
      </c>
      <c r="J90" s="223">
        <v>0</v>
      </c>
      <c r="K90" s="237">
        <f t="shared" si="19"/>
        <v>2</v>
      </c>
      <c r="L90" s="336"/>
      <c r="M90" s="292"/>
      <c r="N90" s="237">
        <v>2</v>
      </c>
      <c r="O90" s="237"/>
      <c r="P90" s="225">
        <f t="shared" si="20"/>
        <v>0</v>
      </c>
      <c r="Q90" s="231"/>
      <c r="R90" s="231"/>
      <c r="S90" s="226">
        <f t="shared" si="26"/>
        <v>0</v>
      </c>
      <c r="T90" s="227">
        <v>0</v>
      </c>
      <c r="U90" s="226">
        <f t="shared" si="21"/>
        <v>9490</v>
      </c>
      <c r="V90" s="226">
        <f t="shared" si="22"/>
        <v>0</v>
      </c>
      <c r="W90" s="226">
        <f t="shared" si="23"/>
        <v>8030</v>
      </c>
      <c r="X90" s="226">
        <f t="shared" si="24"/>
        <v>0</v>
      </c>
      <c r="Y90" s="226">
        <f t="shared" si="25"/>
        <v>1460</v>
      </c>
    </row>
    <row r="91" spans="1:25" ht="15" x14ac:dyDescent="0.25">
      <c r="A91" s="215">
        <v>2220133</v>
      </c>
      <c r="B91" s="283" t="s">
        <v>195</v>
      </c>
      <c r="C91" s="330">
        <v>215.18</v>
      </c>
      <c r="D91" s="330">
        <v>215.18</v>
      </c>
      <c r="E91" s="217" t="s">
        <v>133</v>
      </c>
      <c r="F91" s="218">
        <v>0</v>
      </c>
      <c r="G91" s="219">
        <v>0</v>
      </c>
      <c r="H91" s="219">
        <v>0</v>
      </c>
      <c r="I91" s="305">
        <v>0</v>
      </c>
      <c r="J91" s="223">
        <v>0</v>
      </c>
      <c r="K91" s="237">
        <f t="shared" si="19"/>
        <v>0</v>
      </c>
      <c r="L91" s="336"/>
      <c r="M91" s="292"/>
      <c r="N91" s="237">
        <v>0</v>
      </c>
      <c r="O91" s="237"/>
      <c r="P91" s="225">
        <f t="shared" si="20"/>
        <v>0</v>
      </c>
      <c r="Q91" s="231"/>
      <c r="R91" s="231"/>
      <c r="S91" s="226">
        <f t="shared" si="26"/>
        <v>0</v>
      </c>
      <c r="T91" s="227">
        <v>0</v>
      </c>
      <c r="U91" s="226">
        <f t="shared" si="21"/>
        <v>0</v>
      </c>
      <c r="V91" s="226">
        <f t="shared" si="22"/>
        <v>0</v>
      </c>
      <c r="W91" s="226">
        <f t="shared" si="23"/>
        <v>0</v>
      </c>
      <c r="X91" s="226">
        <f t="shared" si="24"/>
        <v>0</v>
      </c>
      <c r="Y91" s="226">
        <f t="shared" si="25"/>
        <v>0</v>
      </c>
    </row>
    <row r="92" spans="1:25" ht="15" x14ac:dyDescent="0.25">
      <c r="A92" s="215">
        <v>2220088</v>
      </c>
      <c r="B92" s="283" t="s">
        <v>196</v>
      </c>
      <c r="C92" s="330">
        <v>160</v>
      </c>
      <c r="D92" s="330">
        <v>160</v>
      </c>
      <c r="E92" s="217" t="s">
        <v>137</v>
      </c>
      <c r="F92" s="218">
        <v>0</v>
      </c>
      <c r="G92" s="219">
        <v>0</v>
      </c>
      <c r="H92" s="219">
        <v>0</v>
      </c>
      <c r="I92" s="305">
        <v>0</v>
      </c>
      <c r="J92" s="223">
        <v>0</v>
      </c>
      <c r="K92" s="237">
        <f t="shared" si="19"/>
        <v>0</v>
      </c>
      <c r="L92" s="336"/>
      <c r="M92" s="292"/>
      <c r="N92" s="237">
        <v>0</v>
      </c>
      <c r="O92" s="237"/>
      <c r="P92" s="225">
        <f t="shared" si="20"/>
        <v>0</v>
      </c>
      <c r="Q92" s="231"/>
      <c r="R92" s="231"/>
      <c r="S92" s="226">
        <f t="shared" si="26"/>
        <v>0</v>
      </c>
      <c r="T92" s="227">
        <v>0</v>
      </c>
      <c r="U92" s="226">
        <f t="shared" si="21"/>
        <v>0</v>
      </c>
      <c r="V92" s="226">
        <f t="shared" si="22"/>
        <v>0</v>
      </c>
      <c r="W92" s="226">
        <f t="shared" si="23"/>
        <v>0</v>
      </c>
      <c r="X92" s="226">
        <f t="shared" si="24"/>
        <v>0</v>
      </c>
      <c r="Y92" s="226">
        <f t="shared" si="25"/>
        <v>0</v>
      </c>
    </row>
    <row r="93" spans="1:25" ht="15" x14ac:dyDescent="0.25">
      <c r="A93" s="215">
        <v>2220087</v>
      </c>
      <c r="B93" s="283" t="s">
        <v>197</v>
      </c>
      <c r="C93" s="330">
        <v>830</v>
      </c>
      <c r="D93" s="330">
        <v>830</v>
      </c>
      <c r="E93" s="217" t="s">
        <v>133</v>
      </c>
      <c r="F93" s="218">
        <v>0</v>
      </c>
      <c r="G93" s="219">
        <v>0</v>
      </c>
      <c r="H93" s="219">
        <v>0</v>
      </c>
      <c r="I93" s="305">
        <v>0</v>
      </c>
      <c r="J93" s="223">
        <v>0</v>
      </c>
      <c r="K93" s="237">
        <f t="shared" si="19"/>
        <v>0</v>
      </c>
      <c r="L93" s="336"/>
      <c r="M93" s="292"/>
      <c r="N93" s="237">
        <v>0</v>
      </c>
      <c r="O93" s="237"/>
      <c r="P93" s="225">
        <f t="shared" si="20"/>
        <v>0</v>
      </c>
      <c r="Q93" s="231"/>
      <c r="R93" s="231"/>
      <c r="S93" s="226">
        <f t="shared" si="26"/>
        <v>0</v>
      </c>
      <c r="T93" s="227">
        <v>0</v>
      </c>
      <c r="U93" s="226">
        <f t="shared" si="21"/>
        <v>0</v>
      </c>
      <c r="V93" s="226">
        <f t="shared" si="22"/>
        <v>0</v>
      </c>
      <c r="W93" s="226">
        <f t="shared" si="23"/>
        <v>0</v>
      </c>
      <c r="X93" s="226">
        <f t="shared" si="24"/>
        <v>0</v>
      </c>
      <c r="Y93" s="226">
        <f t="shared" si="25"/>
        <v>0</v>
      </c>
    </row>
    <row r="94" spans="1:25" ht="15" x14ac:dyDescent="0.25">
      <c r="A94" s="215">
        <v>2220132</v>
      </c>
      <c r="B94" s="283" t="s">
        <v>198</v>
      </c>
      <c r="C94" s="330">
        <v>239</v>
      </c>
      <c r="D94" s="330">
        <v>239</v>
      </c>
      <c r="E94" s="217" t="s">
        <v>135</v>
      </c>
      <c r="F94" s="218">
        <v>0</v>
      </c>
      <c r="G94" s="219">
        <v>0</v>
      </c>
      <c r="H94" s="219">
        <v>0</v>
      </c>
      <c r="I94" s="305">
        <v>0</v>
      </c>
      <c r="J94" s="223">
        <v>0</v>
      </c>
      <c r="K94" s="237">
        <f t="shared" si="19"/>
        <v>0</v>
      </c>
      <c r="L94" s="336"/>
      <c r="M94" s="292"/>
      <c r="N94" s="237">
        <v>0</v>
      </c>
      <c r="O94" s="237"/>
      <c r="P94" s="225">
        <f t="shared" si="20"/>
        <v>0</v>
      </c>
      <c r="Q94" s="231"/>
      <c r="R94" s="231"/>
      <c r="S94" s="226">
        <f t="shared" si="26"/>
        <v>0</v>
      </c>
      <c r="T94" s="227">
        <v>0</v>
      </c>
      <c r="U94" s="226">
        <f t="shared" si="21"/>
        <v>0</v>
      </c>
      <c r="V94" s="226">
        <f t="shared" si="22"/>
        <v>0</v>
      </c>
      <c r="W94" s="226">
        <f t="shared" si="23"/>
        <v>0</v>
      </c>
      <c r="X94" s="226">
        <f t="shared" si="24"/>
        <v>0</v>
      </c>
      <c r="Y94" s="226">
        <f t="shared" si="25"/>
        <v>0</v>
      </c>
    </row>
    <row r="95" spans="1:25" ht="15" x14ac:dyDescent="0.25">
      <c r="A95" s="248">
        <v>2220054</v>
      </c>
      <c r="B95" s="283" t="s">
        <v>199</v>
      </c>
      <c r="C95" s="330">
        <v>140</v>
      </c>
      <c r="D95" s="330">
        <v>140</v>
      </c>
      <c r="E95" s="217" t="s">
        <v>135</v>
      </c>
      <c r="F95" s="218">
        <v>0</v>
      </c>
      <c r="G95" s="219">
        <v>0</v>
      </c>
      <c r="H95" s="219">
        <v>0</v>
      </c>
      <c r="I95" s="305">
        <v>0</v>
      </c>
      <c r="J95" s="223">
        <v>0</v>
      </c>
      <c r="K95" s="237">
        <f t="shared" si="19"/>
        <v>0</v>
      </c>
      <c r="L95" s="336"/>
      <c r="M95" s="292"/>
      <c r="N95" s="237">
        <v>0</v>
      </c>
      <c r="O95" s="237"/>
      <c r="P95" s="225">
        <f t="shared" si="20"/>
        <v>0</v>
      </c>
      <c r="Q95" s="231"/>
      <c r="R95" s="231"/>
      <c r="S95" s="226">
        <f t="shared" si="26"/>
        <v>0</v>
      </c>
      <c r="T95" s="227">
        <v>0</v>
      </c>
      <c r="U95" s="226">
        <f t="shared" si="21"/>
        <v>0</v>
      </c>
      <c r="V95" s="226">
        <f t="shared" si="22"/>
        <v>0</v>
      </c>
      <c r="W95" s="226">
        <f t="shared" si="23"/>
        <v>0</v>
      </c>
      <c r="X95" s="226">
        <f t="shared" si="24"/>
        <v>0</v>
      </c>
      <c r="Y95" s="226">
        <f t="shared" si="25"/>
        <v>0</v>
      </c>
    </row>
    <row r="96" spans="1:25" ht="15" x14ac:dyDescent="0.25">
      <c r="A96" s="215">
        <v>2220025</v>
      </c>
      <c r="B96" s="283" t="s">
        <v>34</v>
      </c>
      <c r="C96" s="330">
        <v>19.2</v>
      </c>
      <c r="D96" s="330">
        <v>19.2</v>
      </c>
      <c r="E96" s="217" t="s">
        <v>137</v>
      </c>
      <c r="F96" s="218">
        <v>0</v>
      </c>
      <c r="G96" s="219">
        <v>1136.5</v>
      </c>
      <c r="H96" s="219">
        <v>0</v>
      </c>
      <c r="I96" s="333">
        <f>1200.85-64.35</f>
        <v>1136.5</v>
      </c>
      <c r="J96" s="223">
        <v>0</v>
      </c>
      <c r="K96" s="237">
        <f t="shared" si="19"/>
        <v>0</v>
      </c>
      <c r="L96" s="336">
        <v>40.35</v>
      </c>
      <c r="M96" s="292">
        <v>38</v>
      </c>
      <c r="N96" s="237">
        <v>14</v>
      </c>
      <c r="O96" s="237"/>
      <c r="P96" s="225">
        <f t="shared" si="20"/>
        <v>14</v>
      </c>
      <c r="Q96" s="231"/>
      <c r="R96" s="231"/>
      <c r="S96" s="226">
        <f t="shared" si="26"/>
        <v>0</v>
      </c>
      <c r="T96" s="227">
        <v>0</v>
      </c>
      <c r="U96" s="226">
        <f t="shared" si="21"/>
        <v>21820.799999999999</v>
      </c>
      <c r="V96" s="226">
        <f t="shared" si="22"/>
        <v>0</v>
      </c>
      <c r="W96" s="226">
        <f t="shared" si="23"/>
        <v>21820.799999999999</v>
      </c>
      <c r="X96" s="226">
        <f t="shared" si="24"/>
        <v>0</v>
      </c>
      <c r="Y96" s="226">
        <f t="shared" si="25"/>
        <v>0</v>
      </c>
    </row>
    <row r="97" spans="1:25" ht="15" x14ac:dyDescent="0.25">
      <c r="A97" s="215">
        <v>2220059</v>
      </c>
      <c r="B97" s="283" t="s">
        <v>200</v>
      </c>
      <c r="C97" s="330">
        <v>1310</v>
      </c>
      <c r="D97" s="330">
        <v>1310</v>
      </c>
      <c r="E97" s="217" t="s">
        <v>135</v>
      </c>
      <c r="F97" s="218">
        <v>0</v>
      </c>
      <c r="G97" s="219">
        <v>5</v>
      </c>
      <c r="H97" s="219">
        <v>0</v>
      </c>
      <c r="I97" s="305">
        <v>4</v>
      </c>
      <c r="J97" s="223">
        <v>0</v>
      </c>
      <c r="K97" s="237">
        <f t="shared" si="19"/>
        <v>1</v>
      </c>
      <c r="L97" s="336"/>
      <c r="M97" s="292"/>
      <c r="N97" s="237">
        <v>1</v>
      </c>
      <c r="O97" s="237"/>
      <c r="P97" s="225">
        <f t="shared" si="20"/>
        <v>0</v>
      </c>
      <c r="Q97" s="231"/>
      <c r="R97" s="231"/>
      <c r="S97" s="226">
        <f t="shared" si="26"/>
        <v>0</v>
      </c>
      <c r="T97" s="227">
        <v>0</v>
      </c>
      <c r="U97" s="226">
        <f t="shared" si="21"/>
        <v>6550</v>
      </c>
      <c r="V97" s="226">
        <f t="shared" si="22"/>
        <v>0</v>
      </c>
      <c r="W97" s="226">
        <f t="shared" si="23"/>
        <v>5240</v>
      </c>
      <c r="X97" s="226">
        <f t="shared" si="24"/>
        <v>0</v>
      </c>
      <c r="Y97" s="226">
        <f t="shared" si="25"/>
        <v>1310</v>
      </c>
    </row>
    <row r="98" spans="1:25" ht="15" x14ac:dyDescent="0.25">
      <c r="A98" s="215">
        <v>2220071</v>
      </c>
      <c r="B98" s="283" t="s">
        <v>201</v>
      </c>
      <c r="C98" s="330">
        <v>371</v>
      </c>
      <c r="D98" s="330">
        <v>371</v>
      </c>
      <c r="E98" s="217" t="s">
        <v>133</v>
      </c>
      <c r="F98" s="218">
        <v>0</v>
      </c>
      <c r="G98" s="219">
        <v>0</v>
      </c>
      <c r="H98" s="219">
        <v>0</v>
      </c>
      <c r="I98" s="305">
        <v>0</v>
      </c>
      <c r="J98" s="223">
        <v>0</v>
      </c>
      <c r="K98" s="237">
        <f t="shared" si="19"/>
        <v>0</v>
      </c>
      <c r="L98" s="336"/>
      <c r="M98" s="292"/>
      <c r="N98" s="237">
        <v>0</v>
      </c>
      <c r="O98" s="237"/>
      <c r="P98" s="225">
        <f t="shared" si="20"/>
        <v>0</v>
      </c>
      <c r="Q98" s="231"/>
      <c r="R98" s="231"/>
      <c r="S98" s="226">
        <f t="shared" si="26"/>
        <v>0</v>
      </c>
      <c r="T98" s="227">
        <v>0</v>
      </c>
      <c r="U98" s="226">
        <f t="shared" si="21"/>
        <v>0</v>
      </c>
      <c r="V98" s="226">
        <f t="shared" si="22"/>
        <v>0</v>
      </c>
      <c r="W98" s="226">
        <f t="shared" si="23"/>
        <v>0</v>
      </c>
      <c r="X98" s="226">
        <f t="shared" si="24"/>
        <v>0</v>
      </c>
      <c r="Y98" s="226">
        <f t="shared" si="25"/>
        <v>0</v>
      </c>
    </row>
    <row r="99" spans="1:25" ht="15" x14ac:dyDescent="0.25">
      <c r="A99" s="215">
        <v>2220069</v>
      </c>
      <c r="B99" s="283" t="s">
        <v>113</v>
      </c>
      <c r="C99" s="330">
        <v>256</v>
      </c>
      <c r="D99" s="330">
        <v>256</v>
      </c>
      <c r="E99" s="217" t="s">
        <v>133</v>
      </c>
      <c r="F99" s="218">
        <v>8</v>
      </c>
      <c r="G99" s="219">
        <v>0</v>
      </c>
      <c r="H99" s="219">
        <v>0</v>
      </c>
      <c r="I99" s="305">
        <v>3</v>
      </c>
      <c r="J99" s="223">
        <v>0</v>
      </c>
      <c r="K99" s="237">
        <f t="shared" si="19"/>
        <v>5</v>
      </c>
      <c r="L99" s="336"/>
      <c r="M99" s="292"/>
      <c r="N99" s="237">
        <v>5</v>
      </c>
      <c r="O99" s="237"/>
      <c r="P99" s="225">
        <f t="shared" si="20"/>
        <v>0</v>
      </c>
      <c r="Q99" s="231"/>
      <c r="R99" s="231"/>
      <c r="S99" s="226">
        <f t="shared" si="26"/>
        <v>2048</v>
      </c>
      <c r="T99" s="227">
        <v>0</v>
      </c>
      <c r="U99" s="226">
        <f t="shared" si="21"/>
        <v>0</v>
      </c>
      <c r="V99" s="226">
        <f t="shared" si="22"/>
        <v>0</v>
      </c>
      <c r="W99" s="226">
        <f t="shared" si="23"/>
        <v>768</v>
      </c>
      <c r="X99" s="226">
        <f t="shared" si="24"/>
        <v>0</v>
      </c>
      <c r="Y99" s="226">
        <f t="shared" si="25"/>
        <v>1280</v>
      </c>
    </row>
    <row r="100" spans="1:25" ht="15" x14ac:dyDescent="0.25">
      <c r="A100" s="215">
        <v>2220078</v>
      </c>
      <c r="B100" s="283" t="s">
        <v>202</v>
      </c>
      <c r="C100" s="330">
        <v>85</v>
      </c>
      <c r="D100" s="330">
        <v>85</v>
      </c>
      <c r="E100" s="217" t="s">
        <v>133</v>
      </c>
      <c r="F100" s="218">
        <v>0</v>
      </c>
      <c r="G100" s="219">
        <v>0</v>
      </c>
      <c r="H100" s="219">
        <v>0</v>
      </c>
      <c r="I100" s="305">
        <v>0</v>
      </c>
      <c r="J100" s="223">
        <v>0</v>
      </c>
      <c r="K100" s="237">
        <f t="shared" si="19"/>
        <v>0</v>
      </c>
      <c r="L100" s="336"/>
      <c r="M100" s="292"/>
      <c r="N100" s="237">
        <v>0</v>
      </c>
      <c r="O100" s="237"/>
      <c r="P100" s="225">
        <f t="shared" si="20"/>
        <v>0</v>
      </c>
      <c r="Q100" s="231"/>
      <c r="R100" s="231"/>
      <c r="S100" s="226">
        <f t="shared" si="26"/>
        <v>0</v>
      </c>
      <c r="T100" s="227">
        <v>0</v>
      </c>
      <c r="U100" s="226">
        <f t="shared" si="21"/>
        <v>0</v>
      </c>
      <c r="V100" s="226">
        <f t="shared" si="22"/>
        <v>0</v>
      </c>
      <c r="W100" s="226">
        <f t="shared" si="23"/>
        <v>0</v>
      </c>
      <c r="X100" s="226">
        <f t="shared" si="24"/>
        <v>0</v>
      </c>
      <c r="Y100" s="226">
        <f t="shared" si="25"/>
        <v>0</v>
      </c>
    </row>
    <row r="101" spans="1:25" ht="15" x14ac:dyDescent="0.25">
      <c r="A101" s="215">
        <v>2220065</v>
      </c>
      <c r="B101" s="283" t="s">
        <v>203</v>
      </c>
      <c r="C101" s="330">
        <v>136.56</v>
      </c>
      <c r="D101" s="330">
        <v>136.56</v>
      </c>
      <c r="E101" s="217" t="s">
        <v>133</v>
      </c>
      <c r="F101" s="218">
        <v>0</v>
      </c>
      <c r="G101" s="219">
        <v>0</v>
      </c>
      <c r="H101" s="219">
        <v>0</v>
      </c>
      <c r="I101" s="305">
        <v>0</v>
      </c>
      <c r="J101" s="223">
        <v>0</v>
      </c>
      <c r="K101" s="237">
        <f t="shared" si="19"/>
        <v>0</v>
      </c>
      <c r="L101" s="336"/>
      <c r="M101" s="292"/>
      <c r="N101" s="237">
        <v>0</v>
      </c>
      <c r="O101" s="237"/>
      <c r="P101" s="225">
        <f t="shared" si="20"/>
        <v>0</v>
      </c>
      <c r="Q101" s="231"/>
      <c r="R101" s="231"/>
      <c r="S101" s="226">
        <f t="shared" si="26"/>
        <v>0</v>
      </c>
      <c r="T101" s="227">
        <v>0</v>
      </c>
      <c r="U101" s="226">
        <f t="shared" si="21"/>
        <v>0</v>
      </c>
      <c r="V101" s="226">
        <f t="shared" si="22"/>
        <v>0</v>
      </c>
      <c r="W101" s="226">
        <f t="shared" si="23"/>
        <v>0</v>
      </c>
      <c r="X101" s="226">
        <f t="shared" si="24"/>
        <v>0</v>
      </c>
      <c r="Y101" s="226">
        <f t="shared" si="25"/>
        <v>0</v>
      </c>
    </row>
    <row r="102" spans="1:25" ht="15.75" customHeight="1" x14ac:dyDescent="0.25">
      <c r="A102" s="215">
        <v>2220084</v>
      </c>
      <c r="B102" s="283" t="s">
        <v>204</v>
      </c>
      <c r="C102" s="330">
        <v>320</v>
      </c>
      <c r="D102" s="330">
        <v>320</v>
      </c>
      <c r="E102" s="217" t="s">
        <v>133</v>
      </c>
      <c r="F102" s="218">
        <v>0</v>
      </c>
      <c r="G102" s="219">
        <v>0</v>
      </c>
      <c r="H102" s="219">
        <v>0</v>
      </c>
      <c r="I102" s="305">
        <v>0</v>
      </c>
      <c r="J102" s="223">
        <v>0</v>
      </c>
      <c r="K102" s="237">
        <f t="shared" si="19"/>
        <v>0</v>
      </c>
      <c r="L102" s="336"/>
      <c r="M102" s="292"/>
      <c r="N102" s="237">
        <v>0</v>
      </c>
      <c r="O102" s="237"/>
      <c r="P102" s="225">
        <f t="shared" si="20"/>
        <v>0</v>
      </c>
      <c r="Q102" s="231"/>
      <c r="R102" s="231"/>
      <c r="S102" s="226">
        <f t="shared" si="26"/>
        <v>0</v>
      </c>
      <c r="T102" s="227">
        <v>0</v>
      </c>
      <c r="U102" s="226">
        <f t="shared" si="21"/>
        <v>0</v>
      </c>
      <c r="V102" s="226">
        <f t="shared" si="22"/>
        <v>0</v>
      </c>
      <c r="W102" s="226">
        <f t="shared" si="23"/>
        <v>0</v>
      </c>
      <c r="X102" s="226">
        <f t="shared" si="24"/>
        <v>0</v>
      </c>
      <c r="Y102" s="226">
        <f t="shared" si="25"/>
        <v>0</v>
      </c>
    </row>
    <row r="103" spans="1:25" ht="46.8" x14ac:dyDescent="0.25">
      <c r="A103" s="215">
        <v>2220145</v>
      </c>
      <c r="B103" s="340" t="s">
        <v>205</v>
      </c>
      <c r="C103" s="330">
        <v>760</v>
      </c>
      <c r="D103" s="330">
        <v>760</v>
      </c>
      <c r="E103" s="217" t="s">
        <v>133</v>
      </c>
      <c r="F103" s="229">
        <v>0</v>
      </c>
      <c r="G103" s="219">
        <v>0</v>
      </c>
      <c r="H103" s="219">
        <v>0</v>
      </c>
      <c r="I103" s="305">
        <v>0</v>
      </c>
      <c r="J103" s="223">
        <v>0</v>
      </c>
      <c r="K103" s="237">
        <f t="shared" si="19"/>
        <v>0</v>
      </c>
      <c r="L103" s="336"/>
      <c r="M103" s="292"/>
      <c r="N103" s="237">
        <v>0</v>
      </c>
      <c r="O103" s="237"/>
      <c r="P103" s="225">
        <f t="shared" si="20"/>
        <v>0</v>
      </c>
      <c r="Q103" s="231"/>
      <c r="R103" s="231"/>
      <c r="S103" s="226">
        <f t="shared" si="26"/>
        <v>0</v>
      </c>
      <c r="T103" s="227">
        <v>0</v>
      </c>
      <c r="U103" s="226">
        <f t="shared" si="21"/>
        <v>0</v>
      </c>
      <c r="V103" s="226">
        <f t="shared" si="22"/>
        <v>0</v>
      </c>
      <c r="W103" s="226">
        <f t="shared" si="23"/>
        <v>0</v>
      </c>
      <c r="X103" s="226">
        <f t="shared" si="24"/>
        <v>0</v>
      </c>
      <c r="Y103" s="226">
        <f t="shared" si="25"/>
        <v>0</v>
      </c>
    </row>
    <row r="104" spans="1:25" ht="45" x14ac:dyDescent="0.25">
      <c r="A104" s="215">
        <v>2220146</v>
      </c>
      <c r="B104" s="283" t="s">
        <v>206</v>
      </c>
      <c r="C104" s="330">
        <v>638.4</v>
      </c>
      <c r="D104" s="330">
        <v>638.4</v>
      </c>
      <c r="E104" s="217" t="s">
        <v>133</v>
      </c>
      <c r="F104" s="229">
        <v>0</v>
      </c>
      <c r="G104" s="219">
        <v>0</v>
      </c>
      <c r="H104" s="219">
        <v>0</v>
      </c>
      <c r="I104" s="305">
        <v>0</v>
      </c>
      <c r="J104" s="223">
        <v>0</v>
      </c>
      <c r="K104" s="237">
        <f t="shared" ref="K104:K110" si="27">F104+G104+H104-I104-J104</f>
        <v>0</v>
      </c>
      <c r="L104" s="336"/>
      <c r="M104" s="292"/>
      <c r="N104" s="237">
        <v>0</v>
      </c>
      <c r="O104" s="237"/>
      <c r="P104" s="225">
        <f t="shared" ref="P104:P111" si="28">N104-K104</f>
        <v>0</v>
      </c>
      <c r="Q104" s="231"/>
      <c r="R104" s="231"/>
      <c r="S104" s="226">
        <f t="shared" si="26"/>
        <v>0</v>
      </c>
      <c r="T104" s="227">
        <v>0</v>
      </c>
      <c r="U104" s="226">
        <f t="shared" ref="U104:U115" si="29">G104*D104</f>
        <v>0</v>
      </c>
      <c r="V104" s="226">
        <f t="shared" ref="V104:V111" si="30">H104*D104</f>
        <v>0</v>
      </c>
      <c r="W104" s="226">
        <f t="shared" ref="W104:W115" si="31">I104*D104</f>
        <v>0</v>
      </c>
      <c r="X104" s="226">
        <f t="shared" ref="X104:X111" si="32">J104*D104</f>
        <v>0</v>
      </c>
      <c r="Y104" s="226">
        <f t="shared" ref="Y104:Y111" si="33">S104+T104+U104+V104-W104-X104</f>
        <v>0</v>
      </c>
    </row>
    <row r="105" spans="1:25" ht="16.5" customHeight="1" x14ac:dyDescent="0.25">
      <c r="A105" s="215">
        <v>2220026</v>
      </c>
      <c r="B105" s="283" t="s">
        <v>35</v>
      </c>
      <c r="C105" s="330">
        <v>67.7</v>
      </c>
      <c r="D105" s="330">
        <v>67.7</v>
      </c>
      <c r="E105" s="217" t="s">
        <v>137</v>
      </c>
      <c r="F105" s="218">
        <v>1.4210854715202004E-14</v>
      </c>
      <c r="G105" s="219">
        <v>294</v>
      </c>
      <c r="H105" s="219">
        <v>0</v>
      </c>
      <c r="I105" s="333">
        <f>308.55-14.55</f>
        <v>294</v>
      </c>
      <c r="J105" s="223">
        <v>0</v>
      </c>
      <c r="K105" s="237">
        <f t="shared" si="27"/>
        <v>0</v>
      </c>
      <c r="L105" s="336">
        <v>8.4499999999999993</v>
      </c>
      <c r="M105" s="292">
        <v>8.1</v>
      </c>
      <c r="N105" s="237">
        <v>3</v>
      </c>
      <c r="O105" s="237"/>
      <c r="P105" s="225">
        <f t="shared" si="28"/>
        <v>3</v>
      </c>
      <c r="Q105" s="231"/>
      <c r="R105" s="231"/>
      <c r="S105" s="226">
        <f t="shared" si="26"/>
        <v>9.6207486421917569E-13</v>
      </c>
      <c r="T105" s="227">
        <v>0</v>
      </c>
      <c r="U105" s="226">
        <f t="shared" si="29"/>
        <v>19903.8</v>
      </c>
      <c r="V105" s="226">
        <f t="shared" si="30"/>
        <v>0</v>
      </c>
      <c r="W105" s="226">
        <f t="shared" si="31"/>
        <v>19903.8</v>
      </c>
      <c r="X105" s="226">
        <f t="shared" si="32"/>
        <v>0</v>
      </c>
      <c r="Y105" s="226">
        <f t="shared" si="33"/>
        <v>0</v>
      </c>
    </row>
    <row r="106" spans="1:25" ht="15" x14ac:dyDescent="0.25">
      <c r="A106" s="215">
        <v>2220027</v>
      </c>
      <c r="B106" s="283" t="s">
        <v>79</v>
      </c>
      <c r="C106" s="330">
        <v>166.7</v>
      </c>
      <c r="D106" s="330">
        <v>166.7</v>
      </c>
      <c r="E106" s="217" t="s">
        <v>137</v>
      </c>
      <c r="F106" s="218">
        <v>0</v>
      </c>
      <c r="G106" s="219">
        <v>0</v>
      </c>
      <c r="H106" s="219">
        <v>0</v>
      </c>
      <c r="I106" s="333">
        <v>0</v>
      </c>
      <c r="J106" s="223">
        <v>0</v>
      </c>
      <c r="K106" s="237">
        <f t="shared" si="27"/>
        <v>0</v>
      </c>
      <c r="L106" s="335"/>
      <c r="M106" s="300"/>
      <c r="N106" s="237">
        <v>0</v>
      </c>
      <c r="O106" s="237"/>
      <c r="P106" s="225">
        <f t="shared" si="28"/>
        <v>0</v>
      </c>
      <c r="Q106" s="231"/>
      <c r="R106" s="231"/>
      <c r="S106" s="226">
        <f t="shared" si="26"/>
        <v>0</v>
      </c>
      <c r="T106" s="227">
        <v>0</v>
      </c>
      <c r="U106" s="226">
        <f t="shared" si="29"/>
        <v>0</v>
      </c>
      <c r="V106" s="226">
        <f t="shared" si="30"/>
        <v>0</v>
      </c>
      <c r="W106" s="226">
        <f t="shared" si="31"/>
        <v>0</v>
      </c>
      <c r="X106" s="226">
        <f t="shared" si="32"/>
        <v>0</v>
      </c>
      <c r="Y106" s="226">
        <f t="shared" si="33"/>
        <v>0</v>
      </c>
    </row>
    <row r="107" spans="1:25" ht="15" x14ac:dyDescent="0.25">
      <c r="A107" s="215">
        <v>2220080</v>
      </c>
      <c r="B107" s="283" t="s">
        <v>207</v>
      </c>
      <c r="C107" s="330">
        <v>15.85</v>
      </c>
      <c r="D107" s="330">
        <v>15.85</v>
      </c>
      <c r="E107" s="217" t="s">
        <v>133</v>
      </c>
      <c r="F107" s="218">
        <v>1</v>
      </c>
      <c r="G107" s="219">
        <v>0</v>
      </c>
      <c r="H107" s="219">
        <v>0</v>
      </c>
      <c r="I107" s="305">
        <v>0</v>
      </c>
      <c r="J107" s="223">
        <v>0</v>
      </c>
      <c r="K107" s="237">
        <f t="shared" si="27"/>
        <v>1</v>
      </c>
      <c r="L107" s="337"/>
      <c r="M107" s="292"/>
      <c r="N107" s="237">
        <v>1</v>
      </c>
      <c r="O107" s="237"/>
      <c r="P107" s="225">
        <f t="shared" si="28"/>
        <v>0</v>
      </c>
      <c r="Q107" s="232"/>
      <c r="R107" s="232"/>
      <c r="S107" s="226">
        <f t="shared" si="26"/>
        <v>15.85</v>
      </c>
      <c r="T107" s="227">
        <v>0</v>
      </c>
      <c r="U107" s="226">
        <f t="shared" si="29"/>
        <v>0</v>
      </c>
      <c r="V107" s="226">
        <f t="shared" si="30"/>
        <v>0</v>
      </c>
      <c r="W107" s="226">
        <f t="shared" si="31"/>
        <v>0</v>
      </c>
      <c r="X107" s="226">
        <f t="shared" si="32"/>
        <v>0</v>
      </c>
      <c r="Y107" s="226">
        <f t="shared" si="33"/>
        <v>15.85</v>
      </c>
    </row>
    <row r="108" spans="1:25" ht="15" x14ac:dyDescent="0.25">
      <c r="A108" s="215">
        <v>2220035</v>
      </c>
      <c r="B108" s="283" t="s">
        <v>208</v>
      </c>
      <c r="C108" s="330">
        <v>75</v>
      </c>
      <c r="D108" s="330">
        <v>75</v>
      </c>
      <c r="E108" s="217" t="s">
        <v>133</v>
      </c>
      <c r="F108" s="218">
        <v>0</v>
      </c>
      <c r="G108" s="219">
        <v>24</v>
      </c>
      <c r="H108" s="219">
        <v>0</v>
      </c>
      <c r="I108" s="305">
        <v>23</v>
      </c>
      <c r="J108" s="223">
        <v>0</v>
      </c>
      <c r="K108" s="237">
        <f t="shared" si="27"/>
        <v>1</v>
      </c>
      <c r="L108" s="337"/>
      <c r="M108" s="292"/>
      <c r="N108" s="237">
        <v>1</v>
      </c>
      <c r="O108" s="237"/>
      <c r="P108" s="225">
        <f t="shared" si="28"/>
        <v>0</v>
      </c>
      <c r="Q108" s="231"/>
      <c r="R108" s="231"/>
      <c r="S108" s="226">
        <f t="shared" si="26"/>
        <v>0</v>
      </c>
      <c r="T108" s="227">
        <v>0</v>
      </c>
      <c r="U108" s="226">
        <f t="shared" si="29"/>
        <v>1800</v>
      </c>
      <c r="V108" s="226">
        <f t="shared" si="30"/>
        <v>0</v>
      </c>
      <c r="W108" s="226">
        <f t="shared" si="31"/>
        <v>1725</v>
      </c>
      <c r="X108" s="226">
        <f t="shared" si="32"/>
        <v>0</v>
      </c>
      <c r="Y108" s="226">
        <f t="shared" si="33"/>
        <v>75</v>
      </c>
    </row>
    <row r="109" spans="1:25" ht="15.75" customHeight="1" x14ac:dyDescent="0.25">
      <c r="A109" s="215">
        <v>2220045</v>
      </c>
      <c r="B109" s="283" t="s">
        <v>96</v>
      </c>
      <c r="C109" s="330">
        <v>86</v>
      </c>
      <c r="D109" s="330">
        <v>86</v>
      </c>
      <c r="E109" s="217" t="s">
        <v>210</v>
      </c>
      <c r="F109" s="218">
        <v>29</v>
      </c>
      <c r="G109" s="219">
        <v>20</v>
      </c>
      <c r="H109" s="219">
        <v>0</v>
      </c>
      <c r="I109" s="305">
        <v>3</v>
      </c>
      <c r="J109" s="223">
        <v>0</v>
      </c>
      <c r="K109" s="237">
        <f t="shared" si="27"/>
        <v>46</v>
      </c>
      <c r="L109" s="337"/>
      <c r="M109" s="292"/>
      <c r="N109" s="237">
        <v>46</v>
      </c>
      <c r="O109" s="237"/>
      <c r="P109" s="225">
        <f t="shared" si="28"/>
        <v>0</v>
      </c>
      <c r="Q109" s="231"/>
      <c r="R109" s="231"/>
      <c r="S109" s="226">
        <f t="shared" si="26"/>
        <v>2494</v>
      </c>
      <c r="T109" s="227">
        <v>0</v>
      </c>
      <c r="U109" s="226">
        <f t="shared" si="29"/>
        <v>1720</v>
      </c>
      <c r="V109" s="226">
        <f t="shared" si="30"/>
        <v>0</v>
      </c>
      <c r="W109" s="226">
        <f t="shared" si="31"/>
        <v>258</v>
      </c>
      <c r="X109" s="226">
        <f t="shared" si="32"/>
        <v>0</v>
      </c>
      <c r="Y109" s="226">
        <f t="shared" si="33"/>
        <v>3956</v>
      </c>
    </row>
    <row r="110" spans="1:25" s="246" customFormat="1" ht="15.6" x14ac:dyDescent="0.25">
      <c r="A110" s="215">
        <v>2220028</v>
      </c>
      <c r="B110" s="283" t="s">
        <v>36</v>
      </c>
      <c r="C110" s="330">
        <v>29.2</v>
      </c>
      <c r="D110" s="330">
        <v>29.2</v>
      </c>
      <c r="E110" s="217" t="s">
        <v>137</v>
      </c>
      <c r="F110" s="218">
        <v>-4.2632564145606011E-14</v>
      </c>
      <c r="G110" s="219">
        <v>3154.5</v>
      </c>
      <c r="H110" s="219">
        <v>0</v>
      </c>
      <c r="I110" s="333">
        <f>3191.1-36.6</f>
        <v>3154.5</v>
      </c>
      <c r="J110" s="223">
        <v>0</v>
      </c>
      <c r="K110" s="237">
        <f t="shared" si="27"/>
        <v>0</v>
      </c>
      <c r="L110" s="337">
        <v>2.65</v>
      </c>
      <c r="M110" s="292">
        <v>71.95</v>
      </c>
      <c r="N110" s="237">
        <v>38</v>
      </c>
      <c r="O110" s="237"/>
      <c r="P110" s="225">
        <f t="shared" si="28"/>
        <v>38</v>
      </c>
      <c r="Q110" s="231"/>
      <c r="R110" s="231"/>
      <c r="S110" s="226">
        <v>0</v>
      </c>
      <c r="T110" s="227">
        <v>0</v>
      </c>
      <c r="U110" s="226">
        <f t="shared" si="29"/>
        <v>92111.4</v>
      </c>
      <c r="V110" s="226">
        <f t="shared" si="30"/>
        <v>0</v>
      </c>
      <c r="W110" s="226">
        <f t="shared" si="31"/>
        <v>92111.4</v>
      </c>
      <c r="X110" s="226">
        <f t="shared" si="32"/>
        <v>0</v>
      </c>
      <c r="Y110" s="226">
        <f t="shared" si="33"/>
        <v>0</v>
      </c>
    </row>
    <row r="111" spans="1:25" ht="15" customHeight="1" x14ac:dyDescent="0.25">
      <c r="A111" s="234">
        <v>2220053</v>
      </c>
      <c r="B111" s="283" t="s">
        <v>211</v>
      </c>
      <c r="C111" s="334">
        <v>2830</v>
      </c>
      <c r="D111" s="334">
        <v>2830</v>
      </c>
      <c r="E111" s="236" t="s">
        <v>135</v>
      </c>
      <c r="F111" s="229">
        <v>1</v>
      </c>
      <c r="G111" s="219">
        <v>0</v>
      </c>
      <c r="H111" s="219">
        <v>0</v>
      </c>
      <c r="I111" s="305">
        <v>0</v>
      </c>
      <c r="J111" s="223">
        <v>0</v>
      </c>
      <c r="K111" s="237">
        <f t="shared" ref="K111:K115" si="34">F111+G111+H111-I111-J111</f>
        <v>1</v>
      </c>
      <c r="L111" s="337"/>
      <c r="M111" s="292"/>
      <c r="N111" s="237">
        <v>1</v>
      </c>
      <c r="O111" s="237"/>
      <c r="P111" s="225">
        <f t="shared" si="28"/>
        <v>0</v>
      </c>
      <c r="Q111" s="231"/>
      <c r="R111" s="231"/>
      <c r="S111" s="226">
        <f>C111*F111</f>
        <v>2830</v>
      </c>
      <c r="T111" s="227">
        <v>0</v>
      </c>
      <c r="U111" s="226">
        <f t="shared" si="29"/>
        <v>0</v>
      </c>
      <c r="V111" s="226">
        <f t="shared" si="30"/>
        <v>0</v>
      </c>
      <c r="W111" s="226">
        <f t="shared" si="31"/>
        <v>0</v>
      </c>
      <c r="X111" s="226">
        <f t="shared" si="32"/>
        <v>0</v>
      </c>
      <c r="Y111" s="226">
        <f t="shared" si="33"/>
        <v>2830</v>
      </c>
    </row>
    <row r="112" spans="1:25" s="228" customFormat="1" ht="30" x14ac:dyDescent="0.25">
      <c r="A112" s="238">
        <v>2220148</v>
      </c>
      <c r="B112" s="283" t="s">
        <v>264</v>
      </c>
      <c r="C112" s="330">
        <v>0</v>
      </c>
      <c r="D112" s="330">
        <v>993.33</v>
      </c>
      <c r="E112" s="217"/>
      <c r="F112" s="218">
        <v>0</v>
      </c>
      <c r="G112" s="219">
        <v>50</v>
      </c>
      <c r="H112" s="219">
        <v>0</v>
      </c>
      <c r="I112" s="305">
        <v>48</v>
      </c>
      <c r="J112" s="223">
        <v>0</v>
      </c>
      <c r="K112" s="237">
        <f t="shared" si="34"/>
        <v>2</v>
      </c>
      <c r="L112" s="336"/>
      <c r="M112" s="292"/>
      <c r="N112" s="223">
        <v>2</v>
      </c>
      <c r="O112" s="223"/>
      <c r="P112" s="225">
        <f t="shared" ref="P112:P115" si="35">N112-K112</f>
        <v>0</v>
      </c>
      <c r="Q112" s="231"/>
      <c r="R112" s="231"/>
      <c r="S112" s="226">
        <f>C112*F112</f>
        <v>0</v>
      </c>
      <c r="T112" s="227"/>
      <c r="U112" s="226">
        <f t="shared" si="29"/>
        <v>49666.5</v>
      </c>
      <c r="V112" s="226"/>
      <c r="W112" s="226">
        <f t="shared" si="31"/>
        <v>47679.840000000004</v>
      </c>
      <c r="X112" s="226"/>
      <c r="Y112" s="226"/>
    </row>
    <row r="113" spans="1:25" ht="22.5" customHeight="1" x14ac:dyDescent="0.25">
      <c r="A113" s="238">
        <v>2220149</v>
      </c>
      <c r="B113" s="283" t="s">
        <v>266</v>
      </c>
      <c r="C113" s="334">
        <v>0</v>
      </c>
      <c r="D113" s="334">
        <v>496.67</v>
      </c>
      <c r="E113" s="236"/>
      <c r="F113" s="229">
        <v>0</v>
      </c>
      <c r="G113" s="219">
        <v>26</v>
      </c>
      <c r="H113" s="219">
        <v>0</v>
      </c>
      <c r="I113" s="305">
        <v>24</v>
      </c>
      <c r="J113" s="223">
        <v>0</v>
      </c>
      <c r="K113" s="237">
        <f t="shared" si="34"/>
        <v>2</v>
      </c>
      <c r="L113" s="336"/>
      <c r="M113" s="292"/>
      <c r="N113" s="223">
        <v>2</v>
      </c>
      <c r="O113" s="223"/>
      <c r="P113" s="225">
        <f t="shared" si="35"/>
        <v>0</v>
      </c>
      <c r="Q113" s="231"/>
      <c r="R113" s="231"/>
      <c r="S113" s="226">
        <f>C113*F113</f>
        <v>0</v>
      </c>
      <c r="T113" s="227"/>
      <c r="U113" s="226">
        <f t="shared" si="29"/>
        <v>12913.42</v>
      </c>
      <c r="V113" s="226"/>
      <c r="W113" s="226">
        <f t="shared" si="31"/>
        <v>11920.08</v>
      </c>
      <c r="X113" s="226"/>
      <c r="Y113" s="226"/>
    </row>
    <row r="114" spans="1:25" ht="15" x14ac:dyDescent="0.25">
      <c r="A114" s="234">
        <v>2220150</v>
      </c>
      <c r="B114" s="283" t="s">
        <v>267</v>
      </c>
      <c r="C114" s="334">
        <v>0</v>
      </c>
      <c r="D114" s="334">
        <v>266.67</v>
      </c>
      <c r="E114" s="236"/>
      <c r="F114" s="229">
        <v>0</v>
      </c>
      <c r="G114" s="219">
        <v>2</v>
      </c>
      <c r="H114" s="219">
        <v>0</v>
      </c>
      <c r="I114" s="305">
        <v>1</v>
      </c>
      <c r="J114" s="223">
        <v>0</v>
      </c>
      <c r="K114" s="237">
        <f t="shared" si="34"/>
        <v>1</v>
      </c>
      <c r="L114" s="336"/>
      <c r="M114" s="292"/>
      <c r="N114" s="223">
        <v>1</v>
      </c>
      <c r="O114" s="223"/>
      <c r="P114" s="225">
        <f t="shared" si="35"/>
        <v>0</v>
      </c>
      <c r="Q114" s="231"/>
      <c r="R114" s="231"/>
      <c r="S114" s="226">
        <f>C114*F114</f>
        <v>0</v>
      </c>
      <c r="T114" s="227"/>
      <c r="U114" s="226">
        <f t="shared" si="29"/>
        <v>533.34</v>
      </c>
      <c r="V114" s="226"/>
      <c r="W114" s="226">
        <f t="shared" si="31"/>
        <v>266.67</v>
      </c>
      <c r="X114" s="226"/>
      <c r="Y114" s="226"/>
    </row>
    <row r="115" spans="1:25" ht="15" x14ac:dyDescent="0.25">
      <c r="A115" s="248">
        <v>2220151</v>
      </c>
      <c r="B115" s="283" t="s">
        <v>265</v>
      </c>
      <c r="C115" s="330">
        <v>0</v>
      </c>
      <c r="D115" s="330">
        <v>283.33</v>
      </c>
      <c r="E115" s="217"/>
      <c r="F115" s="218">
        <v>0</v>
      </c>
      <c r="G115" s="219">
        <v>6</v>
      </c>
      <c r="H115" s="219">
        <v>0</v>
      </c>
      <c r="I115" s="305">
        <v>4</v>
      </c>
      <c r="J115" s="223">
        <v>0</v>
      </c>
      <c r="K115" s="237">
        <f t="shared" si="34"/>
        <v>2</v>
      </c>
      <c r="L115" s="336"/>
      <c r="M115" s="292"/>
      <c r="N115" s="223">
        <v>2</v>
      </c>
      <c r="O115" s="223"/>
      <c r="P115" s="225">
        <f t="shared" si="35"/>
        <v>0</v>
      </c>
      <c r="Q115" s="231"/>
      <c r="R115" s="231"/>
      <c r="S115" s="226">
        <f>C115*F115</f>
        <v>0</v>
      </c>
      <c r="T115" s="227"/>
      <c r="U115" s="226">
        <f t="shared" si="29"/>
        <v>1699.98</v>
      </c>
      <c r="V115" s="226"/>
      <c r="W115" s="226">
        <f t="shared" si="31"/>
        <v>1133.32</v>
      </c>
      <c r="X115" s="226"/>
      <c r="Y115" s="226"/>
    </row>
    <row r="116" spans="1:25" s="228" customFormat="1" ht="15" customHeight="1" thickBot="1" x14ac:dyDescent="0.3">
      <c r="A116" s="301" t="s">
        <v>68</v>
      </c>
      <c r="B116" s="301"/>
      <c r="C116" s="302"/>
      <c r="D116" s="302"/>
      <c r="E116" s="303"/>
      <c r="F116" s="304">
        <f>SUM(F8:F115)</f>
        <v>81.004999999999384</v>
      </c>
      <c r="G116" s="304">
        <f>SUM(G8:G115)</f>
        <v>31365</v>
      </c>
      <c r="H116" s="304">
        <f t="shared" ref="H116:K116" si="36">SUM(H8:H115)</f>
        <v>0</v>
      </c>
      <c r="I116" s="304">
        <f t="shared" si="36"/>
        <v>30961.26</v>
      </c>
      <c r="J116" s="304">
        <f t="shared" si="36"/>
        <v>0</v>
      </c>
      <c r="K116" s="304">
        <f t="shared" si="36"/>
        <v>484.74500000000012</v>
      </c>
      <c r="L116" s="304"/>
      <c r="M116" s="304"/>
      <c r="N116" s="304">
        <f>SUM(N8:N115)</f>
        <v>676.56</v>
      </c>
      <c r="O116" s="304">
        <f t="shared" ref="O116:P116" si="37">SUM(O8:O115)</f>
        <v>0</v>
      </c>
      <c r="P116" s="304">
        <f t="shared" si="37"/>
        <v>191.81499999999986</v>
      </c>
      <c r="Q116" s="231"/>
      <c r="R116" s="231"/>
      <c r="S116" s="250">
        <f>SUM(S8:S115)</f>
        <v>59126.832500000004</v>
      </c>
      <c r="T116" s="250">
        <f t="shared" ref="T116:Y116" si="38">SUM(T8:T115)</f>
        <v>0</v>
      </c>
      <c r="U116" s="250">
        <f t="shared" si="38"/>
        <v>3291279.5899999994</v>
      </c>
      <c r="V116" s="250">
        <f t="shared" si="38"/>
        <v>0</v>
      </c>
      <c r="W116" s="250">
        <f t="shared" si="38"/>
        <v>3165362.8029999994</v>
      </c>
      <c r="X116" s="250">
        <f t="shared" si="38"/>
        <v>0</v>
      </c>
      <c r="Y116" s="250">
        <f t="shared" si="38"/>
        <v>181230.28950000001</v>
      </c>
    </row>
    <row r="117" spans="1:25" ht="15.6" thickTop="1" x14ac:dyDescent="0.3">
      <c r="F117" s="251"/>
      <c r="P117" s="228"/>
    </row>
    <row r="118" spans="1:25" x14ac:dyDescent="0.3">
      <c r="F118" s="252"/>
    </row>
    <row r="119" spans="1:25" x14ac:dyDescent="0.3">
      <c r="A119" s="253"/>
      <c r="B119" s="208"/>
      <c r="C119" s="254"/>
      <c r="D119" s="254"/>
      <c r="E119" s="255"/>
      <c r="F119" s="256"/>
      <c r="G119" s="255"/>
      <c r="H119" s="255"/>
      <c r="I119" s="255"/>
      <c r="J119" s="255"/>
      <c r="K119" s="293"/>
      <c r="L119" s="293"/>
      <c r="M119" s="293"/>
      <c r="P119" s="257"/>
      <c r="Q119" s="255"/>
      <c r="R119" s="258"/>
      <c r="S119" s="258"/>
      <c r="T119" s="258"/>
      <c r="U119" s="258"/>
      <c r="V119" s="258"/>
    </row>
    <row r="120" spans="1:25" ht="15.6" x14ac:dyDescent="0.3">
      <c r="A120" s="253"/>
      <c r="B120" s="345" t="s">
        <v>253</v>
      </c>
      <c r="C120" s="345"/>
      <c r="D120" s="345"/>
      <c r="E120" s="345"/>
      <c r="F120" s="255"/>
      <c r="G120" s="346" t="s">
        <v>254</v>
      </c>
      <c r="H120" s="346"/>
      <c r="I120" s="346"/>
      <c r="J120" s="346"/>
      <c r="K120" s="347"/>
      <c r="L120" s="347"/>
      <c r="M120" s="347"/>
      <c r="N120" s="347"/>
      <c r="O120" s="289"/>
      <c r="P120" s="208"/>
      <c r="Q120" s="255"/>
      <c r="R120" s="258"/>
      <c r="S120" s="346" t="s">
        <v>255</v>
      </c>
      <c r="T120" s="346"/>
      <c r="U120" s="346"/>
      <c r="V120" s="346"/>
    </row>
    <row r="121" spans="1:25" ht="15.6" x14ac:dyDescent="0.3">
      <c r="A121" s="253"/>
      <c r="B121" s="350"/>
      <c r="C121" s="350"/>
      <c r="D121" s="350"/>
      <c r="E121" s="350"/>
      <c r="F121" s="260"/>
      <c r="G121" s="351"/>
      <c r="H121" s="351"/>
      <c r="I121" s="351"/>
      <c r="J121" s="351"/>
      <c r="K121" s="352"/>
      <c r="L121" s="352"/>
      <c r="M121" s="352"/>
      <c r="N121" s="352"/>
      <c r="O121" s="329"/>
      <c r="P121" s="261"/>
      <c r="Q121" s="261"/>
      <c r="R121" s="261"/>
      <c r="S121" s="353"/>
      <c r="T121" s="353"/>
      <c r="U121" s="353"/>
      <c r="V121" s="353"/>
    </row>
    <row r="122" spans="1:25" ht="15.6" x14ac:dyDescent="0.3">
      <c r="A122" s="253"/>
      <c r="B122" s="354" t="s">
        <v>256</v>
      </c>
      <c r="C122" s="354"/>
      <c r="D122" s="354"/>
      <c r="E122" s="354"/>
      <c r="F122" s="255"/>
      <c r="G122" s="355" t="s">
        <v>257</v>
      </c>
      <c r="H122" s="355"/>
      <c r="I122" s="355"/>
      <c r="J122" s="355"/>
      <c r="K122" s="356"/>
      <c r="L122" s="356"/>
      <c r="M122" s="356"/>
      <c r="N122" s="356"/>
      <c r="O122" s="290"/>
      <c r="P122" s="253"/>
      <c r="Q122" s="255"/>
      <c r="R122" s="255"/>
      <c r="S122" s="355" t="s">
        <v>258</v>
      </c>
      <c r="T122" s="355"/>
      <c r="U122" s="355"/>
      <c r="V122" s="355"/>
    </row>
    <row r="123" spans="1:25" ht="15.6" x14ac:dyDescent="0.3">
      <c r="A123" s="253"/>
      <c r="B123" s="348" t="s">
        <v>259</v>
      </c>
      <c r="C123" s="348"/>
      <c r="D123" s="348"/>
      <c r="E123" s="348"/>
      <c r="F123" s="255"/>
      <c r="G123" s="348" t="s">
        <v>260</v>
      </c>
      <c r="H123" s="348"/>
      <c r="I123" s="348"/>
      <c r="J123" s="348"/>
      <c r="K123" s="349"/>
      <c r="L123" s="349"/>
      <c r="M123" s="349"/>
      <c r="N123" s="349"/>
      <c r="O123" s="291"/>
      <c r="P123" s="253"/>
      <c r="Q123" s="255"/>
      <c r="R123" s="255"/>
      <c r="S123" s="348" t="s">
        <v>261</v>
      </c>
      <c r="T123" s="348"/>
      <c r="U123" s="348"/>
      <c r="V123" s="348"/>
    </row>
  </sheetData>
  <autoFilter ref="A7:Z116" xr:uid="{0BFEF28A-1488-46E0-BC41-237FC0EC7604}">
    <sortState xmlns:xlrd2="http://schemas.microsoft.com/office/spreadsheetml/2017/richdata2" ref="A8:Z116">
      <sortCondition ref="B7:B116"/>
    </sortState>
  </autoFilter>
  <mergeCells count="16">
    <mergeCell ref="B123:E123"/>
    <mergeCell ref="G123:N123"/>
    <mergeCell ref="S123:V123"/>
    <mergeCell ref="S120:V120"/>
    <mergeCell ref="B121:E121"/>
    <mergeCell ref="G121:N121"/>
    <mergeCell ref="S121:V121"/>
    <mergeCell ref="B122:E122"/>
    <mergeCell ref="G122:N122"/>
    <mergeCell ref="S122:V122"/>
    <mergeCell ref="A1:N1"/>
    <mergeCell ref="A2:N2"/>
    <mergeCell ref="A3:N3"/>
    <mergeCell ref="G5:N5"/>
    <mergeCell ref="B120:E120"/>
    <mergeCell ref="G120:N120"/>
  </mergeCells>
  <conditionalFormatting sqref="A107:A111">
    <cfRule type="duplicateValues" dxfId="8" priority="3"/>
  </conditionalFormatting>
  <conditionalFormatting sqref="A112:A113">
    <cfRule type="duplicateValues" dxfId="7" priority="1"/>
  </conditionalFormatting>
  <conditionalFormatting sqref="A119:A123">
    <cfRule type="duplicateValues" dxfId="6" priority="2"/>
  </conditionalFormatting>
  <pageMargins left="0.7" right="0.7" top="0.75" bottom="0.75" header="0.3" footer="0.3"/>
  <pageSetup scale="48" fitToHeight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81"/>
  <sheetViews>
    <sheetView workbookViewId="0">
      <selection activeCell="E11" sqref="E11"/>
    </sheetView>
  </sheetViews>
  <sheetFormatPr baseColWidth="10" defaultColWidth="14.44140625" defaultRowHeight="15" customHeight="1" x14ac:dyDescent="0.3"/>
  <cols>
    <col min="1" max="1" width="11.44140625" customWidth="1"/>
    <col min="2" max="2" width="8.6640625" customWidth="1"/>
    <col min="3" max="3" width="13.109375" customWidth="1"/>
    <col min="4" max="4" width="40.109375" customWidth="1"/>
    <col min="5" max="5" width="21.6640625" customWidth="1"/>
    <col min="6" max="6" width="13.6640625" customWidth="1"/>
    <col min="7" max="7" width="8.6640625" customWidth="1"/>
    <col min="8" max="8" width="10" customWidth="1"/>
    <col min="9" max="26" width="11.44140625" customWidth="1"/>
  </cols>
  <sheetData>
    <row r="1" spans="1:8" ht="14.4" x14ac:dyDescent="0.3">
      <c r="A1" s="357" t="s">
        <v>0</v>
      </c>
      <c r="B1" s="358"/>
      <c r="C1" s="358"/>
      <c r="D1" s="358"/>
      <c r="E1" s="358"/>
      <c r="F1" s="358"/>
      <c r="G1" s="358"/>
      <c r="H1" s="2"/>
    </row>
    <row r="2" spans="1:8" ht="31.5" customHeight="1" x14ac:dyDescent="0.3">
      <c r="A2" s="357" t="s">
        <v>1</v>
      </c>
      <c r="B2" s="358"/>
      <c r="C2" s="358"/>
      <c r="D2" s="358"/>
      <c r="E2" s="358"/>
      <c r="F2" s="358"/>
      <c r="G2" s="358"/>
      <c r="H2" s="2"/>
    </row>
    <row r="3" spans="1:8" ht="14.4" x14ac:dyDescent="0.3">
      <c r="A3" s="1"/>
      <c r="B3" s="1"/>
      <c r="C3" s="1"/>
      <c r="D3" s="1"/>
      <c r="E3" s="1"/>
      <c r="F3" s="1"/>
      <c r="G3" s="3" t="s">
        <v>2</v>
      </c>
      <c r="H3" s="2"/>
    </row>
    <row r="4" spans="1:8" ht="46.5" customHeight="1" x14ac:dyDescent="0.3">
      <c r="A4" s="4" t="s">
        <v>3</v>
      </c>
      <c r="B4" s="4" t="s">
        <v>4</v>
      </c>
      <c r="C4" s="4" t="s">
        <v>5</v>
      </c>
      <c r="D4" s="4" t="s">
        <v>6</v>
      </c>
      <c r="E4" s="5" t="s">
        <v>7</v>
      </c>
      <c r="F4" s="5" t="s">
        <v>8</v>
      </c>
      <c r="G4" s="4" t="s">
        <v>9</v>
      </c>
      <c r="H4" s="5" t="s">
        <v>10</v>
      </c>
    </row>
    <row r="5" spans="1:8" ht="14.4" x14ac:dyDescent="0.3">
      <c r="A5" s="6">
        <v>46115</v>
      </c>
      <c r="B5" s="7"/>
      <c r="C5" s="7" t="s">
        <v>11</v>
      </c>
      <c r="D5" s="7" t="s">
        <v>12</v>
      </c>
      <c r="E5" s="7">
        <v>60</v>
      </c>
      <c r="F5" s="7">
        <v>60</v>
      </c>
      <c r="G5" s="7">
        <f>Tabla3[[#This Row],[ENTRADA FISICA ]]-Tabla3[[#This Row],[SOLICITUD DE PEDIDO (ACTA)]]</f>
        <v>0</v>
      </c>
      <c r="H5" s="8" t="s">
        <v>13</v>
      </c>
    </row>
    <row r="6" spans="1:8" ht="14.4" x14ac:dyDescent="0.3">
      <c r="A6" s="9">
        <v>46115</v>
      </c>
      <c r="B6" s="10"/>
      <c r="C6" s="10" t="s">
        <v>11</v>
      </c>
      <c r="D6" s="10" t="s">
        <v>14</v>
      </c>
      <c r="E6" s="10">
        <v>112</v>
      </c>
      <c r="F6" s="10">
        <v>112</v>
      </c>
      <c r="G6" s="7">
        <f>Tabla3[[#This Row],[ENTRADA FISICA ]]-Tabla3[[#This Row],[SOLICITUD DE PEDIDO (ACTA)]]</f>
        <v>0</v>
      </c>
      <c r="H6" s="11" t="s">
        <v>13</v>
      </c>
    </row>
    <row r="7" spans="1:8" ht="14.4" x14ac:dyDescent="0.3">
      <c r="A7" s="6">
        <v>46115</v>
      </c>
      <c r="B7" s="7"/>
      <c r="C7" s="7" t="s">
        <v>11</v>
      </c>
      <c r="D7" s="7" t="s">
        <v>15</v>
      </c>
      <c r="E7" s="7">
        <v>2</v>
      </c>
      <c r="F7" s="7">
        <v>2.6</v>
      </c>
      <c r="G7" s="7">
        <f>Tabla3[[#This Row],[ENTRADA FISICA ]]-Tabla3[[#This Row],[SOLICITUD DE PEDIDO (ACTA)]]</f>
        <v>0.60000000000000009</v>
      </c>
      <c r="H7" s="8" t="s">
        <v>13</v>
      </c>
    </row>
    <row r="8" spans="1:8" ht="14.4" x14ac:dyDescent="0.3">
      <c r="A8" s="9">
        <v>46115</v>
      </c>
      <c r="B8" s="10"/>
      <c r="C8" s="10" t="s">
        <v>11</v>
      </c>
      <c r="D8" s="10" t="s">
        <v>16</v>
      </c>
      <c r="E8" s="10">
        <v>13</v>
      </c>
      <c r="F8" s="10">
        <v>11.85</v>
      </c>
      <c r="G8" s="7">
        <f>Tabla3[[#This Row],[ENTRADA FISICA ]]-Tabla3[[#This Row],[SOLICITUD DE PEDIDO (ACTA)]]</f>
        <v>-1.1500000000000004</v>
      </c>
      <c r="H8" s="11" t="s">
        <v>13</v>
      </c>
    </row>
    <row r="9" spans="1:8" ht="14.4" x14ac:dyDescent="0.3">
      <c r="A9" s="6">
        <v>46115</v>
      </c>
      <c r="B9" s="7"/>
      <c r="C9" s="7" t="s">
        <v>11</v>
      </c>
      <c r="D9" s="7" t="s">
        <v>17</v>
      </c>
      <c r="E9" s="7">
        <v>9</v>
      </c>
      <c r="F9" s="7">
        <v>8.8000000000000007</v>
      </c>
      <c r="G9" s="7">
        <f>Tabla3[[#This Row],[ENTRADA FISICA ]]-Tabla3[[#This Row],[SOLICITUD DE PEDIDO (ACTA)]]</f>
        <v>-0.19999999999999929</v>
      </c>
      <c r="H9" s="8" t="s">
        <v>13</v>
      </c>
    </row>
    <row r="10" spans="1:8" ht="14.4" x14ac:dyDescent="0.3">
      <c r="A10" s="9">
        <v>46115</v>
      </c>
      <c r="B10" s="10"/>
      <c r="C10" s="10" t="s">
        <v>11</v>
      </c>
      <c r="D10" s="10" t="s">
        <v>18</v>
      </c>
      <c r="E10" s="10">
        <v>9</v>
      </c>
      <c r="F10" s="10">
        <v>8</v>
      </c>
      <c r="G10" s="7">
        <f>Tabla3[[#This Row],[ENTRADA FISICA ]]-Tabla3[[#This Row],[SOLICITUD DE PEDIDO (ACTA)]]</f>
        <v>-1</v>
      </c>
      <c r="H10" s="11" t="s">
        <v>13</v>
      </c>
    </row>
    <row r="11" spans="1:8" ht="14.4" x14ac:dyDescent="0.3">
      <c r="A11" s="6">
        <v>46115</v>
      </c>
      <c r="B11" s="7"/>
      <c r="C11" s="7" t="s">
        <v>11</v>
      </c>
      <c r="D11" s="7" t="s">
        <v>19</v>
      </c>
      <c r="E11" s="7">
        <v>1.5</v>
      </c>
      <c r="F11" s="7">
        <v>1.25</v>
      </c>
      <c r="G11" s="7">
        <f>Tabla3[[#This Row],[ENTRADA FISICA ]]-Tabla3[[#This Row],[SOLICITUD DE PEDIDO (ACTA)]]</f>
        <v>-0.25</v>
      </c>
      <c r="H11" s="8" t="s">
        <v>13</v>
      </c>
    </row>
    <row r="12" spans="1:8" ht="14.4" x14ac:dyDescent="0.3">
      <c r="A12" s="9">
        <v>46115</v>
      </c>
      <c r="B12" s="10"/>
      <c r="C12" s="10" t="s">
        <v>11</v>
      </c>
      <c r="D12" s="10" t="s">
        <v>20</v>
      </c>
      <c r="E12" s="10">
        <v>16</v>
      </c>
      <c r="F12" s="10">
        <v>12</v>
      </c>
      <c r="G12" s="7">
        <f>Tabla3[[#This Row],[ENTRADA FISICA ]]-Tabla3[[#This Row],[SOLICITUD DE PEDIDO (ACTA)]]</f>
        <v>-4</v>
      </c>
      <c r="H12" s="11" t="s">
        <v>13</v>
      </c>
    </row>
    <row r="13" spans="1:8" ht="14.4" x14ac:dyDescent="0.3">
      <c r="A13" s="6">
        <v>46115</v>
      </c>
      <c r="B13" s="7"/>
      <c r="C13" s="7" t="s">
        <v>11</v>
      </c>
      <c r="D13" s="7" t="s">
        <v>21</v>
      </c>
      <c r="E13" s="7">
        <v>14</v>
      </c>
      <c r="F13" s="7">
        <v>14</v>
      </c>
      <c r="G13" s="7">
        <f>Tabla3[[#This Row],[ENTRADA FISICA ]]-Tabla3[[#This Row],[SOLICITUD DE PEDIDO (ACTA)]]</f>
        <v>0</v>
      </c>
      <c r="H13" s="8" t="s">
        <v>13</v>
      </c>
    </row>
    <row r="14" spans="1:8" ht="14.4" x14ac:dyDescent="0.3">
      <c r="A14" s="9">
        <v>46115</v>
      </c>
      <c r="B14" s="10"/>
      <c r="C14" s="10" t="s">
        <v>11</v>
      </c>
      <c r="D14" s="10" t="s">
        <v>22</v>
      </c>
      <c r="E14" s="10">
        <v>37</v>
      </c>
      <c r="F14" s="10">
        <v>34</v>
      </c>
      <c r="G14" s="7">
        <f>Tabla3[[#This Row],[ENTRADA FISICA ]]-Tabla3[[#This Row],[SOLICITUD DE PEDIDO (ACTA)]]</f>
        <v>-3</v>
      </c>
      <c r="H14" s="11" t="s">
        <v>13</v>
      </c>
    </row>
    <row r="15" spans="1:8" ht="14.4" x14ac:dyDescent="0.3">
      <c r="A15" s="6">
        <v>46115</v>
      </c>
      <c r="B15" s="7"/>
      <c r="C15" s="7" t="s">
        <v>11</v>
      </c>
      <c r="D15" s="7" t="s">
        <v>23</v>
      </c>
      <c r="E15" s="7">
        <v>130</v>
      </c>
      <c r="F15" s="7">
        <v>130</v>
      </c>
      <c r="G15" s="7">
        <f>Tabla3[[#This Row],[ENTRADA FISICA ]]-Tabla3[[#This Row],[SOLICITUD DE PEDIDO (ACTA)]]</f>
        <v>0</v>
      </c>
      <c r="H15" s="8" t="s">
        <v>13</v>
      </c>
    </row>
    <row r="16" spans="1:8" ht="14.4" x14ac:dyDescent="0.3">
      <c r="A16" s="9">
        <v>46115</v>
      </c>
      <c r="B16" s="10"/>
      <c r="C16" s="10" t="s">
        <v>11</v>
      </c>
      <c r="D16" s="10" t="s">
        <v>24</v>
      </c>
      <c r="E16" s="10">
        <v>2</v>
      </c>
      <c r="F16" s="10">
        <v>2</v>
      </c>
      <c r="G16" s="7">
        <f>Tabla3[[#This Row],[ENTRADA FISICA ]]-Tabla3[[#This Row],[SOLICITUD DE PEDIDO (ACTA)]]</f>
        <v>0</v>
      </c>
      <c r="H16" s="11" t="s">
        <v>13</v>
      </c>
    </row>
    <row r="17" spans="1:8" ht="14.4" x14ac:dyDescent="0.3">
      <c r="A17" s="6">
        <v>46115</v>
      </c>
      <c r="B17" s="7"/>
      <c r="C17" s="7" t="s">
        <v>11</v>
      </c>
      <c r="D17" s="7" t="s">
        <v>25</v>
      </c>
      <c r="E17" s="7">
        <v>4.5</v>
      </c>
      <c r="F17" s="7">
        <v>4.7</v>
      </c>
      <c r="G17" s="7">
        <f>Tabla3[[#This Row],[ENTRADA FISICA ]]-Tabla3[[#This Row],[SOLICITUD DE PEDIDO (ACTA)]]</f>
        <v>0.20000000000000018</v>
      </c>
      <c r="H17" s="8" t="s">
        <v>13</v>
      </c>
    </row>
    <row r="18" spans="1:8" ht="14.4" x14ac:dyDescent="0.3">
      <c r="A18" s="9">
        <v>46115</v>
      </c>
      <c r="B18" s="10"/>
      <c r="C18" s="10" t="s">
        <v>11</v>
      </c>
      <c r="D18" s="10" t="s">
        <v>26</v>
      </c>
      <c r="E18" s="10">
        <v>160</v>
      </c>
      <c r="F18" s="10">
        <v>144</v>
      </c>
      <c r="G18" s="7">
        <f>Tabla3[[#This Row],[ENTRADA FISICA ]]-Tabla3[[#This Row],[SOLICITUD DE PEDIDO (ACTA)]]</f>
        <v>-16</v>
      </c>
      <c r="H18" s="11" t="s">
        <v>13</v>
      </c>
    </row>
    <row r="19" spans="1:8" ht="14.4" x14ac:dyDescent="0.3">
      <c r="A19" s="6">
        <v>46115</v>
      </c>
      <c r="B19" s="7"/>
      <c r="C19" s="7" t="s">
        <v>11</v>
      </c>
      <c r="D19" s="7" t="s">
        <v>27</v>
      </c>
      <c r="E19" s="7">
        <v>64</v>
      </c>
      <c r="F19" s="7">
        <v>79</v>
      </c>
      <c r="G19" s="7">
        <f>Tabla3[[#This Row],[ENTRADA FISICA ]]-Tabla3[[#This Row],[SOLICITUD DE PEDIDO (ACTA)]]</f>
        <v>15</v>
      </c>
      <c r="H19" s="8" t="s">
        <v>13</v>
      </c>
    </row>
    <row r="20" spans="1:8" ht="14.4" x14ac:dyDescent="0.3">
      <c r="A20" s="9">
        <v>46115</v>
      </c>
      <c r="B20" s="10"/>
      <c r="C20" s="10" t="s">
        <v>11</v>
      </c>
      <c r="D20" s="10" t="s">
        <v>28</v>
      </c>
      <c r="E20" s="10">
        <v>24</v>
      </c>
      <c r="F20" s="10">
        <v>21.85</v>
      </c>
      <c r="G20" s="7">
        <f>Tabla3[[#This Row],[ENTRADA FISICA ]]-Tabla3[[#This Row],[SOLICITUD DE PEDIDO (ACTA)]]</f>
        <v>-2.1499999999999986</v>
      </c>
      <c r="H20" s="11" t="s">
        <v>13</v>
      </c>
    </row>
    <row r="21" spans="1:8" ht="15.75" customHeight="1" x14ac:dyDescent="0.3">
      <c r="A21" s="6">
        <v>46115</v>
      </c>
      <c r="B21" s="7"/>
      <c r="C21" s="7" t="s">
        <v>11</v>
      </c>
      <c r="D21" s="7" t="s">
        <v>29</v>
      </c>
      <c r="E21" s="7">
        <v>24</v>
      </c>
      <c r="F21" s="7">
        <v>23.95</v>
      </c>
      <c r="G21" s="7">
        <f>Tabla3[[#This Row],[ENTRADA FISICA ]]-Tabla3[[#This Row],[SOLICITUD DE PEDIDO (ACTA)]]</f>
        <v>-5.0000000000000711E-2</v>
      </c>
      <c r="H21" s="8" t="s">
        <v>13</v>
      </c>
    </row>
    <row r="22" spans="1:8" ht="15.75" customHeight="1" x14ac:dyDescent="0.3">
      <c r="A22" s="9">
        <v>46115</v>
      </c>
      <c r="B22" s="10"/>
      <c r="C22" s="10" t="s">
        <v>11</v>
      </c>
      <c r="D22" s="10" t="s">
        <v>30</v>
      </c>
      <c r="E22" s="10">
        <v>2</v>
      </c>
      <c r="F22" s="10">
        <v>2</v>
      </c>
      <c r="G22" s="7">
        <f>Tabla3[[#This Row],[ENTRADA FISICA ]]-Tabla3[[#This Row],[SOLICITUD DE PEDIDO (ACTA)]]</f>
        <v>0</v>
      </c>
      <c r="H22" s="11" t="s">
        <v>13</v>
      </c>
    </row>
    <row r="23" spans="1:8" ht="15.75" customHeight="1" x14ac:dyDescent="0.3">
      <c r="A23" s="6">
        <v>46115</v>
      </c>
      <c r="B23" s="7"/>
      <c r="C23" s="7" t="s">
        <v>11</v>
      </c>
      <c r="D23" s="7" t="s">
        <v>31</v>
      </c>
      <c r="E23" s="7">
        <v>17.5</v>
      </c>
      <c r="F23" s="7">
        <v>14.45</v>
      </c>
      <c r="G23" s="7">
        <f>Tabla3[[#This Row],[ENTRADA FISICA ]]-Tabla3[[#This Row],[SOLICITUD DE PEDIDO (ACTA)]]</f>
        <v>-3.0500000000000007</v>
      </c>
      <c r="H23" s="8" t="s">
        <v>13</v>
      </c>
    </row>
    <row r="24" spans="1:8" ht="15.75" customHeight="1" x14ac:dyDescent="0.3">
      <c r="A24" s="9">
        <v>46115</v>
      </c>
      <c r="B24" s="10"/>
      <c r="C24" s="10" t="s">
        <v>11</v>
      </c>
      <c r="D24" s="10" t="s">
        <v>32</v>
      </c>
      <c r="E24" s="10">
        <v>4</v>
      </c>
      <c r="F24" s="10">
        <v>4</v>
      </c>
      <c r="G24" s="7">
        <f>Tabla3[[#This Row],[ENTRADA FISICA ]]-Tabla3[[#This Row],[SOLICITUD DE PEDIDO (ACTA)]]</f>
        <v>0</v>
      </c>
      <c r="H24" s="11" t="s">
        <v>13</v>
      </c>
    </row>
    <row r="25" spans="1:8" ht="15.75" customHeight="1" x14ac:dyDescent="0.3">
      <c r="A25" s="6">
        <v>46115</v>
      </c>
      <c r="B25" s="7"/>
      <c r="C25" s="7" t="s">
        <v>11</v>
      </c>
      <c r="D25" s="7" t="s">
        <v>33</v>
      </c>
      <c r="E25" s="7">
        <v>32</v>
      </c>
      <c r="F25" s="7">
        <v>32</v>
      </c>
      <c r="G25" s="7">
        <f>Tabla3[[#This Row],[ENTRADA FISICA ]]-Tabla3[[#This Row],[SOLICITUD DE PEDIDO (ACTA)]]</f>
        <v>0</v>
      </c>
      <c r="H25" s="8" t="s">
        <v>13</v>
      </c>
    </row>
    <row r="26" spans="1:8" ht="15.75" customHeight="1" x14ac:dyDescent="0.3">
      <c r="A26" s="9">
        <v>46115</v>
      </c>
      <c r="B26" s="10"/>
      <c r="C26" s="10" t="s">
        <v>11</v>
      </c>
      <c r="D26" s="10" t="s">
        <v>34</v>
      </c>
      <c r="E26" s="10">
        <v>54</v>
      </c>
      <c r="F26" s="10">
        <v>53</v>
      </c>
      <c r="G26" s="7">
        <f>Tabla3[[#This Row],[ENTRADA FISICA ]]-Tabla3[[#This Row],[SOLICITUD DE PEDIDO (ACTA)]]</f>
        <v>-1</v>
      </c>
      <c r="H26" s="11" t="s">
        <v>13</v>
      </c>
    </row>
    <row r="27" spans="1:8" ht="15.75" customHeight="1" x14ac:dyDescent="0.3">
      <c r="A27" s="6">
        <v>46115</v>
      </c>
      <c r="B27" s="7"/>
      <c r="C27" s="7" t="s">
        <v>11</v>
      </c>
      <c r="D27" s="7" t="s">
        <v>35</v>
      </c>
      <c r="E27" s="7">
        <v>14</v>
      </c>
      <c r="F27" s="7">
        <v>13.55</v>
      </c>
      <c r="G27" s="7">
        <f>Tabla3[[#This Row],[ENTRADA FISICA ]]-Tabla3[[#This Row],[SOLICITUD DE PEDIDO (ACTA)]]</f>
        <v>-0.44999999999999929</v>
      </c>
      <c r="H27" s="8" t="s">
        <v>13</v>
      </c>
    </row>
    <row r="28" spans="1:8" ht="15.75" customHeight="1" x14ac:dyDescent="0.3">
      <c r="A28" s="9">
        <v>46115</v>
      </c>
      <c r="B28" s="10"/>
      <c r="C28" s="10" t="s">
        <v>11</v>
      </c>
      <c r="D28" s="10" t="s">
        <v>36</v>
      </c>
      <c r="E28" s="10">
        <v>150</v>
      </c>
      <c r="F28" s="10">
        <v>149.4</v>
      </c>
      <c r="G28" s="7">
        <f>Tabla3[[#This Row],[ENTRADA FISICA ]]-Tabla3[[#This Row],[SOLICITUD DE PEDIDO (ACTA)]]</f>
        <v>-0.59999999999999432</v>
      </c>
      <c r="H28" s="11" t="s">
        <v>13</v>
      </c>
    </row>
    <row r="29" spans="1:8" ht="15.75" customHeight="1" x14ac:dyDescent="0.3">
      <c r="A29" s="6">
        <v>46115</v>
      </c>
      <c r="B29" s="7"/>
      <c r="C29" s="7" t="s">
        <v>11</v>
      </c>
      <c r="D29" s="7" t="s">
        <v>37</v>
      </c>
      <c r="E29" s="7">
        <v>3</v>
      </c>
      <c r="F29" s="7">
        <v>2.5</v>
      </c>
      <c r="G29" s="7">
        <f>Tabla3[[#This Row],[ENTRADA FISICA ]]-Tabla3[[#This Row],[SOLICITUD DE PEDIDO (ACTA)]]</f>
        <v>-0.5</v>
      </c>
      <c r="H29" s="8" t="s">
        <v>13</v>
      </c>
    </row>
    <row r="30" spans="1:8" ht="15.75" customHeight="1" x14ac:dyDescent="0.3">
      <c r="A30" s="9">
        <v>46115</v>
      </c>
      <c r="B30" s="10"/>
      <c r="C30" s="10" t="s">
        <v>11</v>
      </c>
      <c r="D30" s="10" t="s">
        <v>38</v>
      </c>
      <c r="E30" s="10">
        <v>3</v>
      </c>
      <c r="F30" s="10">
        <v>2.85</v>
      </c>
      <c r="G30" s="7">
        <f>Tabla3[[#This Row],[ENTRADA FISICA ]]-Tabla3[[#This Row],[SOLICITUD DE PEDIDO (ACTA)]]</f>
        <v>-0.14999999999999991</v>
      </c>
      <c r="H30" s="11" t="s">
        <v>13</v>
      </c>
    </row>
    <row r="31" spans="1:8" ht="15.75" customHeight="1" x14ac:dyDescent="0.3">
      <c r="A31" s="6">
        <v>46115</v>
      </c>
      <c r="B31" s="7"/>
      <c r="C31" s="7" t="s">
        <v>39</v>
      </c>
      <c r="D31" s="7" t="s">
        <v>40</v>
      </c>
      <c r="E31" s="7">
        <v>250</v>
      </c>
      <c r="F31" s="7">
        <v>289.95</v>
      </c>
      <c r="G31" s="7">
        <f>Tabla3[[#This Row],[ENTRADA FISICA ]]-Tabla3[[#This Row],[SOLICITUD DE PEDIDO (ACTA)]]</f>
        <v>39.949999999999989</v>
      </c>
      <c r="H31" s="12"/>
    </row>
    <row r="32" spans="1:8" ht="15.75" customHeight="1" x14ac:dyDescent="0.3">
      <c r="A32" s="9">
        <v>46115</v>
      </c>
      <c r="B32" s="10">
        <v>322</v>
      </c>
      <c r="C32" s="10" t="s">
        <v>41</v>
      </c>
      <c r="D32" s="10" t="s">
        <v>42</v>
      </c>
      <c r="E32" s="10">
        <v>122</v>
      </c>
      <c r="F32" s="10">
        <v>127.95</v>
      </c>
      <c r="G32" s="7">
        <f>Tabla3[[#This Row],[ENTRADA FISICA ]]-Tabla3[[#This Row],[SOLICITUD DE PEDIDO (ACTA)]]</f>
        <v>5.9500000000000028</v>
      </c>
      <c r="H32" s="13"/>
    </row>
    <row r="33" spans="1:8" ht="15.75" customHeight="1" x14ac:dyDescent="0.3">
      <c r="A33" s="6">
        <v>46118</v>
      </c>
      <c r="B33" s="7"/>
      <c r="C33" s="7" t="s">
        <v>43</v>
      </c>
      <c r="D33" s="7" t="s">
        <v>44</v>
      </c>
      <c r="E33" s="7">
        <v>182</v>
      </c>
      <c r="F33" s="7">
        <v>182</v>
      </c>
      <c r="G33" s="7">
        <f>Tabla3[[#This Row],[ENTRADA FISICA ]]-Tabla3[[#This Row],[SOLICITUD DE PEDIDO (ACTA)]]</f>
        <v>0</v>
      </c>
      <c r="H33" s="12"/>
    </row>
    <row r="34" spans="1:8" ht="15.75" customHeight="1" x14ac:dyDescent="0.3">
      <c r="A34" s="9">
        <v>46118</v>
      </c>
      <c r="B34" s="10"/>
      <c r="C34" s="10" t="s">
        <v>43</v>
      </c>
      <c r="D34" s="10" t="s">
        <v>45</v>
      </c>
      <c r="E34" s="10">
        <v>1</v>
      </c>
      <c r="F34" s="10">
        <v>1</v>
      </c>
      <c r="G34" s="7">
        <f>Tabla3[[#This Row],[ENTRADA FISICA ]]-Tabla3[[#This Row],[SOLICITUD DE PEDIDO (ACTA)]]</f>
        <v>0</v>
      </c>
      <c r="H34" s="13"/>
    </row>
    <row r="35" spans="1:8" ht="15.75" customHeight="1" x14ac:dyDescent="0.3">
      <c r="A35" s="6">
        <v>46118</v>
      </c>
      <c r="B35" s="7"/>
      <c r="C35" s="7" t="s">
        <v>43</v>
      </c>
      <c r="D35" s="7" t="s">
        <v>46</v>
      </c>
      <c r="E35" s="7">
        <v>7</v>
      </c>
      <c r="F35" s="7">
        <v>7</v>
      </c>
      <c r="G35" s="7">
        <f>Tabla3[[#This Row],[ENTRADA FISICA ]]-Tabla3[[#This Row],[SOLICITUD DE PEDIDO (ACTA)]]</f>
        <v>0</v>
      </c>
      <c r="H35" s="12"/>
    </row>
    <row r="36" spans="1:8" ht="15.75" customHeight="1" x14ac:dyDescent="0.3">
      <c r="A36" s="9">
        <v>46118</v>
      </c>
      <c r="B36" s="10"/>
      <c r="C36" s="10" t="s">
        <v>43</v>
      </c>
      <c r="D36" s="10" t="s">
        <v>47</v>
      </c>
      <c r="E36" s="10">
        <v>6</v>
      </c>
      <c r="F36" s="10">
        <v>6</v>
      </c>
      <c r="G36" s="7">
        <f>Tabla3[[#This Row],[ENTRADA FISICA ]]-Tabla3[[#This Row],[SOLICITUD DE PEDIDO (ACTA)]]</f>
        <v>0</v>
      </c>
      <c r="H36" s="13"/>
    </row>
    <row r="37" spans="1:8" ht="15.75" customHeight="1" x14ac:dyDescent="0.3">
      <c r="A37" s="6">
        <v>46118</v>
      </c>
      <c r="B37" s="7"/>
      <c r="C37" s="7" t="s">
        <v>43</v>
      </c>
      <c r="D37" t="s">
        <v>220</v>
      </c>
      <c r="E37" s="7">
        <v>3</v>
      </c>
      <c r="F37" s="7">
        <v>3</v>
      </c>
      <c r="G37" s="7">
        <f>Tabla3[[#This Row],[ENTRADA FISICA ]]-Tabla3[[#This Row],[SOLICITUD DE PEDIDO (ACTA)]]</f>
        <v>0</v>
      </c>
      <c r="H37" s="12"/>
    </row>
    <row r="38" spans="1:8" ht="15.75" customHeight="1" x14ac:dyDescent="0.3">
      <c r="A38" s="9">
        <v>46118</v>
      </c>
      <c r="B38" s="10"/>
      <c r="C38" s="10" t="s">
        <v>43</v>
      </c>
      <c r="D38" s="10" t="s">
        <v>48</v>
      </c>
      <c r="E38" s="10">
        <v>1</v>
      </c>
      <c r="F38" s="10">
        <v>1</v>
      </c>
      <c r="G38" s="7">
        <f>Tabla3[[#This Row],[ENTRADA FISICA ]]-Tabla3[[#This Row],[SOLICITUD DE PEDIDO (ACTA)]]</f>
        <v>0</v>
      </c>
      <c r="H38" s="13"/>
    </row>
    <row r="39" spans="1:8" ht="15.75" customHeight="1" x14ac:dyDescent="0.3">
      <c r="A39" s="6">
        <v>46118</v>
      </c>
      <c r="B39" s="7"/>
      <c r="C39" s="7" t="s">
        <v>43</v>
      </c>
      <c r="D39" s="7" t="s">
        <v>49</v>
      </c>
      <c r="E39" s="7">
        <v>7</v>
      </c>
      <c r="F39" s="7">
        <v>7</v>
      </c>
      <c r="G39" s="7">
        <f>Tabla3[[#This Row],[ENTRADA FISICA ]]-Tabla3[[#This Row],[SOLICITUD DE PEDIDO (ACTA)]]</f>
        <v>0</v>
      </c>
      <c r="H39" s="12"/>
    </row>
    <row r="40" spans="1:8" ht="15.75" customHeight="1" x14ac:dyDescent="0.3">
      <c r="A40" s="9">
        <v>46118</v>
      </c>
      <c r="B40" s="10"/>
      <c r="C40" s="10" t="s">
        <v>43</v>
      </c>
      <c r="D40" t="s">
        <v>221</v>
      </c>
      <c r="E40" s="10">
        <v>12</v>
      </c>
      <c r="F40" s="10">
        <v>12</v>
      </c>
      <c r="G40" s="7">
        <f>Tabla3[[#This Row],[ENTRADA FISICA ]]-Tabla3[[#This Row],[SOLICITUD DE PEDIDO (ACTA)]]</f>
        <v>0</v>
      </c>
      <c r="H40" s="13"/>
    </row>
    <row r="41" spans="1:8" ht="15.75" customHeight="1" x14ac:dyDescent="0.3">
      <c r="A41" s="6">
        <v>46118</v>
      </c>
      <c r="B41" s="7"/>
      <c r="C41" s="7" t="s">
        <v>43</v>
      </c>
      <c r="D41" t="s">
        <v>222</v>
      </c>
      <c r="E41" s="7">
        <v>1</v>
      </c>
      <c r="F41" s="7">
        <v>1</v>
      </c>
      <c r="G41" s="7">
        <f>Tabla3[[#This Row],[ENTRADA FISICA ]]-Tabla3[[#This Row],[SOLICITUD DE PEDIDO (ACTA)]]</f>
        <v>0</v>
      </c>
      <c r="H41" s="12"/>
    </row>
    <row r="42" spans="1:8" ht="15.75" customHeight="1" x14ac:dyDescent="0.3">
      <c r="A42" s="9">
        <v>46118</v>
      </c>
      <c r="B42" s="10"/>
      <c r="C42" s="10" t="s">
        <v>43</v>
      </c>
      <c r="D42" s="10" t="s">
        <v>50</v>
      </c>
      <c r="E42" s="10">
        <v>4</v>
      </c>
      <c r="F42" s="10">
        <v>4</v>
      </c>
      <c r="G42" s="7">
        <f>Tabla3[[#This Row],[ENTRADA FISICA ]]-Tabla3[[#This Row],[SOLICITUD DE PEDIDO (ACTA)]]</f>
        <v>0</v>
      </c>
      <c r="H42" s="13"/>
    </row>
    <row r="43" spans="1:8" ht="15.75" customHeight="1" x14ac:dyDescent="0.3">
      <c r="A43" s="6">
        <v>46118</v>
      </c>
      <c r="B43" s="7"/>
      <c r="C43" s="7" t="s">
        <v>43</v>
      </c>
      <c r="D43" s="7" t="s">
        <v>51</v>
      </c>
      <c r="E43" s="7">
        <v>2</v>
      </c>
      <c r="F43" s="7">
        <v>2</v>
      </c>
      <c r="G43" s="7">
        <f>Tabla3[[#This Row],[ENTRADA FISICA ]]-Tabla3[[#This Row],[SOLICITUD DE PEDIDO (ACTA)]]</f>
        <v>0</v>
      </c>
      <c r="H43" s="12"/>
    </row>
    <row r="44" spans="1:8" ht="15.75" customHeight="1" x14ac:dyDescent="0.3">
      <c r="A44" s="9">
        <v>46118</v>
      </c>
      <c r="B44" s="10"/>
      <c r="C44" s="10" t="s">
        <v>43</v>
      </c>
      <c r="D44" s="10" t="s">
        <v>52</v>
      </c>
      <c r="E44" s="10">
        <v>2</v>
      </c>
      <c r="F44" s="10">
        <v>2</v>
      </c>
      <c r="G44" s="7">
        <f>Tabla3[[#This Row],[ENTRADA FISICA ]]-Tabla3[[#This Row],[SOLICITUD DE PEDIDO (ACTA)]]</f>
        <v>0</v>
      </c>
      <c r="H44" s="13"/>
    </row>
    <row r="45" spans="1:8" ht="15.75" customHeight="1" x14ac:dyDescent="0.3">
      <c r="A45" s="6">
        <v>46118</v>
      </c>
      <c r="B45" s="7"/>
      <c r="C45" s="7" t="s">
        <v>43</v>
      </c>
      <c r="D45" s="7" t="s">
        <v>53</v>
      </c>
      <c r="E45" s="7">
        <v>1</v>
      </c>
      <c r="F45" s="7">
        <v>1</v>
      </c>
      <c r="G45" s="7">
        <f>Tabla3[[#This Row],[ENTRADA FISICA ]]-Tabla3[[#This Row],[SOLICITUD DE PEDIDO (ACTA)]]</f>
        <v>0</v>
      </c>
      <c r="H45" s="12"/>
    </row>
    <row r="46" spans="1:8" ht="15.75" customHeight="1" x14ac:dyDescent="0.3">
      <c r="A46" s="9">
        <v>46118</v>
      </c>
      <c r="B46" s="10"/>
      <c r="C46" s="10" t="s">
        <v>43</v>
      </c>
      <c r="D46" s="10" t="s">
        <v>54</v>
      </c>
      <c r="E46" s="10">
        <v>20</v>
      </c>
      <c r="F46" s="10">
        <v>20</v>
      </c>
      <c r="G46" s="7">
        <f>Tabla3[[#This Row],[ENTRADA FISICA ]]-Tabla3[[#This Row],[SOLICITUD DE PEDIDO (ACTA)]]</f>
        <v>0</v>
      </c>
      <c r="H46" s="13"/>
    </row>
    <row r="47" spans="1:8" ht="15.75" customHeight="1" x14ac:dyDescent="0.3">
      <c r="A47" s="6">
        <v>46118</v>
      </c>
      <c r="B47" s="7"/>
      <c r="C47" s="7" t="s">
        <v>55</v>
      </c>
      <c r="D47" s="7" t="s">
        <v>56</v>
      </c>
      <c r="E47" s="7">
        <v>7</v>
      </c>
      <c r="F47" s="7">
        <v>7</v>
      </c>
      <c r="G47" s="7">
        <f>Tabla3[[#This Row],[ENTRADA FISICA ]]-Tabla3[[#This Row],[SOLICITUD DE PEDIDO (ACTA)]]</f>
        <v>0</v>
      </c>
      <c r="H47" s="12"/>
    </row>
    <row r="48" spans="1:8" ht="15.75" customHeight="1" x14ac:dyDescent="0.3">
      <c r="A48" s="9">
        <v>46118</v>
      </c>
      <c r="B48" s="10"/>
      <c r="C48" s="10" t="s">
        <v>55</v>
      </c>
      <c r="D48" s="10" t="s">
        <v>57</v>
      </c>
      <c r="E48" s="10">
        <v>7</v>
      </c>
      <c r="F48" s="10">
        <v>7</v>
      </c>
      <c r="G48" s="7">
        <f>Tabla3[[#This Row],[ENTRADA FISICA ]]-Tabla3[[#This Row],[SOLICITUD DE PEDIDO (ACTA)]]</f>
        <v>0</v>
      </c>
      <c r="H48" s="13"/>
    </row>
    <row r="49" spans="1:8" ht="15.75" customHeight="1" x14ac:dyDescent="0.3">
      <c r="A49" s="6">
        <v>46118</v>
      </c>
      <c r="B49" s="7"/>
      <c r="C49" s="7" t="s">
        <v>55</v>
      </c>
      <c r="D49" s="7" t="s">
        <v>58</v>
      </c>
      <c r="E49" s="7">
        <v>2</v>
      </c>
      <c r="F49" s="7">
        <v>2</v>
      </c>
      <c r="G49" s="7">
        <f>Tabla3[[#This Row],[ENTRADA FISICA ]]-Tabla3[[#This Row],[SOLICITUD DE PEDIDO (ACTA)]]</f>
        <v>0</v>
      </c>
      <c r="H49" s="12"/>
    </row>
    <row r="50" spans="1:8" ht="15.75" customHeight="1" x14ac:dyDescent="0.3">
      <c r="A50" s="9">
        <v>46118</v>
      </c>
      <c r="B50" s="10"/>
      <c r="C50" s="10" t="s">
        <v>55</v>
      </c>
      <c r="D50" s="10" t="s">
        <v>59</v>
      </c>
      <c r="E50" s="10">
        <v>5</v>
      </c>
      <c r="F50" s="10">
        <v>5</v>
      </c>
      <c r="G50" s="7">
        <f>Tabla3[[#This Row],[ENTRADA FISICA ]]-Tabla3[[#This Row],[SOLICITUD DE PEDIDO (ACTA)]]</f>
        <v>0</v>
      </c>
      <c r="H50" s="13"/>
    </row>
    <row r="51" spans="1:8" ht="15.75" customHeight="1" x14ac:dyDescent="0.3">
      <c r="A51" s="6">
        <v>46118</v>
      </c>
      <c r="B51" s="7"/>
      <c r="C51" s="7" t="s">
        <v>55</v>
      </c>
      <c r="D51" s="7" t="s">
        <v>60</v>
      </c>
      <c r="E51" s="7">
        <v>10</v>
      </c>
      <c r="F51" s="7">
        <v>10</v>
      </c>
      <c r="G51" s="7">
        <f>Tabla3[[#This Row],[ENTRADA FISICA ]]-Tabla3[[#This Row],[SOLICITUD DE PEDIDO (ACTA)]]</f>
        <v>0</v>
      </c>
      <c r="H51" s="12"/>
    </row>
    <row r="52" spans="1:8" ht="15.75" customHeight="1" x14ac:dyDescent="0.3">
      <c r="A52" s="9">
        <v>46118</v>
      </c>
      <c r="B52" s="10"/>
      <c r="C52" s="10" t="s">
        <v>55</v>
      </c>
      <c r="D52" s="10" t="s">
        <v>61</v>
      </c>
      <c r="E52" s="10">
        <v>9</v>
      </c>
      <c r="F52" s="10">
        <v>9</v>
      </c>
      <c r="G52" s="7">
        <f>Tabla3[[#This Row],[ENTRADA FISICA ]]-Tabla3[[#This Row],[SOLICITUD DE PEDIDO (ACTA)]]</f>
        <v>0</v>
      </c>
      <c r="H52" s="13"/>
    </row>
    <row r="53" spans="1:8" ht="15.75" customHeight="1" x14ac:dyDescent="0.3">
      <c r="A53" s="9">
        <v>46118</v>
      </c>
      <c r="B53" s="10">
        <v>323</v>
      </c>
      <c r="C53" s="10" t="s">
        <v>41</v>
      </c>
      <c r="D53" s="10" t="s">
        <v>42</v>
      </c>
      <c r="E53" s="10">
        <v>123</v>
      </c>
      <c r="F53" s="10">
        <v>124</v>
      </c>
      <c r="G53" s="7">
        <f>Tabla3[[#This Row],[ENTRADA FISICA ]]-Tabla3[[#This Row],[SOLICITUD DE PEDIDO (ACTA)]]</f>
        <v>1</v>
      </c>
      <c r="H53" s="13"/>
    </row>
    <row r="54" spans="1:8" ht="15.75" customHeight="1" x14ac:dyDescent="0.3">
      <c r="A54" s="6">
        <v>46119</v>
      </c>
      <c r="B54" s="7"/>
      <c r="C54" s="7" t="s">
        <v>11</v>
      </c>
      <c r="D54" s="7" t="s">
        <v>12</v>
      </c>
      <c r="E54" s="7">
        <v>48</v>
      </c>
      <c r="F54" s="7">
        <v>60</v>
      </c>
      <c r="G54" s="7">
        <f>Tabla3[[#This Row],[ENTRADA FISICA ]]-Tabla3[[#This Row],[SOLICITUD DE PEDIDO (ACTA)]]</f>
        <v>12</v>
      </c>
      <c r="H54" s="12" t="s">
        <v>13</v>
      </c>
    </row>
    <row r="55" spans="1:8" ht="15.75" customHeight="1" x14ac:dyDescent="0.3">
      <c r="A55" s="9">
        <v>46119</v>
      </c>
      <c r="B55" s="10"/>
      <c r="C55" s="10" t="s">
        <v>11</v>
      </c>
      <c r="D55" s="10" t="s">
        <v>14</v>
      </c>
      <c r="E55" s="10">
        <v>87</v>
      </c>
      <c r="F55" s="10">
        <v>99</v>
      </c>
      <c r="G55" s="7">
        <f>Tabla3[[#This Row],[ENTRADA FISICA ]]-Tabla3[[#This Row],[SOLICITUD DE PEDIDO (ACTA)]]</f>
        <v>12</v>
      </c>
      <c r="H55" s="13" t="s">
        <v>13</v>
      </c>
    </row>
    <row r="56" spans="1:8" ht="15.75" customHeight="1" x14ac:dyDescent="0.3">
      <c r="A56" s="6">
        <v>46119</v>
      </c>
      <c r="B56" s="7"/>
      <c r="C56" s="7" t="s">
        <v>11</v>
      </c>
      <c r="D56" s="7" t="s">
        <v>15</v>
      </c>
      <c r="E56" s="7">
        <v>2</v>
      </c>
      <c r="F56" s="7">
        <v>2.7</v>
      </c>
      <c r="G56" s="7">
        <f>Tabla3[[#This Row],[ENTRADA FISICA ]]-Tabla3[[#This Row],[SOLICITUD DE PEDIDO (ACTA)]]</f>
        <v>0.70000000000000018</v>
      </c>
      <c r="H56" s="12" t="s">
        <v>13</v>
      </c>
    </row>
    <row r="57" spans="1:8" ht="15.75" customHeight="1" x14ac:dyDescent="0.3">
      <c r="A57" s="9">
        <v>46119</v>
      </c>
      <c r="B57" s="10"/>
      <c r="C57" s="10" t="s">
        <v>11</v>
      </c>
      <c r="D57" s="10" t="s">
        <v>16</v>
      </c>
      <c r="E57" s="10">
        <v>10</v>
      </c>
      <c r="F57" s="10">
        <v>11</v>
      </c>
      <c r="G57" s="7">
        <f>Tabla3[[#This Row],[ENTRADA FISICA ]]-Tabla3[[#This Row],[SOLICITUD DE PEDIDO (ACTA)]]</f>
        <v>1</v>
      </c>
      <c r="H57" s="13" t="s">
        <v>13</v>
      </c>
    </row>
    <row r="58" spans="1:8" ht="15.75" customHeight="1" x14ac:dyDescent="0.3">
      <c r="A58" s="6">
        <v>46119</v>
      </c>
      <c r="B58" s="7"/>
      <c r="C58" s="7" t="s">
        <v>11</v>
      </c>
      <c r="D58" s="7" t="s">
        <v>62</v>
      </c>
      <c r="E58" s="7">
        <v>5</v>
      </c>
      <c r="F58" s="7">
        <v>4.6500000000000004</v>
      </c>
      <c r="G58" s="7">
        <f>Tabla3[[#This Row],[ENTRADA FISICA ]]-Tabla3[[#This Row],[SOLICITUD DE PEDIDO (ACTA)]]</f>
        <v>-0.34999999999999964</v>
      </c>
      <c r="H58" s="12" t="s">
        <v>13</v>
      </c>
    </row>
    <row r="59" spans="1:8" ht="15.75" customHeight="1" x14ac:dyDescent="0.3">
      <c r="A59" s="9">
        <v>46119</v>
      </c>
      <c r="B59" s="10"/>
      <c r="C59" s="10" t="s">
        <v>11</v>
      </c>
      <c r="D59" s="10" t="s">
        <v>17</v>
      </c>
      <c r="E59" s="10">
        <v>6</v>
      </c>
      <c r="F59" s="10">
        <v>6.3</v>
      </c>
      <c r="G59" s="7">
        <f>Tabla3[[#This Row],[ENTRADA FISICA ]]-Tabla3[[#This Row],[SOLICITUD DE PEDIDO (ACTA)]]</f>
        <v>0.29999999999999982</v>
      </c>
      <c r="H59" s="13" t="s">
        <v>13</v>
      </c>
    </row>
    <row r="60" spans="1:8" ht="15.75" customHeight="1" x14ac:dyDescent="0.3">
      <c r="A60" s="6">
        <v>46119</v>
      </c>
      <c r="B60" s="7"/>
      <c r="C60" s="7" t="s">
        <v>11</v>
      </c>
      <c r="D60" s="7" t="s">
        <v>18</v>
      </c>
      <c r="E60" s="7">
        <v>6</v>
      </c>
      <c r="F60" s="7">
        <v>7.4</v>
      </c>
      <c r="G60" s="7">
        <f>Tabla3[[#This Row],[ENTRADA FISICA ]]-Tabla3[[#This Row],[SOLICITUD DE PEDIDO (ACTA)]]</f>
        <v>1.4000000000000004</v>
      </c>
      <c r="H60" s="12" t="s">
        <v>13</v>
      </c>
    </row>
    <row r="61" spans="1:8" ht="15.75" customHeight="1" x14ac:dyDescent="0.3">
      <c r="A61" s="9">
        <v>46119</v>
      </c>
      <c r="B61" s="10"/>
      <c r="C61" s="10" t="s">
        <v>11</v>
      </c>
      <c r="D61" s="10" t="s">
        <v>19</v>
      </c>
      <c r="E61" s="10">
        <v>1</v>
      </c>
      <c r="F61" s="10">
        <v>1.5</v>
      </c>
      <c r="G61" s="7">
        <f>Tabla3[[#This Row],[ENTRADA FISICA ]]-Tabla3[[#This Row],[SOLICITUD DE PEDIDO (ACTA)]]</f>
        <v>0.5</v>
      </c>
      <c r="H61" s="13" t="s">
        <v>13</v>
      </c>
    </row>
    <row r="62" spans="1:8" ht="15.75" customHeight="1" x14ac:dyDescent="0.3">
      <c r="A62" s="6">
        <v>46119</v>
      </c>
      <c r="B62" s="7"/>
      <c r="C62" s="7" t="s">
        <v>11</v>
      </c>
      <c r="D62" s="7" t="s">
        <v>20</v>
      </c>
      <c r="E62" s="7">
        <v>12</v>
      </c>
      <c r="F62" s="7">
        <v>14</v>
      </c>
      <c r="G62" s="7">
        <f>Tabla3[[#This Row],[ENTRADA FISICA ]]-Tabla3[[#This Row],[SOLICITUD DE PEDIDO (ACTA)]]</f>
        <v>2</v>
      </c>
      <c r="H62" s="12" t="s">
        <v>13</v>
      </c>
    </row>
    <row r="63" spans="1:8" ht="15.75" customHeight="1" x14ac:dyDescent="0.3">
      <c r="A63" s="9">
        <v>46119</v>
      </c>
      <c r="B63" s="10"/>
      <c r="C63" s="10" t="s">
        <v>11</v>
      </c>
      <c r="D63" s="10" t="s">
        <v>21</v>
      </c>
      <c r="E63" s="10">
        <v>12</v>
      </c>
      <c r="F63" s="10">
        <v>12</v>
      </c>
      <c r="G63" s="7">
        <f>Tabla3[[#This Row],[ENTRADA FISICA ]]-Tabla3[[#This Row],[SOLICITUD DE PEDIDO (ACTA)]]</f>
        <v>0</v>
      </c>
      <c r="H63" s="13" t="s">
        <v>13</v>
      </c>
    </row>
    <row r="64" spans="1:8" ht="15.75" customHeight="1" x14ac:dyDescent="0.3">
      <c r="A64" s="6">
        <v>46119</v>
      </c>
      <c r="B64" s="7"/>
      <c r="C64" s="7" t="s">
        <v>11</v>
      </c>
      <c r="D64" s="7" t="s">
        <v>22</v>
      </c>
      <c r="E64" s="7">
        <v>28</v>
      </c>
      <c r="F64" s="7">
        <v>39</v>
      </c>
      <c r="G64" s="7">
        <f>Tabla3[[#This Row],[ENTRADA FISICA ]]-Tabla3[[#This Row],[SOLICITUD DE PEDIDO (ACTA)]]</f>
        <v>11</v>
      </c>
      <c r="H64" s="12" t="s">
        <v>13</v>
      </c>
    </row>
    <row r="65" spans="1:8" ht="15.75" customHeight="1" x14ac:dyDescent="0.3">
      <c r="A65" s="9">
        <v>46119</v>
      </c>
      <c r="B65" s="10"/>
      <c r="C65" s="10" t="s">
        <v>11</v>
      </c>
      <c r="D65" s="10" t="s">
        <v>23</v>
      </c>
      <c r="E65" s="10">
        <v>97</v>
      </c>
      <c r="F65" s="10">
        <v>97</v>
      </c>
      <c r="G65" s="7">
        <f>Tabla3[[#This Row],[ENTRADA FISICA ]]-Tabla3[[#This Row],[SOLICITUD DE PEDIDO (ACTA)]]</f>
        <v>0</v>
      </c>
      <c r="H65" s="13" t="s">
        <v>13</v>
      </c>
    </row>
    <row r="66" spans="1:8" ht="15.75" customHeight="1" x14ac:dyDescent="0.3">
      <c r="A66" s="6">
        <v>46119</v>
      </c>
      <c r="B66" s="7"/>
      <c r="C66" s="7" t="s">
        <v>11</v>
      </c>
      <c r="D66" s="7" t="s">
        <v>24</v>
      </c>
      <c r="E66" s="7">
        <v>1.5</v>
      </c>
      <c r="F66" s="7">
        <v>1.5</v>
      </c>
      <c r="G66" s="7">
        <f>Tabla3[[#This Row],[ENTRADA FISICA ]]-Tabla3[[#This Row],[SOLICITUD DE PEDIDO (ACTA)]]</f>
        <v>0</v>
      </c>
      <c r="H66" s="12" t="s">
        <v>13</v>
      </c>
    </row>
    <row r="67" spans="1:8" ht="15.75" customHeight="1" x14ac:dyDescent="0.3">
      <c r="A67" s="9">
        <v>46119</v>
      </c>
      <c r="B67" s="10"/>
      <c r="C67" s="10" t="s">
        <v>11</v>
      </c>
      <c r="D67" s="10" t="s">
        <v>25</v>
      </c>
      <c r="E67" s="10">
        <v>4.5</v>
      </c>
      <c r="F67" s="10">
        <v>4.5</v>
      </c>
      <c r="G67" s="7">
        <f>Tabla3[[#This Row],[ENTRADA FISICA ]]-Tabla3[[#This Row],[SOLICITUD DE PEDIDO (ACTA)]]</f>
        <v>0</v>
      </c>
      <c r="H67" s="13" t="s">
        <v>13</v>
      </c>
    </row>
    <row r="68" spans="1:8" ht="15.75" customHeight="1" x14ac:dyDescent="0.3">
      <c r="A68" s="6">
        <v>46119</v>
      </c>
      <c r="B68" s="7"/>
      <c r="C68" s="7" t="s">
        <v>11</v>
      </c>
      <c r="D68" s="7" t="s">
        <v>26</v>
      </c>
      <c r="E68" s="7">
        <v>108</v>
      </c>
      <c r="F68" s="7">
        <v>108</v>
      </c>
      <c r="G68" s="7">
        <f>Tabla3[[#This Row],[ENTRADA FISICA ]]-Tabla3[[#This Row],[SOLICITUD DE PEDIDO (ACTA)]]</f>
        <v>0</v>
      </c>
      <c r="H68" s="12" t="s">
        <v>13</v>
      </c>
    </row>
    <row r="69" spans="1:8" ht="15.75" customHeight="1" x14ac:dyDescent="0.3">
      <c r="A69" s="9">
        <v>46119</v>
      </c>
      <c r="B69" s="10"/>
      <c r="C69" s="10" t="s">
        <v>11</v>
      </c>
      <c r="D69" s="10" t="s">
        <v>27</v>
      </c>
      <c r="E69" s="10">
        <v>49</v>
      </c>
      <c r="F69" s="10">
        <v>48.95</v>
      </c>
      <c r="G69" s="7">
        <f>Tabla3[[#This Row],[ENTRADA FISICA ]]-Tabla3[[#This Row],[SOLICITUD DE PEDIDO (ACTA)]]</f>
        <v>-4.9999999999997158E-2</v>
      </c>
      <c r="H69" s="13" t="s">
        <v>13</v>
      </c>
    </row>
    <row r="70" spans="1:8" ht="15.75" customHeight="1" x14ac:dyDescent="0.3">
      <c r="A70" s="6">
        <v>46119</v>
      </c>
      <c r="B70" s="7"/>
      <c r="C70" s="7" t="s">
        <v>11</v>
      </c>
      <c r="D70" s="7" t="s">
        <v>28</v>
      </c>
      <c r="E70" s="7">
        <v>15</v>
      </c>
      <c r="F70" s="7">
        <v>18.55</v>
      </c>
      <c r="G70" s="7">
        <f>Tabla3[[#This Row],[ENTRADA FISICA ]]-Tabla3[[#This Row],[SOLICITUD DE PEDIDO (ACTA)]]</f>
        <v>3.5500000000000007</v>
      </c>
      <c r="H70" s="12" t="s">
        <v>13</v>
      </c>
    </row>
    <row r="71" spans="1:8" ht="15.75" customHeight="1" x14ac:dyDescent="0.3">
      <c r="A71" s="9">
        <v>46119</v>
      </c>
      <c r="B71" s="10"/>
      <c r="C71" s="10" t="s">
        <v>11</v>
      </c>
      <c r="D71" s="10" t="s">
        <v>29</v>
      </c>
      <c r="E71" s="10">
        <v>18</v>
      </c>
      <c r="F71" s="10">
        <v>18.2</v>
      </c>
      <c r="G71" s="7">
        <f>Tabla3[[#This Row],[ENTRADA FISICA ]]-Tabla3[[#This Row],[SOLICITUD DE PEDIDO (ACTA)]]</f>
        <v>0.19999999999999929</v>
      </c>
      <c r="H71" s="13" t="s">
        <v>13</v>
      </c>
    </row>
    <row r="72" spans="1:8" ht="15.75" customHeight="1" x14ac:dyDescent="0.3">
      <c r="A72" s="6">
        <v>46119</v>
      </c>
      <c r="B72" s="7"/>
      <c r="C72" s="7" t="s">
        <v>11</v>
      </c>
      <c r="D72" s="7" t="s">
        <v>30</v>
      </c>
      <c r="E72" s="7">
        <v>1.7</v>
      </c>
      <c r="F72" s="7">
        <v>2.0499999999999998</v>
      </c>
      <c r="G72" s="7">
        <f>Tabla3[[#This Row],[ENTRADA FISICA ]]-Tabla3[[#This Row],[SOLICITUD DE PEDIDO (ACTA)]]</f>
        <v>0.34999999999999987</v>
      </c>
      <c r="H72" s="12" t="s">
        <v>13</v>
      </c>
    </row>
    <row r="73" spans="1:8" ht="15.75" customHeight="1" x14ac:dyDescent="0.3">
      <c r="A73" s="9">
        <v>46119</v>
      </c>
      <c r="B73" s="10"/>
      <c r="C73" s="10" t="s">
        <v>11</v>
      </c>
      <c r="D73" s="10" t="s">
        <v>31</v>
      </c>
      <c r="E73" s="10">
        <v>12</v>
      </c>
      <c r="F73" s="10">
        <v>13.95</v>
      </c>
      <c r="G73" s="7">
        <f>Tabla3[[#This Row],[ENTRADA FISICA ]]-Tabla3[[#This Row],[SOLICITUD DE PEDIDO (ACTA)]]</f>
        <v>1.9499999999999993</v>
      </c>
      <c r="H73" s="13" t="s">
        <v>13</v>
      </c>
    </row>
    <row r="74" spans="1:8" ht="15.75" customHeight="1" x14ac:dyDescent="0.3">
      <c r="A74" s="6">
        <v>46119</v>
      </c>
      <c r="B74" s="7"/>
      <c r="C74" s="7" t="s">
        <v>11</v>
      </c>
      <c r="D74" s="7" t="s">
        <v>63</v>
      </c>
      <c r="E74" s="7">
        <v>4</v>
      </c>
      <c r="F74" s="7">
        <v>4.05</v>
      </c>
      <c r="G74" s="7">
        <f>Tabla3[[#This Row],[ENTRADA FISICA ]]-Tabla3[[#This Row],[SOLICITUD DE PEDIDO (ACTA)]]</f>
        <v>4.9999999999999822E-2</v>
      </c>
      <c r="H74" s="12" t="s">
        <v>13</v>
      </c>
    </row>
    <row r="75" spans="1:8" ht="15.75" customHeight="1" x14ac:dyDescent="0.3">
      <c r="A75" s="9">
        <v>46119</v>
      </c>
      <c r="B75" s="10"/>
      <c r="C75" s="10" t="s">
        <v>11</v>
      </c>
      <c r="D75" s="10" t="s">
        <v>32</v>
      </c>
      <c r="E75" s="10">
        <v>3</v>
      </c>
      <c r="F75" s="10">
        <v>4</v>
      </c>
      <c r="G75" s="7">
        <f>Tabla3[[#This Row],[ENTRADA FISICA ]]-Tabla3[[#This Row],[SOLICITUD DE PEDIDO (ACTA)]]</f>
        <v>1</v>
      </c>
      <c r="H75" s="13" t="s">
        <v>13</v>
      </c>
    </row>
    <row r="76" spans="1:8" ht="15.75" customHeight="1" x14ac:dyDescent="0.3">
      <c r="A76" s="6">
        <v>46119</v>
      </c>
      <c r="B76" s="7"/>
      <c r="C76" s="7" t="s">
        <v>11</v>
      </c>
      <c r="D76" s="7" t="s">
        <v>33</v>
      </c>
      <c r="E76" s="7">
        <v>24</v>
      </c>
      <c r="F76" s="7">
        <v>23.25</v>
      </c>
      <c r="G76" s="7">
        <f>Tabla3[[#This Row],[ENTRADA FISICA ]]-Tabla3[[#This Row],[SOLICITUD DE PEDIDO (ACTA)]]</f>
        <v>-0.75</v>
      </c>
      <c r="H76" s="12" t="s">
        <v>13</v>
      </c>
    </row>
    <row r="77" spans="1:8" ht="15.75" customHeight="1" x14ac:dyDescent="0.3">
      <c r="A77" s="9">
        <v>46119</v>
      </c>
      <c r="B77" s="10"/>
      <c r="C77" s="10" t="s">
        <v>11</v>
      </c>
      <c r="D77" s="10" t="s">
        <v>34</v>
      </c>
      <c r="E77" s="10">
        <v>42</v>
      </c>
      <c r="F77" s="10">
        <v>44.2</v>
      </c>
      <c r="G77" s="7">
        <f>Tabla3[[#This Row],[ENTRADA FISICA ]]-Tabla3[[#This Row],[SOLICITUD DE PEDIDO (ACTA)]]</f>
        <v>2.2000000000000028</v>
      </c>
      <c r="H77" s="13" t="s">
        <v>13</v>
      </c>
    </row>
    <row r="78" spans="1:8" ht="15.75" customHeight="1" x14ac:dyDescent="0.3">
      <c r="A78" s="6">
        <v>46119</v>
      </c>
      <c r="B78" s="7"/>
      <c r="C78" s="7" t="s">
        <v>11</v>
      </c>
      <c r="D78" s="7" t="s">
        <v>35</v>
      </c>
      <c r="E78" s="7">
        <v>11</v>
      </c>
      <c r="F78" s="7">
        <v>11.65</v>
      </c>
      <c r="G78" s="7">
        <f>Tabla3[[#This Row],[ENTRADA FISICA ]]-Tabla3[[#This Row],[SOLICITUD DE PEDIDO (ACTA)]]</f>
        <v>0.65000000000000036</v>
      </c>
      <c r="H78" s="12" t="s">
        <v>13</v>
      </c>
    </row>
    <row r="79" spans="1:8" ht="15.75" customHeight="1" x14ac:dyDescent="0.3">
      <c r="A79" s="9">
        <v>46119</v>
      </c>
      <c r="B79" s="10"/>
      <c r="C79" s="10" t="s">
        <v>11</v>
      </c>
      <c r="D79" s="10" t="s">
        <v>36</v>
      </c>
      <c r="E79" s="10">
        <v>115</v>
      </c>
      <c r="F79" s="10">
        <v>115.3</v>
      </c>
      <c r="G79" s="7">
        <f>Tabla3[[#This Row],[ENTRADA FISICA ]]-Tabla3[[#This Row],[SOLICITUD DE PEDIDO (ACTA)]]</f>
        <v>0.29999999999999716</v>
      </c>
      <c r="H79" s="13" t="s">
        <v>13</v>
      </c>
    </row>
    <row r="80" spans="1:8" ht="15.75" customHeight="1" x14ac:dyDescent="0.3">
      <c r="A80" s="9">
        <v>46119</v>
      </c>
      <c r="B80" s="10"/>
      <c r="C80" s="10" t="s">
        <v>11</v>
      </c>
      <c r="D80" s="10" t="s">
        <v>37</v>
      </c>
      <c r="E80" s="10">
        <v>3</v>
      </c>
      <c r="F80" s="10">
        <v>3.1</v>
      </c>
      <c r="G80" s="7">
        <f>Tabla3[[#This Row],[ENTRADA FISICA ]]-Tabla3[[#This Row],[SOLICITUD DE PEDIDO (ACTA)]]</f>
        <v>0.10000000000000009</v>
      </c>
      <c r="H80" s="13" t="s">
        <v>13</v>
      </c>
    </row>
    <row r="81" spans="1:26" ht="15.75" customHeight="1" x14ac:dyDescent="0.3">
      <c r="A81" s="6">
        <v>46119</v>
      </c>
      <c r="B81" s="7"/>
      <c r="C81" s="7" t="s">
        <v>11</v>
      </c>
      <c r="D81" s="7" t="s">
        <v>38</v>
      </c>
      <c r="E81" s="7">
        <v>3</v>
      </c>
      <c r="F81" s="7">
        <v>3</v>
      </c>
      <c r="G81" s="7">
        <f>Tabla3[[#This Row],[ENTRADA FISICA ]]-Tabla3[[#This Row],[SOLICITUD DE PEDIDO (ACTA)]]</f>
        <v>0</v>
      </c>
      <c r="H81" s="12" t="s">
        <v>13</v>
      </c>
    </row>
    <row r="82" spans="1:26" ht="15.75" customHeight="1" x14ac:dyDescent="0.3">
      <c r="A82" s="6">
        <v>46120</v>
      </c>
      <c r="B82" s="7">
        <v>324</v>
      </c>
      <c r="C82" s="7" t="s">
        <v>41</v>
      </c>
      <c r="D82" s="7" t="s">
        <v>42</v>
      </c>
      <c r="E82" s="7">
        <v>122</v>
      </c>
      <c r="F82" s="7">
        <v>122</v>
      </c>
      <c r="G82" s="7">
        <f>Tabla3[[#This Row],[ENTRADA FISICA ]]-Tabla3[[#This Row],[SOLICITUD DE PEDIDO (ACTA)]]</f>
        <v>0</v>
      </c>
      <c r="H82" s="12"/>
    </row>
    <row r="83" spans="1:26" ht="15.75" customHeight="1" x14ac:dyDescent="0.3">
      <c r="A83" s="6">
        <v>46122</v>
      </c>
      <c r="B83" s="7">
        <v>319</v>
      </c>
      <c r="C83" s="7" t="s">
        <v>39</v>
      </c>
      <c r="D83" s="7" t="s">
        <v>40</v>
      </c>
      <c r="E83" s="7">
        <v>250</v>
      </c>
      <c r="F83" s="7">
        <v>253.4</v>
      </c>
      <c r="G83" s="7">
        <f>Tabla3[[#This Row],[ENTRADA FISICA ]]-Tabla3[[#This Row],[SOLICITUD DE PEDIDO (ACTA)]]</f>
        <v>3.4000000000000057</v>
      </c>
      <c r="H83" s="8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3">
      <c r="A84" s="9">
        <v>46122</v>
      </c>
      <c r="B84" s="10">
        <v>308</v>
      </c>
      <c r="C84" s="10" t="s">
        <v>11</v>
      </c>
      <c r="D84" s="10" t="s">
        <v>12</v>
      </c>
      <c r="E84" s="10">
        <v>60</v>
      </c>
      <c r="F84" s="10">
        <v>60</v>
      </c>
      <c r="G84" s="7">
        <f>Tabla3[[#This Row],[ENTRADA FISICA ]]-Tabla3[[#This Row],[SOLICITUD DE PEDIDO (ACTA)]]</f>
        <v>0</v>
      </c>
      <c r="H84" s="11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3">
      <c r="A85" s="6">
        <v>46122</v>
      </c>
      <c r="B85" s="7">
        <v>308</v>
      </c>
      <c r="C85" s="7" t="s">
        <v>11</v>
      </c>
      <c r="D85" s="7" t="s">
        <v>14</v>
      </c>
      <c r="E85" s="7">
        <v>112</v>
      </c>
      <c r="F85" s="7">
        <v>96</v>
      </c>
      <c r="G85" s="7">
        <f>Tabla3[[#This Row],[ENTRADA FISICA ]]-Tabla3[[#This Row],[SOLICITUD DE PEDIDO (ACTA)]]</f>
        <v>-16</v>
      </c>
      <c r="H85" s="8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3">
      <c r="A86" s="9">
        <v>46122</v>
      </c>
      <c r="B86" s="10">
        <v>308</v>
      </c>
      <c r="C86" s="10" t="s">
        <v>11</v>
      </c>
      <c r="D86" s="10" t="s">
        <v>15</v>
      </c>
      <c r="E86" s="10">
        <v>2</v>
      </c>
      <c r="F86" s="10">
        <v>2.4</v>
      </c>
      <c r="G86" s="7">
        <f>Tabla3[[#This Row],[ENTRADA FISICA ]]-Tabla3[[#This Row],[SOLICITUD DE PEDIDO (ACTA)]]</f>
        <v>0.39999999999999991</v>
      </c>
      <c r="H86" s="11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3">
      <c r="A87" s="6">
        <v>46122</v>
      </c>
      <c r="B87" s="7">
        <v>308</v>
      </c>
      <c r="C87" s="7" t="s">
        <v>11</v>
      </c>
      <c r="D87" s="7" t="s">
        <v>16</v>
      </c>
      <c r="E87" s="7">
        <v>13</v>
      </c>
      <c r="F87" s="7">
        <v>13.2</v>
      </c>
      <c r="G87" s="7">
        <f>Tabla3[[#This Row],[ENTRADA FISICA ]]-Tabla3[[#This Row],[SOLICITUD DE PEDIDO (ACTA)]]</f>
        <v>0.19999999999999929</v>
      </c>
      <c r="H87" s="8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3">
      <c r="A88" s="9">
        <v>46122</v>
      </c>
      <c r="B88" s="10">
        <v>308</v>
      </c>
      <c r="C88" s="10" t="s">
        <v>11</v>
      </c>
      <c r="D88" s="10" t="s">
        <v>17</v>
      </c>
      <c r="E88" s="10">
        <v>9</v>
      </c>
      <c r="F88" s="10">
        <v>9</v>
      </c>
      <c r="G88" s="7">
        <f>Tabla3[[#This Row],[ENTRADA FISICA ]]-Tabla3[[#This Row],[SOLICITUD DE PEDIDO (ACTA)]]</f>
        <v>0</v>
      </c>
      <c r="H88" s="11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3">
      <c r="A89" s="6">
        <v>46122</v>
      </c>
      <c r="B89" s="7">
        <v>308</v>
      </c>
      <c r="C89" s="7" t="s">
        <v>11</v>
      </c>
      <c r="D89" s="7" t="s">
        <v>18</v>
      </c>
      <c r="E89" s="7">
        <v>9</v>
      </c>
      <c r="F89" s="7">
        <v>9</v>
      </c>
      <c r="G89" s="7">
        <f>Tabla3[[#This Row],[ENTRADA FISICA ]]-Tabla3[[#This Row],[SOLICITUD DE PEDIDO (ACTA)]]</f>
        <v>0</v>
      </c>
      <c r="H89" s="8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3">
      <c r="A90" s="9">
        <v>46122</v>
      </c>
      <c r="B90" s="10">
        <v>308</v>
      </c>
      <c r="C90" s="10" t="s">
        <v>11</v>
      </c>
      <c r="D90" s="10" t="s">
        <v>19</v>
      </c>
      <c r="E90" s="10">
        <v>1.5</v>
      </c>
      <c r="F90" s="10">
        <v>1.8</v>
      </c>
      <c r="G90" s="7">
        <f>Tabla3[[#This Row],[ENTRADA FISICA ]]-Tabla3[[#This Row],[SOLICITUD DE PEDIDO (ACTA)]]</f>
        <v>0.30000000000000004</v>
      </c>
      <c r="H90" s="11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3">
      <c r="A91" s="6">
        <v>46122</v>
      </c>
      <c r="B91" s="7">
        <v>308</v>
      </c>
      <c r="C91" s="7" t="s">
        <v>11</v>
      </c>
      <c r="D91" s="7" t="s">
        <v>20</v>
      </c>
      <c r="E91" s="7">
        <v>16</v>
      </c>
      <c r="F91" s="7">
        <v>16</v>
      </c>
      <c r="G91" s="7">
        <f>Tabla3[[#This Row],[ENTRADA FISICA ]]-Tabla3[[#This Row],[SOLICITUD DE PEDIDO (ACTA)]]</f>
        <v>0</v>
      </c>
      <c r="H91" s="8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3">
      <c r="A92" s="9">
        <v>46122</v>
      </c>
      <c r="B92" s="10">
        <v>308</v>
      </c>
      <c r="C92" s="10" t="s">
        <v>11</v>
      </c>
      <c r="D92" s="10" t="s">
        <v>21</v>
      </c>
      <c r="E92" s="10">
        <v>14</v>
      </c>
      <c r="F92" s="10">
        <v>14</v>
      </c>
      <c r="G92" s="7">
        <f>Tabla3[[#This Row],[ENTRADA FISICA ]]-Tabla3[[#This Row],[SOLICITUD DE PEDIDO (ACTA)]]</f>
        <v>0</v>
      </c>
      <c r="H92" s="11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3">
      <c r="A93" s="6">
        <v>46122</v>
      </c>
      <c r="B93" s="7">
        <v>308</v>
      </c>
      <c r="C93" s="7" t="s">
        <v>11</v>
      </c>
      <c r="D93" s="7" t="s">
        <v>22</v>
      </c>
      <c r="E93" s="7">
        <v>37</v>
      </c>
      <c r="F93" s="7">
        <v>37</v>
      </c>
      <c r="G93" s="7">
        <f>Tabla3[[#This Row],[ENTRADA FISICA ]]-Tabla3[[#This Row],[SOLICITUD DE PEDIDO (ACTA)]]</f>
        <v>0</v>
      </c>
      <c r="H93" s="8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3">
      <c r="A94" s="9">
        <v>46122</v>
      </c>
      <c r="B94" s="10">
        <v>308</v>
      </c>
      <c r="C94" s="10" t="s">
        <v>11</v>
      </c>
      <c r="D94" s="10" t="s">
        <v>23</v>
      </c>
      <c r="E94" s="10">
        <v>130</v>
      </c>
      <c r="F94" s="10">
        <v>141</v>
      </c>
      <c r="G94" s="7">
        <f>Tabla3[[#This Row],[ENTRADA FISICA ]]-Tabla3[[#This Row],[SOLICITUD DE PEDIDO (ACTA)]]</f>
        <v>11</v>
      </c>
      <c r="H94" s="11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3">
      <c r="A95" s="6">
        <v>46122</v>
      </c>
      <c r="B95" s="7">
        <v>308</v>
      </c>
      <c r="C95" s="7" t="s">
        <v>11</v>
      </c>
      <c r="D95" s="7" t="s">
        <v>24</v>
      </c>
      <c r="E95" s="7">
        <v>2</v>
      </c>
      <c r="F95" s="7">
        <v>1.5</v>
      </c>
      <c r="G95" s="7">
        <f>Tabla3[[#This Row],[ENTRADA FISICA ]]-Tabla3[[#This Row],[SOLICITUD DE PEDIDO (ACTA)]]</f>
        <v>-0.5</v>
      </c>
      <c r="H95" s="8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3">
      <c r="A96" s="9">
        <v>46122</v>
      </c>
      <c r="B96" s="10">
        <v>308</v>
      </c>
      <c r="C96" s="10" t="s">
        <v>11</v>
      </c>
      <c r="D96" s="10" t="s">
        <v>25</v>
      </c>
      <c r="E96" s="10">
        <v>4.5</v>
      </c>
      <c r="F96" s="10">
        <v>4.9000000000000004</v>
      </c>
      <c r="G96" s="7">
        <f>Tabla3[[#This Row],[ENTRADA FISICA ]]-Tabla3[[#This Row],[SOLICITUD DE PEDIDO (ACTA)]]</f>
        <v>0.40000000000000036</v>
      </c>
      <c r="H96" s="11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3">
      <c r="A97" s="6">
        <v>46122</v>
      </c>
      <c r="B97" s="7">
        <v>308</v>
      </c>
      <c r="C97" s="7" t="s">
        <v>11</v>
      </c>
      <c r="D97" s="7" t="s">
        <v>26</v>
      </c>
      <c r="E97" s="7">
        <v>160</v>
      </c>
      <c r="F97" s="7">
        <v>161</v>
      </c>
      <c r="G97" s="7">
        <f>Tabla3[[#This Row],[ENTRADA FISICA ]]-Tabla3[[#This Row],[SOLICITUD DE PEDIDO (ACTA)]]</f>
        <v>1</v>
      </c>
      <c r="H97" s="8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3">
      <c r="A98" s="9">
        <v>46122</v>
      </c>
      <c r="B98" s="10">
        <v>308</v>
      </c>
      <c r="C98" s="10" t="s">
        <v>11</v>
      </c>
      <c r="D98" s="10" t="s">
        <v>27</v>
      </c>
      <c r="E98" s="10">
        <v>64</v>
      </c>
      <c r="F98" s="10">
        <v>64</v>
      </c>
      <c r="G98" s="7">
        <f>Tabla3[[#This Row],[ENTRADA FISICA ]]-Tabla3[[#This Row],[SOLICITUD DE PEDIDO (ACTA)]]</f>
        <v>0</v>
      </c>
      <c r="H98" s="11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3">
      <c r="A99" s="6">
        <v>46122</v>
      </c>
      <c r="B99" s="7">
        <v>308</v>
      </c>
      <c r="C99" s="7" t="s">
        <v>11</v>
      </c>
      <c r="D99" s="7" t="s">
        <v>28</v>
      </c>
      <c r="E99" s="7">
        <v>24</v>
      </c>
      <c r="F99" s="7">
        <v>22.5</v>
      </c>
      <c r="G99" s="7">
        <f>Tabla3[[#This Row],[ENTRADA FISICA ]]-Tabla3[[#This Row],[SOLICITUD DE PEDIDO (ACTA)]]</f>
        <v>-1.5</v>
      </c>
      <c r="H99" s="8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3">
      <c r="A100" s="9">
        <v>46122</v>
      </c>
      <c r="B100" s="10">
        <v>308</v>
      </c>
      <c r="C100" s="10" t="s">
        <v>11</v>
      </c>
      <c r="D100" s="10" t="s">
        <v>29</v>
      </c>
      <c r="E100" s="10">
        <v>24</v>
      </c>
      <c r="F100" s="10">
        <v>23.8</v>
      </c>
      <c r="G100" s="7">
        <f>Tabla3[[#This Row],[ENTRADA FISICA ]]-Tabla3[[#This Row],[SOLICITUD DE PEDIDO (ACTA)]]</f>
        <v>-0.19999999999999929</v>
      </c>
      <c r="H100" s="11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3">
      <c r="A101" s="6">
        <v>46122</v>
      </c>
      <c r="B101" s="7">
        <v>308</v>
      </c>
      <c r="C101" s="7" t="s">
        <v>11</v>
      </c>
      <c r="D101" s="7" t="s">
        <v>30</v>
      </c>
      <c r="E101" s="7">
        <v>2</v>
      </c>
      <c r="F101" s="7">
        <v>2.1</v>
      </c>
      <c r="G101" s="7">
        <f>Tabla3[[#This Row],[ENTRADA FISICA ]]-Tabla3[[#This Row],[SOLICITUD DE PEDIDO (ACTA)]]</f>
        <v>0.10000000000000009</v>
      </c>
      <c r="H101" s="8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3">
      <c r="A102" s="9">
        <v>46122</v>
      </c>
      <c r="B102" s="10">
        <v>308</v>
      </c>
      <c r="C102" s="10" t="s">
        <v>11</v>
      </c>
      <c r="D102" s="10" t="s">
        <v>31</v>
      </c>
      <c r="E102" s="10">
        <v>17.5</v>
      </c>
      <c r="F102" s="10">
        <v>16.95</v>
      </c>
      <c r="G102" s="7">
        <f>Tabla3[[#This Row],[ENTRADA FISICA ]]-Tabla3[[#This Row],[SOLICITUD DE PEDIDO (ACTA)]]</f>
        <v>-0.55000000000000071</v>
      </c>
      <c r="H102" s="11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3">
      <c r="A103" s="6">
        <v>46122</v>
      </c>
      <c r="B103" s="7">
        <v>308</v>
      </c>
      <c r="C103" s="7" t="s">
        <v>11</v>
      </c>
      <c r="D103" s="7" t="s">
        <v>32</v>
      </c>
      <c r="E103" s="7">
        <v>4</v>
      </c>
      <c r="F103" s="7">
        <v>4</v>
      </c>
      <c r="G103" s="7">
        <f>Tabla3[[#This Row],[ENTRADA FISICA ]]-Tabla3[[#This Row],[SOLICITUD DE PEDIDO (ACTA)]]</f>
        <v>0</v>
      </c>
      <c r="H103" s="8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3">
      <c r="A104" s="9">
        <v>46122</v>
      </c>
      <c r="B104" s="10">
        <v>308</v>
      </c>
      <c r="C104" s="10" t="s">
        <v>11</v>
      </c>
      <c r="D104" s="10" t="s">
        <v>33</v>
      </c>
      <c r="E104" s="10">
        <v>32</v>
      </c>
      <c r="F104" s="10">
        <v>32</v>
      </c>
      <c r="G104" s="7">
        <f>Tabla3[[#This Row],[ENTRADA FISICA ]]-Tabla3[[#This Row],[SOLICITUD DE PEDIDO (ACTA)]]</f>
        <v>0</v>
      </c>
      <c r="H104" s="11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3">
      <c r="A105" s="6">
        <v>46122</v>
      </c>
      <c r="B105" s="7">
        <v>308</v>
      </c>
      <c r="C105" s="7" t="s">
        <v>11</v>
      </c>
      <c r="D105" s="7" t="s">
        <v>34</v>
      </c>
      <c r="E105" s="7">
        <v>54</v>
      </c>
      <c r="F105" s="7">
        <v>59.9</v>
      </c>
      <c r="G105" s="7">
        <f>Tabla3[[#This Row],[ENTRADA FISICA ]]-Tabla3[[#This Row],[SOLICITUD DE PEDIDO (ACTA)]]</f>
        <v>5.8999999999999986</v>
      </c>
      <c r="H105" s="8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3">
      <c r="A106" s="9">
        <v>46122</v>
      </c>
      <c r="B106" s="10">
        <v>308</v>
      </c>
      <c r="C106" s="10" t="s">
        <v>11</v>
      </c>
      <c r="D106" s="10" t="s">
        <v>35</v>
      </c>
      <c r="E106" s="10">
        <v>14</v>
      </c>
      <c r="F106" s="10">
        <v>13.3</v>
      </c>
      <c r="G106" s="7">
        <f>Tabla3[[#This Row],[ENTRADA FISICA ]]-Tabla3[[#This Row],[SOLICITUD DE PEDIDO (ACTA)]]</f>
        <v>-0.69999999999999929</v>
      </c>
      <c r="H106" s="11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3">
      <c r="A107" s="6">
        <v>46122</v>
      </c>
      <c r="B107" s="7">
        <v>308</v>
      </c>
      <c r="C107" s="7" t="s">
        <v>11</v>
      </c>
      <c r="D107" s="7" t="s">
        <v>36</v>
      </c>
      <c r="E107" s="7">
        <v>150</v>
      </c>
      <c r="F107" s="7">
        <v>150.19999999999999</v>
      </c>
      <c r="G107" s="7">
        <f>Tabla3[[#This Row],[ENTRADA FISICA ]]-Tabla3[[#This Row],[SOLICITUD DE PEDIDO (ACTA)]]</f>
        <v>0.19999999999998863</v>
      </c>
      <c r="H107" s="8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3">
      <c r="A108" s="9">
        <v>46122</v>
      </c>
      <c r="B108" s="10">
        <v>308</v>
      </c>
      <c r="C108" s="10" t="s">
        <v>11</v>
      </c>
      <c r="D108" s="10" t="s">
        <v>37</v>
      </c>
      <c r="E108" s="10">
        <v>3</v>
      </c>
      <c r="F108" s="10">
        <v>3</v>
      </c>
      <c r="G108" s="7">
        <f>Tabla3[[#This Row],[ENTRADA FISICA ]]-Tabla3[[#This Row],[SOLICITUD DE PEDIDO (ACTA)]]</f>
        <v>0</v>
      </c>
      <c r="H108" s="11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3">
      <c r="A109" s="6">
        <v>46122</v>
      </c>
      <c r="B109" s="7">
        <v>308</v>
      </c>
      <c r="C109" s="7" t="s">
        <v>11</v>
      </c>
      <c r="D109" s="7" t="s">
        <v>38</v>
      </c>
      <c r="E109" s="7">
        <v>3</v>
      </c>
      <c r="F109" s="7">
        <v>3</v>
      </c>
      <c r="G109" s="7">
        <f>Tabla3[[#This Row],[ENTRADA FISICA ]]-Tabla3[[#This Row],[SOLICITUD DE PEDIDO (ACTA)]]</f>
        <v>0</v>
      </c>
      <c r="H109" s="8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3">
      <c r="A110" s="9">
        <v>46122</v>
      </c>
      <c r="B110" s="10">
        <v>325</v>
      </c>
      <c r="C110" s="10" t="s">
        <v>41</v>
      </c>
      <c r="D110" s="10" t="s">
        <v>42</v>
      </c>
      <c r="E110" s="10">
        <v>123</v>
      </c>
      <c r="F110" s="10">
        <v>121</v>
      </c>
      <c r="G110" s="7">
        <f>Tabla3[[#This Row],[ENTRADA FISICA ]]-Tabla3[[#This Row],[SOLICITUD DE PEDIDO (ACTA)]]</f>
        <v>-2</v>
      </c>
      <c r="H110" s="13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3">
      <c r="A111" s="9">
        <v>46125</v>
      </c>
      <c r="B111" s="10">
        <v>315</v>
      </c>
      <c r="C111" s="10" t="s">
        <v>55</v>
      </c>
      <c r="D111" s="10" t="s">
        <v>56</v>
      </c>
      <c r="E111" s="10">
        <v>7</v>
      </c>
      <c r="F111" s="10">
        <v>7</v>
      </c>
      <c r="G111" s="7">
        <f>Tabla3[[#This Row],[ENTRADA FISICA ]]-Tabla3[[#This Row],[SOLICITUD DE PEDIDO (ACTA)]]</f>
        <v>0</v>
      </c>
      <c r="H111" s="13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3">
      <c r="A112" s="6">
        <v>46125</v>
      </c>
      <c r="B112" s="7">
        <v>315</v>
      </c>
      <c r="C112" s="7" t="s">
        <v>55</v>
      </c>
      <c r="D112" s="7" t="s">
        <v>57</v>
      </c>
      <c r="E112" s="7">
        <v>7</v>
      </c>
      <c r="F112" s="7">
        <v>7</v>
      </c>
      <c r="G112" s="7">
        <f>Tabla3[[#This Row],[ENTRADA FISICA ]]-Tabla3[[#This Row],[SOLICITUD DE PEDIDO (ACTA)]]</f>
        <v>0</v>
      </c>
      <c r="H112" s="12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3">
      <c r="A113" s="9">
        <v>46125</v>
      </c>
      <c r="B113" s="10">
        <v>315</v>
      </c>
      <c r="C113" s="10" t="s">
        <v>55</v>
      </c>
      <c r="D113" s="10" t="s">
        <v>58</v>
      </c>
      <c r="E113" s="10">
        <v>2</v>
      </c>
      <c r="F113" s="10">
        <v>2</v>
      </c>
      <c r="G113" s="7">
        <f>Tabla3[[#This Row],[ENTRADA FISICA ]]-Tabla3[[#This Row],[SOLICITUD DE PEDIDO (ACTA)]]</f>
        <v>0</v>
      </c>
      <c r="H113" s="13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3">
      <c r="A114" s="6">
        <v>46125</v>
      </c>
      <c r="B114" s="7">
        <v>315</v>
      </c>
      <c r="C114" s="7" t="s">
        <v>55</v>
      </c>
      <c r="D114" s="7" t="s">
        <v>59</v>
      </c>
      <c r="E114" s="7">
        <v>5</v>
      </c>
      <c r="F114" s="7">
        <v>5</v>
      </c>
      <c r="G114" s="7">
        <f>Tabla3[[#This Row],[ENTRADA FISICA ]]-Tabla3[[#This Row],[SOLICITUD DE PEDIDO (ACTA)]]</f>
        <v>0</v>
      </c>
      <c r="H114" s="12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30" customHeight="1" x14ac:dyDescent="0.3">
      <c r="A115" s="9">
        <v>46125</v>
      </c>
      <c r="B115" s="10">
        <v>335</v>
      </c>
      <c r="C115" s="10" t="s">
        <v>43</v>
      </c>
      <c r="D115" s="10" t="s">
        <v>44</v>
      </c>
      <c r="E115" s="10">
        <v>183</v>
      </c>
      <c r="F115" s="10">
        <v>183</v>
      </c>
      <c r="G115" s="7">
        <f>Tabla3[[#This Row],[ENTRADA FISICA ]]-Tabla3[[#This Row],[SOLICITUD DE PEDIDO (ACTA)]]</f>
        <v>0</v>
      </c>
      <c r="H115" s="13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3">
      <c r="A116" s="6">
        <v>46125</v>
      </c>
      <c r="B116" s="7">
        <v>335</v>
      </c>
      <c r="C116" s="7" t="s">
        <v>43</v>
      </c>
      <c r="D116" s="7" t="s">
        <v>45</v>
      </c>
      <c r="E116" s="7">
        <v>1</v>
      </c>
      <c r="F116" s="7">
        <v>1</v>
      </c>
      <c r="G116" s="7">
        <f>Tabla3[[#This Row],[ENTRADA FISICA ]]-Tabla3[[#This Row],[SOLICITUD DE PEDIDO (ACTA)]]</f>
        <v>0</v>
      </c>
      <c r="H116" s="12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3">
      <c r="A117" s="9">
        <v>46125</v>
      </c>
      <c r="B117" s="10">
        <v>335</v>
      </c>
      <c r="C117" s="10" t="s">
        <v>43</v>
      </c>
      <c r="D117" s="10" t="s">
        <v>46</v>
      </c>
      <c r="E117" s="10">
        <v>7</v>
      </c>
      <c r="F117" s="10">
        <v>7</v>
      </c>
      <c r="G117" s="7">
        <f>Tabla3[[#This Row],[ENTRADA FISICA ]]-Tabla3[[#This Row],[SOLICITUD DE PEDIDO (ACTA)]]</f>
        <v>0</v>
      </c>
      <c r="H117" s="13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3">
      <c r="A118" s="6">
        <v>46125</v>
      </c>
      <c r="B118" s="7">
        <v>335</v>
      </c>
      <c r="C118" s="7" t="s">
        <v>43</v>
      </c>
      <c r="D118" s="7" t="s">
        <v>47</v>
      </c>
      <c r="E118" s="7">
        <v>5</v>
      </c>
      <c r="F118" s="7">
        <v>5</v>
      </c>
      <c r="G118" s="7">
        <f>Tabla3[[#This Row],[ENTRADA FISICA ]]-Tabla3[[#This Row],[SOLICITUD DE PEDIDO (ACTA)]]</f>
        <v>0</v>
      </c>
      <c r="H118" s="12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3">
      <c r="A119" s="9">
        <v>46125</v>
      </c>
      <c r="B119" s="10">
        <v>335</v>
      </c>
      <c r="C119" s="10" t="s">
        <v>43</v>
      </c>
      <c r="D119" t="s">
        <v>220</v>
      </c>
      <c r="E119" s="10">
        <v>3</v>
      </c>
      <c r="F119" s="10">
        <v>3</v>
      </c>
      <c r="G119" s="7">
        <f>Tabla3[[#This Row],[ENTRADA FISICA ]]-Tabla3[[#This Row],[SOLICITUD DE PEDIDO (ACTA)]]</f>
        <v>0</v>
      </c>
      <c r="H119" s="13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3">
      <c r="A120" s="6">
        <v>46125</v>
      </c>
      <c r="B120" s="7">
        <v>335</v>
      </c>
      <c r="C120" s="7" t="s">
        <v>43</v>
      </c>
      <c r="D120" s="7" t="s">
        <v>49</v>
      </c>
      <c r="E120" s="7">
        <v>6</v>
      </c>
      <c r="F120" s="7">
        <v>6</v>
      </c>
      <c r="G120" s="7">
        <f>Tabla3[[#This Row],[ENTRADA FISICA ]]-Tabla3[[#This Row],[SOLICITUD DE PEDIDO (ACTA)]]</f>
        <v>0</v>
      </c>
      <c r="H120" s="12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3">
      <c r="A121" s="9">
        <v>46125</v>
      </c>
      <c r="B121" s="10">
        <v>335</v>
      </c>
      <c r="C121" s="10" t="s">
        <v>43</v>
      </c>
      <c r="D121" t="s">
        <v>221</v>
      </c>
      <c r="E121" s="10">
        <v>11</v>
      </c>
      <c r="F121" s="10">
        <v>11</v>
      </c>
      <c r="G121" s="7">
        <f>Tabla3[[#This Row],[ENTRADA FISICA ]]-Tabla3[[#This Row],[SOLICITUD DE PEDIDO (ACTA)]]</f>
        <v>0</v>
      </c>
      <c r="H121" s="13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3">
      <c r="A122" s="6">
        <v>46125</v>
      </c>
      <c r="B122" s="7">
        <v>335</v>
      </c>
      <c r="C122" s="7" t="s">
        <v>43</v>
      </c>
      <c r="D122" t="s">
        <v>222</v>
      </c>
      <c r="E122" s="7">
        <v>1</v>
      </c>
      <c r="F122" s="7">
        <v>1</v>
      </c>
      <c r="G122" s="7">
        <f>Tabla3[[#This Row],[ENTRADA FISICA ]]-Tabla3[[#This Row],[SOLICITUD DE PEDIDO (ACTA)]]</f>
        <v>0</v>
      </c>
      <c r="H122" s="12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3">
      <c r="A123" s="9">
        <v>46125</v>
      </c>
      <c r="B123" s="10">
        <v>335</v>
      </c>
      <c r="C123" s="10" t="s">
        <v>43</v>
      </c>
      <c r="D123" s="10" t="s">
        <v>50</v>
      </c>
      <c r="E123" s="10">
        <v>4</v>
      </c>
      <c r="F123" s="10">
        <v>4</v>
      </c>
      <c r="G123" s="7">
        <f>Tabla3[[#This Row],[ENTRADA FISICA ]]-Tabla3[[#This Row],[SOLICITUD DE PEDIDO (ACTA)]]</f>
        <v>0</v>
      </c>
      <c r="H123" s="13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3">
      <c r="A124" s="6">
        <v>46125</v>
      </c>
      <c r="B124" s="7">
        <v>335</v>
      </c>
      <c r="C124" s="7" t="s">
        <v>43</v>
      </c>
      <c r="D124" s="10" t="s">
        <v>52</v>
      </c>
      <c r="E124" s="7">
        <v>2</v>
      </c>
      <c r="F124" s="7">
        <v>2</v>
      </c>
      <c r="G124" s="7">
        <f>Tabla3[[#This Row],[ENTRADA FISICA ]]-Tabla3[[#This Row],[SOLICITUD DE PEDIDO (ACTA)]]</f>
        <v>0</v>
      </c>
      <c r="H124" s="7">
        <f>CONCENTRADO!$F125-CONCENTRADO!$E125</f>
        <v>0</v>
      </c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3">
      <c r="A125" s="9">
        <v>46125</v>
      </c>
      <c r="B125" s="10">
        <v>326</v>
      </c>
      <c r="C125" s="10" t="s">
        <v>41</v>
      </c>
      <c r="D125" s="10" t="s">
        <v>42</v>
      </c>
      <c r="E125" s="10">
        <v>122</v>
      </c>
      <c r="F125" s="10">
        <v>122</v>
      </c>
      <c r="G125" s="7">
        <f>Tabla3[[#This Row],[ENTRADA FISICA ]]-Tabla3[[#This Row],[SOLICITUD DE PEDIDO (ACTA)]]</f>
        <v>0</v>
      </c>
      <c r="H125" s="13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3">
      <c r="A126" s="9">
        <v>46126</v>
      </c>
      <c r="B126" s="10">
        <v>309</v>
      </c>
      <c r="C126" s="10" t="s">
        <v>11</v>
      </c>
      <c r="D126" s="10" t="s">
        <v>12</v>
      </c>
      <c r="E126" s="10">
        <v>48</v>
      </c>
      <c r="F126" s="10">
        <v>47</v>
      </c>
      <c r="G126" s="7">
        <f>Tabla3[[#This Row],[ENTRADA FISICA ]]-Tabla3[[#This Row],[SOLICITUD DE PEDIDO (ACTA)]]</f>
        <v>-1</v>
      </c>
      <c r="H126" s="13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3">
      <c r="A127" s="6">
        <v>46126</v>
      </c>
      <c r="B127" s="7">
        <v>309</v>
      </c>
      <c r="C127" s="7" t="s">
        <v>11</v>
      </c>
      <c r="D127" s="7" t="s">
        <v>14</v>
      </c>
      <c r="E127" s="7">
        <v>87</v>
      </c>
      <c r="F127" s="7">
        <v>99</v>
      </c>
      <c r="G127" s="7">
        <f>Tabla3[[#This Row],[ENTRADA FISICA ]]-Tabla3[[#This Row],[SOLICITUD DE PEDIDO (ACTA)]]</f>
        <v>12</v>
      </c>
      <c r="H127" s="12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3">
      <c r="A128" s="9">
        <v>46126</v>
      </c>
      <c r="B128" s="10">
        <v>309</v>
      </c>
      <c r="C128" s="10" t="s">
        <v>11</v>
      </c>
      <c r="D128" s="10" t="s">
        <v>15</v>
      </c>
      <c r="E128" s="10">
        <v>2</v>
      </c>
      <c r="F128" s="10">
        <v>1.85</v>
      </c>
      <c r="G128" s="7">
        <f>Tabla3[[#This Row],[ENTRADA FISICA ]]-Tabla3[[#This Row],[SOLICITUD DE PEDIDO (ACTA)]]</f>
        <v>-0.14999999999999991</v>
      </c>
      <c r="H128" s="13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3">
      <c r="A129" s="6">
        <v>46126</v>
      </c>
      <c r="B129" s="7">
        <v>309</v>
      </c>
      <c r="C129" s="7" t="s">
        <v>11</v>
      </c>
      <c r="D129" s="7" t="s">
        <v>16</v>
      </c>
      <c r="E129" s="7">
        <v>10</v>
      </c>
      <c r="F129" s="7">
        <v>10.1</v>
      </c>
      <c r="G129" s="7">
        <f>Tabla3[[#This Row],[ENTRADA FISICA ]]-Tabla3[[#This Row],[SOLICITUD DE PEDIDO (ACTA)]]</f>
        <v>9.9999999999999645E-2</v>
      </c>
      <c r="H129" s="12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3">
      <c r="A130" s="9">
        <v>46126</v>
      </c>
      <c r="B130" s="10">
        <v>309</v>
      </c>
      <c r="C130" s="10" t="s">
        <v>11</v>
      </c>
      <c r="D130" s="10" t="s">
        <v>62</v>
      </c>
      <c r="E130" s="10">
        <v>5</v>
      </c>
      <c r="F130" s="10">
        <v>5</v>
      </c>
      <c r="G130" s="7">
        <f>Tabla3[[#This Row],[ENTRADA FISICA ]]-Tabla3[[#This Row],[SOLICITUD DE PEDIDO (ACTA)]]</f>
        <v>0</v>
      </c>
      <c r="H130" s="13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3">
      <c r="A131" s="6">
        <v>46126</v>
      </c>
      <c r="B131" s="7">
        <v>309</v>
      </c>
      <c r="C131" s="7" t="s">
        <v>11</v>
      </c>
      <c r="D131" s="7" t="s">
        <v>17</v>
      </c>
      <c r="E131" s="7">
        <v>6</v>
      </c>
      <c r="F131" s="7">
        <v>5.95</v>
      </c>
      <c r="G131" s="7">
        <f>Tabla3[[#This Row],[ENTRADA FISICA ]]-Tabla3[[#This Row],[SOLICITUD DE PEDIDO (ACTA)]]</f>
        <v>-4.9999999999999822E-2</v>
      </c>
      <c r="H131" s="12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3">
      <c r="A132" s="9">
        <v>46126</v>
      </c>
      <c r="B132" s="10">
        <v>309</v>
      </c>
      <c r="C132" s="10" t="s">
        <v>11</v>
      </c>
      <c r="D132" s="10" t="s">
        <v>18</v>
      </c>
      <c r="E132" s="10">
        <v>6</v>
      </c>
      <c r="F132" s="10">
        <v>6.05</v>
      </c>
      <c r="G132" s="7">
        <f>Tabla3[[#This Row],[ENTRADA FISICA ]]-Tabla3[[#This Row],[SOLICITUD DE PEDIDO (ACTA)]]</f>
        <v>4.9999999999999822E-2</v>
      </c>
      <c r="H132" s="13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3">
      <c r="A133" s="6">
        <v>46126</v>
      </c>
      <c r="B133" s="7">
        <v>309</v>
      </c>
      <c r="C133" s="7" t="s">
        <v>11</v>
      </c>
      <c r="D133" s="7" t="s">
        <v>19</v>
      </c>
      <c r="E133" s="7">
        <v>1</v>
      </c>
      <c r="F133" s="7">
        <v>1.25</v>
      </c>
      <c r="G133" s="7">
        <f>Tabla3[[#This Row],[ENTRADA FISICA ]]-Tabla3[[#This Row],[SOLICITUD DE PEDIDO (ACTA)]]</f>
        <v>0.25</v>
      </c>
      <c r="H133" s="12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3">
      <c r="A134" s="9">
        <v>46126</v>
      </c>
      <c r="B134" s="10">
        <v>309</v>
      </c>
      <c r="C134" s="10" t="s">
        <v>11</v>
      </c>
      <c r="D134" s="10" t="s">
        <v>20</v>
      </c>
      <c r="E134" s="10">
        <v>12</v>
      </c>
      <c r="F134" s="10">
        <v>12</v>
      </c>
      <c r="G134" s="7">
        <f>Tabla3[[#This Row],[ENTRADA FISICA ]]-Tabla3[[#This Row],[SOLICITUD DE PEDIDO (ACTA)]]</f>
        <v>0</v>
      </c>
      <c r="H134" s="13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3">
      <c r="A135" s="6">
        <v>46126</v>
      </c>
      <c r="B135" s="7">
        <v>309</v>
      </c>
      <c r="C135" s="7" t="s">
        <v>11</v>
      </c>
      <c r="D135" s="7" t="s">
        <v>21</v>
      </c>
      <c r="E135" s="7">
        <v>12</v>
      </c>
      <c r="F135" s="7">
        <v>12</v>
      </c>
      <c r="G135" s="7">
        <f>Tabla3[[#This Row],[ENTRADA FISICA ]]-Tabla3[[#This Row],[SOLICITUD DE PEDIDO (ACTA)]]</f>
        <v>0</v>
      </c>
      <c r="H135" s="12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3">
      <c r="A136" s="9">
        <v>46126</v>
      </c>
      <c r="B136" s="10">
        <v>309</v>
      </c>
      <c r="C136" s="10" t="s">
        <v>11</v>
      </c>
      <c r="D136" s="10" t="s">
        <v>22</v>
      </c>
      <c r="E136" s="10">
        <v>28</v>
      </c>
      <c r="F136" s="10">
        <v>28</v>
      </c>
      <c r="G136" s="7">
        <f>Tabla3[[#This Row],[ENTRADA FISICA ]]-Tabla3[[#This Row],[SOLICITUD DE PEDIDO (ACTA)]]</f>
        <v>0</v>
      </c>
      <c r="H136" s="13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3">
      <c r="A137" s="6">
        <v>46126</v>
      </c>
      <c r="B137" s="7">
        <v>309</v>
      </c>
      <c r="C137" s="7" t="s">
        <v>11</v>
      </c>
      <c r="D137" s="7" t="s">
        <v>23</v>
      </c>
      <c r="E137" s="7">
        <v>97</v>
      </c>
      <c r="F137" s="7">
        <v>96</v>
      </c>
      <c r="G137" s="7">
        <f>Tabla3[[#This Row],[ENTRADA FISICA ]]-Tabla3[[#This Row],[SOLICITUD DE PEDIDO (ACTA)]]</f>
        <v>-1</v>
      </c>
      <c r="H137" s="12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3">
      <c r="A138" s="9">
        <v>46126</v>
      </c>
      <c r="B138" s="10">
        <v>309</v>
      </c>
      <c r="C138" s="10" t="s">
        <v>11</v>
      </c>
      <c r="D138" s="10" t="s">
        <v>24</v>
      </c>
      <c r="E138" s="10">
        <v>1.5</v>
      </c>
      <c r="F138" s="10">
        <v>1.65</v>
      </c>
      <c r="G138" s="7">
        <f>Tabla3[[#This Row],[ENTRADA FISICA ]]-Tabla3[[#This Row],[SOLICITUD DE PEDIDO (ACTA)]]</f>
        <v>0.14999999999999991</v>
      </c>
      <c r="H138" s="13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3">
      <c r="A139" s="6">
        <v>46126</v>
      </c>
      <c r="B139" s="7">
        <v>309</v>
      </c>
      <c r="C139" s="7" t="s">
        <v>11</v>
      </c>
      <c r="D139" s="7" t="s">
        <v>25</v>
      </c>
      <c r="E139" s="7">
        <v>4.5</v>
      </c>
      <c r="F139" s="7">
        <v>4.75</v>
      </c>
      <c r="G139" s="7">
        <f>Tabla3[[#This Row],[ENTRADA FISICA ]]-Tabla3[[#This Row],[SOLICITUD DE PEDIDO (ACTA)]]</f>
        <v>0.25</v>
      </c>
      <c r="H139" s="12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3">
      <c r="A140" s="9">
        <v>46126</v>
      </c>
      <c r="B140" s="10">
        <v>309</v>
      </c>
      <c r="C140" s="10" t="s">
        <v>11</v>
      </c>
      <c r="D140" s="10" t="s">
        <v>26</v>
      </c>
      <c r="E140" s="10">
        <v>108</v>
      </c>
      <c r="F140" s="10">
        <v>110</v>
      </c>
      <c r="G140" s="7">
        <f>Tabla3[[#This Row],[ENTRADA FISICA ]]-Tabla3[[#This Row],[SOLICITUD DE PEDIDO (ACTA)]]</f>
        <v>2</v>
      </c>
      <c r="H140" s="13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3">
      <c r="A141" s="6">
        <v>46126</v>
      </c>
      <c r="B141" s="7">
        <v>309</v>
      </c>
      <c r="C141" s="7" t="s">
        <v>11</v>
      </c>
      <c r="D141" s="7" t="s">
        <v>27</v>
      </c>
      <c r="E141" s="7">
        <v>49</v>
      </c>
      <c r="F141" s="7">
        <v>49.25</v>
      </c>
      <c r="G141" s="7">
        <f>Tabla3[[#This Row],[ENTRADA FISICA ]]-Tabla3[[#This Row],[SOLICITUD DE PEDIDO (ACTA)]]</f>
        <v>0.25</v>
      </c>
      <c r="H141" s="12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3">
      <c r="A142" s="9">
        <v>46126</v>
      </c>
      <c r="B142" s="10">
        <v>309</v>
      </c>
      <c r="C142" s="10" t="s">
        <v>11</v>
      </c>
      <c r="D142" s="10" t="s">
        <v>28</v>
      </c>
      <c r="E142" s="10">
        <v>15</v>
      </c>
      <c r="F142" s="10">
        <v>15.55</v>
      </c>
      <c r="G142" s="7">
        <f>Tabla3[[#This Row],[ENTRADA FISICA ]]-Tabla3[[#This Row],[SOLICITUD DE PEDIDO (ACTA)]]</f>
        <v>0.55000000000000071</v>
      </c>
      <c r="H142" s="13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3">
      <c r="A143" s="6">
        <v>46126</v>
      </c>
      <c r="B143" s="7">
        <v>309</v>
      </c>
      <c r="C143" s="7" t="s">
        <v>11</v>
      </c>
      <c r="D143" s="7" t="s">
        <v>29</v>
      </c>
      <c r="E143" s="7">
        <v>18</v>
      </c>
      <c r="F143" s="7">
        <v>18</v>
      </c>
      <c r="G143" s="7">
        <f>Tabla3[[#This Row],[ENTRADA FISICA ]]-Tabla3[[#This Row],[SOLICITUD DE PEDIDO (ACTA)]]</f>
        <v>0</v>
      </c>
      <c r="H143" s="12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3">
      <c r="A144" s="9">
        <v>46126</v>
      </c>
      <c r="B144" s="10">
        <v>309</v>
      </c>
      <c r="C144" s="10" t="s">
        <v>11</v>
      </c>
      <c r="D144" s="10" t="s">
        <v>30</v>
      </c>
      <c r="E144" s="10">
        <v>1.7</v>
      </c>
      <c r="F144" s="10">
        <v>1.75</v>
      </c>
      <c r="G144" s="7">
        <f>Tabla3[[#This Row],[ENTRADA FISICA ]]-Tabla3[[#This Row],[SOLICITUD DE PEDIDO (ACTA)]]</f>
        <v>5.0000000000000044E-2</v>
      </c>
      <c r="H144" s="13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3">
      <c r="A145" s="6">
        <v>46126</v>
      </c>
      <c r="B145" s="7">
        <v>309</v>
      </c>
      <c r="C145" s="7" t="s">
        <v>11</v>
      </c>
      <c r="D145" s="7" t="s">
        <v>31</v>
      </c>
      <c r="E145" s="7">
        <v>12</v>
      </c>
      <c r="F145" s="7">
        <v>11.6</v>
      </c>
      <c r="G145" s="7">
        <f>Tabla3[[#This Row],[ENTRADA FISICA ]]-Tabla3[[#This Row],[SOLICITUD DE PEDIDO (ACTA)]]</f>
        <v>-0.40000000000000036</v>
      </c>
      <c r="H145" s="12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3">
      <c r="A146" s="9">
        <v>46126</v>
      </c>
      <c r="B146" s="10">
        <v>309</v>
      </c>
      <c r="C146" s="10" t="s">
        <v>11</v>
      </c>
      <c r="D146" s="10" t="s">
        <v>63</v>
      </c>
      <c r="E146" s="10">
        <v>4</v>
      </c>
      <c r="F146" s="10">
        <v>4.0999999999999996</v>
      </c>
      <c r="G146" s="7">
        <f>Tabla3[[#This Row],[ENTRADA FISICA ]]-Tabla3[[#This Row],[SOLICITUD DE PEDIDO (ACTA)]]</f>
        <v>9.9999999999999645E-2</v>
      </c>
      <c r="H146" s="13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3">
      <c r="A147" s="6">
        <v>46126</v>
      </c>
      <c r="B147" s="7">
        <v>309</v>
      </c>
      <c r="C147" s="7" t="s">
        <v>11</v>
      </c>
      <c r="D147" s="7" t="s">
        <v>32</v>
      </c>
      <c r="E147" s="7">
        <v>3</v>
      </c>
      <c r="F147" s="7">
        <v>3</v>
      </c>
      <c r="G147" s="7">
        <f>Tabla3[[#This Row],[ENTRADA FISICA ]]-Tabla3[[#This Row],[SOLICITUD DE PEDIDO (ACTA)]]</f>
        <v>0</v>
      </c>
      <c r="H147" s="12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3">
      <c r="A148" s="9">
        <v>46126</v>
      </c>
      <c r="B148" s="10">
        <v>309</v>
      </c>
      <c r="C148" s="10" t="s">
        <v>11</v>
      </c>
      <c r="D148" s="10" t="s">
        <v>33</v>
      </c>
      <c r="E148" s="10">
        <v>24</v>
      </c>
      <c r="F148" s="10">
        <v>24</v>
      </c>
      <c r="G148" s="7">
        <f>Tabla3[[#This Row],[ENTRADA FISICA ]]-Tabla3[[#This Row],[SOLICITUD DE PEDIDO (ACTA)]]</f>
        <v>0</v>
      </c>
      <c r="H148" s="13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3">
      <c r="A149" s="6">
        <v>46126</v>
      </c>
      <c r="B149" s="7">
        <v>309</v>
      </c>
      <c r="C149" s="7" t="s">
        <v>11</v>
      </c>
      <c r="D149" s="7" t="s">
        <v>34</v>
      </c>
      <c r="E149" s="7">
        <v>42</v>
      </c>
      <c r="F149" s="7">
        <v>43.25</v>
      </c>
      <c r="G149" s="7">
        <f>Tabla3[[#This Row],[ENTRADA FISICA ]]-Tabla3[[#This Row],[SOLICITUD DE PEDIDO (ACTA)]]</f>
        <v>1.25</v>
      </c>
      <c r="H149" s="12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3">
      <c r="A150" s="9">
        <v>46126</v>
      </c>
      <c r="B150" s="10">
        <v>309</v>
      </c>
      <c r="C150" s="10" t="s">
        <v>11</v>
      </c>
      <c r="D150" s="10" t="s">
        <v>35</v>
      </c>
      <c r="E150" s="10">
        <v>11</v>
      </c>
      <c r="F150" s="10">
        <v>11.4</v>
      </c>
      <c r="G150" s="7">
        <f>Tabla3[[#This Row],[ENTRADA FISICA ]]-Tabla3[[#This Row],[SOLICITUD DE PEDIDO (ACTA)]]</f>
        <v>0.40000000000000036</v>
      </c>
      <c r="H150" s="13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3">
      <c r="A151" s="6">
        <v>46126</v>
      </c>
      <c r="B151" s="7">
        <v>309</v>
      </c>
      <c r="C151" s="7" t="s">
        <v>11</v>
      </c>
      <c r="D151" s="7" t="s">
        <v>36</v>
      </c>
      <c r="E151" s="7">
        <v>115</v>
      </c>
      <c r="F151" s="7">
        <v>114.8</v>
      </c>
      <c r="G151" s="7">
        <f>Tabla3[[#This Row],[ENTRADA FISICA ]]-Tabla3[[#This Row],[SOLICITUD DE PEDIDO (ACTA)]]</f>
        <v>-0.20000000000000284</v>
      </c>
      <c r="H151" s="12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3">
      <c r="A152" s="9">
        <v>46126</v>
      </c>
      <c r="B152" s="10">
        <v>309</v>
      </c>
      <c r="C152" s="10" t="s">
        <v>11</v>
      </c>
      <c r="D152" s="10" t="s">
        <v>37</v>
      </c>
      <c r="E152" s="10">
        <v>3</v>
      </c>
      <c r="F152" s="10">
        <v>3.15</v>
      </c>
      <c r="G152" s="7">
        <f>Tabla3[[#This Row],[ENTRADA FISICA ]]-Tabla3[[#This Row],[SOLICITUD DE PEDIDO (ACTA)]]</f>
        <v>0.14999999999999991</v>
      </c>
      <c r="H152" s="13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3">
      <c r="A153" s="6">
        <v>46126</v>
      </c>
      <c r="B153" s="7">
        <v>309</v>
      </c>
      <c r="C153" s="7" t="s">
        <v>11</v>
      </c>
      <c r="D153" s="7" t="s">
        <v>38</v>
      </c>
      <c r="E153" s="7">
        <v>3</v>
      </c>
      <c r="F153" s="7">
        <v>3.15</v>
      </c>
      <c r="G153" s="7">
        <f>Tabla3[[#This Row],[ENTRADA FISICA ]]-Tabla3[[#This Row],[SOLICITUD DE PEDIDO (ACTA)]]</f>
        <v>0.14999999999999991</v>
      </c>
      <c r="H153" s="12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3">
      <c r="A154" s="141">
        <v>46127</v>
      </c>
      <c r="C154" s="10" t="s">
        <v>41</v>
      </c>
      <c r="D154" s="10" t="s">
        <v>42</v>
      </c>
      <c r="E154">
        <v>123</v>
      </c>
      <c r="F154">
        <v>122.8</v>
      </c>
      <c r="G154" s="7">
        <f>Tabla3[[#This Row],[ENTRADA FISICA ]]-Tabla3[[#This Row],[SOLICITUD DE PEDIDO (ACTA)]]</f>
        <v>-0.20000000000000284</v>
      </c>
      <c r="H154" s="2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3">
      <c r="A155" s="6">
        <v>46129</v>
      </c>
      <c r="B155" s="7">
        <v>320</v>
      </c>
      <c r="C155" s="7" t="s">
        <v>39</v>
      </c>
      <c r="D155" s="7" t="s">
        <v>40</v>
      </c>
      <c r="E155" s="7">
        <v>250</v>
      </c>
      <c r="F155" s="7">
        <v>267.25</v>
      </c>
      <c r="G155" s="7">
        <f>Tabla3[[#This Row],[ENTRADA FISICA ]]-Tabla3[[#This Row],[SOLICITUD DE PEDIDO (ACTA)]]</f>
        <v>17.25</v>
      </c>
      <c r="H155" s="12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3">
      <c r="A156" s="9">
        <v>46129</v>
      </c>
      <c r="B156" s="10">
        <v>310</v>
      </c>
      <c r="C156" s="10" t="s">
        <v>11</v>
      </c>
      <c r="D156" s="10" t="s">
        <v>12</v>
      </c>
      <c r="E156" s="10">
        <v>60</v>
      </c>
      <c r="F156" s="10">
        <v>62</v>
      </c>
      <c r="G156" s="7">
        <f>Tabla3[[#This Row],[ENTRADA FISICA ]]-Tabla3[[#This Row],[SOLICITUD DE PEDIDO (ACTA)]]</f>
        <v>2</v>
      </c>
      <c r="H156" s="13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3">
      <c r="A157" s="9">
        <v>46129</v>
      </c>
      <c r="B157" s="10">
        <v>310</v>
      </c>
      <c r="C157" s="7" t="s">
        <v>11</v>
      </c>
      <c r="D157" s="7" t="s">
        <v>14</v>
      </c>
      <c r="E157" s="7">
        <v>112</v>
      </c>
      <c r="F157" s="7">
        <v>106</v>
      </c>
      <c r="G157" s="7">
        <f>Tabla3[[#This Row],[ENTRADA FISICA ]]-Tabla3[[#This Row],[SOLICITUD DE PEDIDO (ACTA)]]</f>
        <v>-6</v>
      </c>
      <c r="H157" s="12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3">
      <c r="A158" s="9">
        <v>46129</v>
      </c>
      <c r="B158" s="10">
        <v>310</v>
      </c>
      <c r="C158" s="10" t="s">
        <v>11</v>
      </c>
      <c r="D158" s="10" t="s">
        <v>15</v>
      </c>
      <c r="E158" s="10">
        <v>2</v>
      </c>
      <c r="F158" s="10">
        <v>2.0499999999999998</v>
      </c>
      <c r="G158" s="7">
        <f>Tabla3[[#This Row],[ENTRADA FISICA ]]-Tabla3[[#This Row],[SOLICITUD DE PEDIDO (ACTA)]]</f>
        <v>4.9999999999999822E-2</v>
      </c>
      <c r="H158" s="13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3">
      <c r="A159" s="9">
        <v>46129</v>
      </c>
      <c r="B159" s="10">
        <v>310</v>
      </c>
      <c r="C159" s="7" t="s">
        <v>11</v>
      </c>
      <c r="D159" s="7" t="s">
        <v>16</v>
      </c>
      <c r="E159" s="7">
        <v>13</v>
      </c>
      <c r="F159" s="7">
        <v>12.8</v>
      </c>
      <c r="G159" s="7">
        <f>Tabla3[[#This Row],[ENTRADA FISICA ]]-Tabla3[[#This Row],[SOLICITUD DE PEDIDO (ACTA)]]</f>
        <v>-0.19999999999999929</v>
      </c>
      <c r="H159" s="12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3">
      <c r="A160" s="9">
        <v>46129</v>
      </c>
      <c r="B160" s="10">
        <v>310</v>
      </c>
      <c r="C160" s="10" t="s">
        <v>11</v>
      </c>
      <c r="D160" s="10" t="s">
        <v>17</v>
      </c>
      <c r="E160" s="10">
        <v>9</v>
      </c>
      <c r="F160" s="10">
        <v>9.1</v>
      </c>
      <c r="G160" s="7">
        <f>Tabla3[[#This Row],[ENTRADA FISICA ]]-Tabla3[[#This Row],[SOLICITUD DE PEDIDO (ACTA)]]</f>
        <v>9.9999999999999645E-2</v>
      </c>
      <c r="H160" s="13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3">
      <c r="A161" s="9">
        <v>46129</v>
      </c>
      <c r="B161" s="10">
        <v>310</v>
      </c>
      <c r="C161" s="7" t="s">
        <v>11</v>
      </c>
      <c r="D161" s="7" t="s">
        <v>18</v>
      </c>
      <c r="E161" s="7">
        <v>9</v>
      </c>
      <c r="F161" s="7">
        <v>9.0500000000000007</v>
      </c>
      <c r="G161" s="7">
        <f>Tabla3[[#This Row],[ENTRADA FISICA ]]-Tabla3[[#This Row],[SOLICITUD DE PEDIDO (ACTA)]]</f>
        <v>5.0000000000000711E-2</v>
      </c>
      <c r="H161" s="12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3">
      <c r="A162" s="9">
        <v>46129</v>
      </c>
      <c r="B162" s="10">
        <v>310</v>
      </c>
      <c r="C162" s="10" t="s">
        <v>11</v>
      </c>
      <c r="D162" s="10" t="s">
        <v>19</v>
      </c>
      <c r="E162" s="10">
        <v>1.5</v>
      </c>
      <c r="F162" s="10">
        <v>1.5</v>
      </c>
      <c r="G162" s="7">
        <f>Tabla3[[#This Row],[ENTRADA FISICA ]]-Tabla3[[#This Row],[SOLICITUD DE PEDIDO (ACTA)]]</f>
        <v>0</v>
      </c>
      <c r="H162" s="13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3">
      <c r="A163" s="9">
        <v>46129</v>
      </c>
      <c r="B163" s="10">
        <v>310</v>
      </c>
      <c r="C163" s="7" t="s">
        <v>11</v>
      </c>
      <c r="D163" s="7" t="s">
        <v>20</v>
      </c>
      <c r="E163" s="7">
        <v>16</v>
      </c>
      <c r="F163" s="7">
        <v>16</v>
      </c>
      <c r="G163" s="7">
        <f>Tabla3[[#This Row],[ENTRADA FISICA ]]-Tabla3[[#This Row],[SOLICITUD DE PEDIDO (ACTA)]]</f>
        <v>0</v>
      </c>
      <c r="H163" s="12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3">
      <c r="A164" s="9">
        <v>46129</v>
      </c>
      <c r="B164" s="10">
        <v>310</v>
      </c>
      <c r="C164" s="10" t="s">
        <v>11</v>
      </c>
      <c r="D164" s="10" t="s">
        <v>21</v>
      </c>
      <c r="E164" s="10">
        <v>14</v>
      </c>
      <c r="F164" s="10">
        <v>14</v>
      </c>
      <c r="G164" s="7">
        <f>Tabla3[[#This Row],[ENTRADA FISICA ]]-Tabla3[[#This Row],[SOLICITUD DE PEDIDO (ACTA)]]</f>
        <v>0</v>
      </c>
      <c r="H164" s="13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3">
      <c r="A165" s="9">
        <v>46129</v>
      </c>
      <c r="B165" s="10">
        <v>310</v>
      </c>
      <c r="C165" s="7" t="s">
        <v>11</v>
      </c>
      <c r="D165" s="7" t="s">
        <v>22</v>
      </c>
      <c r="E165" s="7">
        <v>37</v>
      </c>
      <c r="F165" s="7">
        <v>39</v>
      </c>
      <c r="G165" s="7">
        <f>Tabla3[[#This Row],[ENTRADA FISICA ]]-Tabla3[[#This Row],[SOLICITUD DE PEDIDO (ACTA)]]</f>
        <v>2</v>
      </c>
      <c r="H165" s="12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3">
      <c r="A166" s="9">
        <v>46129</v>
      </c>
      <c r="B166" s="10">
        <v>310</v>
      </c>
      <c r="C166" s="10" t="s">
        <v>11</v>
      </c>
      <c r="D166" s="10" t="s">
        <v>23</v>
      </c>
      <c r="E166" s="10">
        <v>130</v>
      </c>
      <c r="F166" s="10">
        <v>130</v>
      </c>
      <c r="G166" s="7">
        <f>Tabla3[[#This Row],[ENTRADA FISICA ]]-Tabla3[[#This Row],[SOLICITUD DE PEDIDO (ACTA)]]</f>
        <v>0</v>
      </c>
      <c r="H166" s="13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3">
      <c r="A167" s="9">
        <v>46129</v>
      </c>
      <c r="B167" s="10">
        <v>310</v>
      </c>
      <c r="C167" s="7" t="s">
        <v>11</v>
      </c>
      <c r="D167" s="7" t="s">
        <v>24</v>
      </c>
      <c r="E167" s="7">
        <v>2</v>
      </c>
      <c r="F167" s="7">
        <v>2</v>
      </c>
      <c r="G167" s="7">
        <f>Tabla3[[#This Row],[ENTRADA FISICA ]]-Tabla3[[#This Row],[SOLICITUD DE PEDIDO (ACTA)]]</f>
        <v>0</v>
      </c>
      <c r="H167" s="12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3">
      <c r="A168" s="9">
        <v>46129</v>
      </c>
      <c r="B168" s="10">
        <v>310</v>
      </c>
      <c r="C168" s="10" t="s">
        <v>11</v>
      </c>
      <c r="D168" s="10" t="s">
        <v>25</v>
      </c>
      <c r="E168" s="10">
        <v>4.5</v>
      </c>
      <c r="F168" s="10">
        <v>4.9000000000000004</v>
      </c>
      <c r="G168" s="7">
        <f>Tabla3[[#This Row],[ENTRADA FISICA ]]-Tabla3[[#This Row],[SOLICITUD DE PEDIDO (ACTA)]]</f>
        <v>0.40000000000000036</v>
      </c>
      <c r="H168" s="13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3">
      <c r="A169" s="9">
        <v>46129</v>
      </c>
      <c r="B169" s="10">
        <v>310</v>
      </c>
      <c r="C169" s="7" t="s">
        <v>11</v>
      </c>
      <c r="D169" s="7" t="s">
        <v>26</v>
      </c>
      <c r="E169" s="7">
        <v>160</v>
      </c>
      <c r="F169" s="7">
        <v>162</v>
      </c>
      <c r="G169" s="7">
        <f>Tabla3[[#This Row],[ENTRADA FISICA ]]-Tabla3[[#This Row],[SOLICITUD DE PEDIDO (ACTA)]]</f>
        <v>2</v>
      </c>
      <c r="H169" s="12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3">
      <c r="A170" s="9">
        <v>46129</v>
      </c>
      <c r="B170" s="10">
        <v>310</v>
      </c>
      <c r="C170" s="10" t="s">
        <v>11</v>
      </c>
      <c r="D170" s="10" t="s">
        <v>27</v>
      </c>
      <c r="E170" s="10">
        <v>64</v>
      </c>
      <c r="F170" s="10">
        <v>64.099999999999994</v>
      </c>
      <c r="G170" s="7">
        <f>Tabla3[[#This Row],[ENTRADA FISICA ]]-Tabla3[[#This Row],[SOLICITUD DE PEDIDO (ACTA)]]</f>
        <v>9.9999999999994316E-2</v>
      </c>
      <c r="H170" s="13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3">
      <c r="A171" s="9">
        <v>46129</v>
      </c>
      <c r="B171" s="10">
        <v>310</v>
      </c>
      <c r="C171" s="7" t="s">
        <v>11</v>
      </c>
      <c r="D171" s="7" t="s">
        <v>28</v>
      </c>
      <c r="E171" s="7">
        <v>24</v>
      </c>
      <c r="F171" s="7">
        <v>23.8</v>
      </c>
      <c r="G171" s="7">
        <f>Tabla3[[#This Row],[ENTRADA FISICA ]]-Tabla3[[#This Row],[SOLICITUD DE PEDIDO (ACTA)]]</f>
        <v>-0.19999999999999929</v>
      </c>
      <c r="H171" s="12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3">
      <c r="A172" s="9">
        <v>46129</v>
      </c>
      <c r="B172" s="10">
        <v>310</v>
      </c>
      <c r="C172" s="10" t="s">
        <v>11</v>
      </c>
      <c r="D172" s="10" t="s">
        <v>29</v>
      </c>
      <c r="E172" s="10">
        <v>24</v>
      </c>
      <c r="F172" s="10">
        <v>23.9</v>
      </c>
      <c r="G172" s="7">
        <f>Tabla3[[#This Row],[ENTRADA FISICA ]]-Tabla3[[#This Row],[SOLICITUD DE PEDIDO (ACTA)]]</f>
        <v>-0.10000000000000142</v>
      </c>
      <c r="H172" s="13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3">
      <c r="A173" s="9">
        <v>46129</v>
      </c>
      <c r="B173" s="10">
        <v>310</v>
      </c>
      <c r="C173" s="7" t="s">
        <v>11</v>
      </c>
      <c r="D173" s="7" t="s">
        <v>30</v>
      </c>
      <c r="E173" s="7">
        <v>2</v>
      </c>
      <c r="F173" s="7">
        <v>2.0499999999999998</v>
      </c>
      <c r="G173" s="7">
        <f>Tabla3[[#This Row],[ENTRADA FISICA ]]-Tabla3[[#This Row],[SOLICITUD DE PEDIDO (ACTA)]]</f>
        <v>4.9999999999999822E-2</v>
      </c>
      <c r="H173" s="12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3">
      <c r="A174" s="9">
        <v>46129</v>
      </c>
      <c r="B174" s="10">
        <v>310</v>
      </c>
      <c r="C174" s="10" t="s">
        <v>11</v>
      </c>
      <c r="D174" s="10" t="s">
        <v>31</v>
      </c>
      <c r="E174" s="10">
        <v>17.5</v>
      </c>
      <c r="F174" s="10">
        <v>17.850000000000001</v>
      </c>
      <c r="G174" s="7">
        <f>Tabla3[[#This Row],[ENTRADA FISICA ]]-Tabla3[[#This Row],[SOLICITUD DE PEDIDO (ACTA)]]</f>
        <v>0.35000000000000142</v>
      </c>
      <c r="H174" s="13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3">
      <c r="A175" s="9">
        <v>46129</v>
      </c>
      <c r="B175" s="10">
        <v>310</v>
      </c>
      <c r="C175" s="7" t="s">
        <v>11</v>
      </c>
      <c r="D175" s="7" t="s">
        <v>32</v>
      </c>
      <c r="E175" s="7">
        <v>4</v>
      </c>
      <c r="F175" s="7">
        <v>4</v>
      </c>
      <c r="G175" s="7">
        <f>Tabla3[[#This Row],[ENTRADA FISICA ]]-Tabla3[[#This Row],[SOLICITUD DE PEDIDO (ACTA)]]</f>
        <v>0</v>
      </c>
      <c r="H175" s="12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3">
      <c r="A176" s="9">
        <v>46129</v>
      </c>
      <c r="B176" s="10">
        <v>310</v>
      </c>
      <c r="C176" s="10" t="s">
        <v>11</v>
      </c>
      <c r="D176" s="10" t="s">
        <v>33</v>
      </c>
      <c r="E176" s="10">
        <v>32</v>
      </c>
      <c r="F176" s="10">
        <v>32</v>
      </c>
      <c r="G176" s="7">
        <f>Tabla3[[#This Row],[ENTRADA FISICA ]]-Tabla3[[#This Row],[SOLICITUD DE PEDIDO (ACTA)]]</f>
        <v>0</v>
      </c>
      <c r="H176" s="13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3">
      <c r="A177" s="9">
        <v>46129</v>
      </c>
      <c r="B177" s="10">
        <v>310</v>
      </c>
      <c r="C177" s="7" t="s">
        <v>11</v>
      </c>
      <c r="D177" s="7" t="s">
        <v>34</v>
      </c>
      <c r="E177" s="7">
        <v>54</v>
      </c>
      <c r="F177" s="7">
        <v>53.2</v>
      </c>
      <c r="G177" s="7">
        <f>Tabla3[[#This Row],[ENTRADA FISICA ]]-Tabla3[[#This Row],[SOLICITUD DE PEDIDO (ACTA)]]</f>
        <v>-0.79999999999999716</v>
      </c>
      <c r="H177" s="12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3">
      <c r="A178" s="9">
        <v>46129</v>
      </c>
      <c r="B178" s="10">
        <v>310</v>
      </c>
      <c r="C178" s="10" t="s">
        <v>11</v>
      </c>
      <c r="D178" s="10" t="s">
        <v>35</v>
      </c>
      <c r="E178" s="10">
        <v>14</v>
      </c>
      <c r="F178" s="10">
        <v>14.1</v>
      </c>
      <c r="G178" s="7">
        <f>Tabla3[[#This Row],[ENTRADA FISICA ]]-Tabla3[[#This Row],[SOLICITUD DE PEDIDO (ACTA)]]</f>
        <v>9.9999999999999645E-2</v>
      </c>
      <c r="H178" s="13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3">
      <c r="A179" s="9">
        <v>46129</v>
      </c>
      <c r="B179" s="10">
        <v>310</v>
      </c>
      <c r="C179" s="7" t="s">
        <v>11</v>
      </c>
      <c r="D179" s="7" t="s">
        <v>36</v>
      </c>
      <c r="E179" s="7">
        <v>150</v>
      </c>
      <c r="F179" s="7">
        <v>149.80000000000001</v>
      </c>
      <c r="G179" s="7">
        <f>Tabla3[[#This Row],[ENTRADA FISICA ]]-Tabla3[[#This Row],[SOLICITUD DE PEDIDO (ACTA)]]</f>
        <v>-0.19999999999998863</v>
      </c>
      <c r="H179" s="12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3">
      <c r="A180" s="9">
        <v>46129</v>
      </c>
      <c r="B180" s="10">
        <v>310</v>
      </c>
      <c r="C180" s="10" t="s">
        <v>11</v>
      </c>
      <c r="D180" s="10" t="s">
        <v>37</v>
      </c>
      <c r="E180" s="10">
        <v>3</v>
      </c>
      <c r="F180" s="10">
        <v>3.05</v>
      </c>
      <c r="G180" s="7">
        <f>Tabla3[[#This Row],[ENTRADA FISICA ]]-Tabla3[[#This Row],[SOLICITUD DE PEDIDO (ACTA)]]</f>
        <v>4.9999999999999822E-2</v>
      </c>
      <c r="H180" s="13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3">
      <c r="A181" s="9">
        <v>46129</v>
      </c>
      <c r="B181" s="10">
        <v>310</v>
      </c>
      <c r="C181" s="7" t="s">
        <v>11</v>
      </c>
      <c r="D181" s="7" t="s">
        <v>38</v>
      </c>
      <c r="E181" s="7">
        <v>3</v>
      </c>
      <c r="F181" s="7">
        <v>3.15</v>
      </c>
      <c r="G181" s="7">
        <f>Tabla3[[#This Row],[ENTRADA FISICA ]]-Tabla3[[#This Row],[SOLICITUD DE PEDIDO (ACTA)]]</f>
        <v>0.14999999999999991</v>
      </c>
      <c r="H181" s="12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3">
      <c r="A182" s="141">
        <v>46129</v>
      </c>
      <c r="C182" s="10" t="s">
        <v>41</v>
      </c>
      <c r="D182" s="10" t="s">
        <v>42</v>
      </c>
      <c r="E182">
        <v>122</v>
      </c>
      <c r="F182">
        <v>122</v>
      </c>
      <c r="G182" s="7">
        <f>Tabla3[[#This Row],[ENTRADA FISICA ]]-Tabla3[[#This Row],[SOLICITUD DE PEDIDO (ACTA)]]</f>
        <v>0</v>
      </c>
      <c r="H182" s="2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3">
      <c r="A183" s="141">
        <v>46132</v>
      </c>
      <c r="B183">
        <v>316</v>
      </c>
      <c r="C183" t="s">
        <v>55</v>
      </c>
      <c r="D183" t="s">
        <v>56</v>
      </c>
      <c r="E183">
        <v>7</v>
      </c>
      <c r="F183">
        <v>7</v>
      </c>
      <c r="G183" s="7">
        <f>Tabla3[[#This Row],[ENTRADA FISICA ]]-Tabla3[[#This Row],[SOLICITUD DE PEDIDO (ACTA)]]</f>
        <v>0</v>
      </c>
      <c r="H183" s="2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3">
      <c r="A184" s="141">
        <v>46132</v>
      </c>
      <c r="B184">
        <v>316</v>
      </c>
      <c r="C184" t="s">
        <v>55</v>
      </c>
      <c r="D184" t="s">
        <v>57</v>
      </c>
      <c r="E184">
        <v>7</v>
      </c>
      <c r="F184">
        <v>7</v>
      </c>
      <c r="G184" s="7">
        <f>Tabla3[[#This Row],[ENTRADA FISICA ]]-Tabla3[[#This Row],[SOLICITUD DE PEDIDO (ACTA)]]</f>
        <v>0</v>
      </c>
      <c r="H184" s="2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3">
      <c r="A185" s="141">
        <v>46132</v>
      </c>
      <c r="B185">
        <v>316</v>
      </c>
      <c r="C185" t="s">
        <v>55</v>
      </c>
      <c r="D185" t="s">
        <v>58</v>
      </c>
      <c r="E185">
        <v>2</v>
      </c>
      <c r="F185">
        <v>2</v>
      </c>
      <c r="G185" s="7">
        <f>Tabla3[[#This Row],[ENTRADA FISICA ]]-Tabla3[[#This Row],[SOLICITUD DE PEDIDO (ACTA)]]</f>
        <v>0</v>
      </c>
      <c r="H185" s="2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3">
      <c r="A186" s="141">
        <v>46132</v>
      </c>
      <c r="B186">
        <v>316</v>
      </c>
      <c r="C186" t="s">
        <v>55</v>
      </c>
      <c r="D186" t="s">
        <v>59</v>
      </c>
      <c r="E186">
        <v>5</v>
      </c>
      <c r="F186">
        <v>5</v>
      </c>
      <c r="G186" s="7">
        <f>Tabla3[[#This Row],[ENTRADA FISICA ]]-Tabla3[[#This Row],[SOLICITUD DE PEDIDO (ACTA)]]</f>
        <v>0</v>
      </c>
      <c r="H186" s="2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3">
      <c r="A187" s="141">
        <v>46132</v>
      </c>
      <c r="B187">
        <v>336</v>
      </c>
      <c r="C187" t="s">
        <v>43</v>
      </c>
      <c r="D187" t="s">
        <v>44</v>
      </c>
      <c r="E187">
        <v>182</v>
      </c>
      <c r="F187">
        <v>182</v>
      </c>
      <c r="G187" s="7">
        <f>Tabla3[[#This Row],[ENTRADA FISICA ]]-Tabla3[[#This Row],[SOLICITUD DE PEDIDO (ACTA)]]</f>
        <v>0</v>
      </c>
      <c r="H187" s="2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3">
      <c r="A188" s="141">
        <v>46132</v>
      </c>
      <c r="B188">
        <v>336</v>
      </c>
      <c r="C188" t="s">
        <v>43</v>
      </c>
      <c r="D188" t="s">
        <v>139</v>
      </c>
      <c r="E188">
        <v>1</v>
      </c>
      <c r="F188">
        <v>1</v>
      </c>
      <c r="G188" s="7">
        <f>Tabla3[[#This Row],[ENTRADA FISICA ]]-Tabla3[[#This Row],[SOLICITUD DE PEDIDO (ACTA)]]</f>
        <v>0</v>
      </c>
      <c r="H188" s="2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3">
      <c r="A189" s="141">
        <v>46132</v>
      </c>
      <c r="B189">
        <v>336</v>
      </c>
      <c r="C189" t="s">
        <v>43</v>
      </c>
      <c r="D189" t="s">
        <v>46</v>
      </c>
      <c r="E189">
        <v>7</v>
      </c>
      <c r="F189">
        <v>7</v>
      </c>
      <c r="G189" s="7">
        <f>Tabla3[[#This Row],[ENTRADA FISICA ]]-Tabla3[[#This Row],[SOLICITUD DE PEDIDO (ACTA)]]</f>
        <v>0</v>
      </c>
      <c r="H189" s="2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3">
      <c r="A190" s="141">
        <v>46132</v>
      </c>
      <c r="B190">
        <v>336</v>
      </c>
      <c r="C190" t="s">
        <v>43</v>
      </c>
      <c r="D190" t="s">
        <v>153</v>
      </c>
      <c r="E190">
        <v>6</v>
      </c>
      <c r="F190">
        <v>6</v>
      </c>
      <c r="G190" s="7">
        <f>Tabla3[[#This Row],[ENTRADA FISICA ]]-Tabla3[[#This Row],[SOLICITUD DE PEDIDO (ACTA)]]</f>
        <v>0</v>
      </c>
      <c r="H190" s="2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3">
      <c r="A191" s="141">
        <v>46132</v>
      </c>
      <c r="B191">
        <v>336</v>
      </c>
      <c r="C191" t="s">
        <v>43</v>
      </c>
      <c r="D191" t="s">
        <v>220</v>
      </c>
      <c r="E191">
        <v>3</v>
      </c>
      <c r="F191">
        <v>3</v>
      </c>
      <c r="G191" s="7">
        <f>Tabla3[[#This Row],[ENTRADA FISICA ]]-Tabla3[[#This Row],[SOLICITUD DE PEDIDO (ACTA)]]</f>
        <v>0</v>
      </c>
      <c r="H191" s="2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3">
      <c r="A192" s="141">
        <v>46132</v>
      </c>
      <c r="B192">
        <v>336</v>
      </c>
      <c r="C192" t="s">
        <v>43</v>
      </c>
      <c r="D192" t="s">
        <v>181</v>
      </c>
      <c r="E192">
        <v>6</v>
      </c>
      <c r="F192">
        <v>6</v>
      </c>
      <c r="G192" s="7">
        <f>Tabla3[[#This Row],[ENTRADA FISICA ]]-Tabla3[[#This Row],[SOLICITUD DE PEDIDO (ACTA)]]</f>
        <v>0</v>
      </c>
      <c r="H192" s="2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3">
      <c r="A193" s="141">
        <v>46132</v>
      </c>
      <c r="B193">
        <v>336</v>
      </c>
      <c r="C193" t="s">
        <v>43</v>
      </c>
      <c r="D193" t="s">
        <v>221</v>
      </c>
      <c r="E193">
        <v>12</v>
      </c>
      <c r="F193">
        <v>12</v>
      </c>
      <c r="G193" s="7">
        <f>Tabla3[[#This Row],[ENTRADA FISICA ]]-Tabla3[[#This Row],[SOLICITUD DE PEDIDO (ACTA)]]</f>
        <v>0</v>
      </c>
      <c r="H193" s="2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3">
      <c r="A194" s="141">
        <v>46132</v>
      </c>
      <c r="B194">
        <v>336</v>
      </c>
      <c r="C194" t="s">
        <v>43</v>
      </c>
      <c r="D194" t="s">
        <v>222</v>
      </c>
      <c r="E194">
        <v>1</v>
      </c>
      <c r="F194">
        <v>1</v>
      </c>
      <c r="G194" s="7">
        <f>Tabla3[[#This Row],[ENTRADA FISICA ]]-Tabla3[[#This Row],[SOLICITUD DE PEDIDO (ACTA)]]</f>
        <v>0</v>
      </c>
      <c r="H194" s="2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3">
      <c r="A195" s="141">
        <v>46132</v>
      </c>
      <c r="B195">
        <v>336</v>
      </c>
      <c r="C195" t="s">
        <v>43</v>
      </c>
      <c r="D195" s="10" t="s">
        <v>50</v>
      </c>
      <c r="E195">
        <v>4</v>
      </c>
      <c r="F195">
        <v>4</v>
      </c>
      <c r="G195" s="7">
        <f>Tabla3[[#This Row],[ENTRADA FISICA ]]-Tabla3[[#This Row],[SOLICITUD DE PEDIDO (ACTA)]]</f>
        <v>0</v>
      </c>
      <c r="H195" s="2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3">
      <c r="A196" s="141">
        <v>46132</v>
      </c>
      <c r="B196">
        <v>336</v>
      </c>
      <c r="C196" t="s">
        <v>43</v>
      </c>
      <c r="D196" s="10" t="s">
        <v>52</v>
      </c>
      <c r="E196">
        <v>2</v>
      </c>
      <c r="F196">
        <v>2</v>
      </c>
      <c r="G196" s="7">
        <f>Tabla3[[#This Row],[ENTRADA FISICA ]]-Tabla3[[#This Row],[SOLICITUD DE PEDIDO (ACTA)]]</f>
        <v>0</v>
      </c>
      <c r="H196" s="2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3">
      <c r="A197" s="6">
        <v>46132</v>
      </c>
      <c r="B197" s="7">
        <v>329</v>
      </c>
      <c r="C197" s="7" t="s">
        <v>41</v>
      </c>
      <c r="D197" s="7" t="s">
        <v>42</v>
      </c>
      <c r="E197" s="7">
        <v>123</v>
      </c>
      <c r="F197" s="7">
        <v>121.9</v>
      </c>
      <c r="G197" s="7">
        <f>Tabla3[[#This Row],[ENTRADA FISICA ]]-Tabla3[[#This Row],[SOLICITUD DE PEDIDO (ACTA)]]</f>
        <v>-1.0999999999999943</v>
      </c>
      <c r="H197" s="12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3">
      <c r="A198" s="141">
        <v>46133</v>
      </c>
      <c r="C198" s="10" t="s">
        <v>11</v>
      </c>
      <c r="D198" s="10" t="s">
        <v>12</v>
      </c>
      <c r="E198" s="10">
        <v>48</v>
      </c>
      <c r="F198">
        <v>48</v>
      </c>
      <c r="G198" s="7">
        <f>Tabla3[[#This Row],[ENTRADA FISICA ]]-Tabla3[[#This Row],[SOLICITUD DE PEDIDO (ACTA)]]</f>
        <v>0</v>
      </c>
      <c r="H198" s="2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3">
      <c r="A199" s="141">
        <v>46133</v>
      </c>
      <c r="C199" s="7" t="s">
        <v>11</v>
      </c>
      <c r="D199" s="7" t="s">
        <v>14</v>
      </c>
      <c r="E199" s="7">
        <v>87</v>
      </c>
      <c r="F199">
        <v>97</v>
      </c>
      <c r="G199" s="7">
        <f>Tabla3[[#This Row],[ENTRADA FISICA ]]-Tabla3[[#This Row],[SOLICITUD DE PEDIDO (ACTA)]]</f>
        <v>10</v>
      </c>
      <c r="H199" s="2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3">
      <c r="A200" s="141">
        <v>46133</v>
      </c>
      <c r="C200" s="10" t="s">
        <v>11</v>
      </c>
      <c r="D200" s="10" t="s">
        <v>15</v>
      </c>
      <c r="E200" s="10">
        <v>2</v>
      </c>
      <c r="F200">
        <v>2.1</v>
      </c>
      <c r="G200" s="7">
        <f>Tabla3[[#This Row],[ENTRADA FISICA ]]-Tabla3[[#This Row],[SOLICITUD DE PEDIDO (ACTA)]]</f>
        <v>0.10000000000000009</v>
      </c>
      <c r="H200" s="2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3">
      <c r="A201" s="141">
        <v>46133</v>
      </c>
      <c r="C201" s="7" t="s">
        <v>11</v>
      </c>
      <c r="D201" s="7" t="s">
        <v>16</v>
      </c>
      <c r="E201" s="7">
        <v>10</v>
      </c>
      <c r="F201">
        <v>10.1</v>
      </c>
      <c r="G201" s="7">
        <f>Tabla3[[#This Row],[ENTRADA FISICA ]]-Tabla3[[#This Row],[SOLICITUD DE PEDIDO (ACTA)]]</f>
        <v>9.9999999999999645E-2</v>
      </c>
      <c r="H201" s="2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3">
      <c r="A202" s="141">
        <v>46133</v>
      </c>
      <c r="C202" s="10" t="s">
        <v>11</v>
      </c>
      <c r="D202" s="10" t="s">
        <v>62</v>
      </c>
      <c r="E202" s="10">
        <v>5</v>
      </c>
      <c r="F202">
        <v>5</v>
      </c>
      <c r="G202" s="7">
        <f>Tabla3[[#This Row],[ENTRADA FISICA ]]-Tabla3[[#This Row],[SOLICITUD DE PEDIDO (ACTA)]]</f>
        <v>0</v>
      </c>
      <c r="H202" s="2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3">
      <c r="A203" s="141">
        <v>46133</v>
      </c>
      <c r="C203" s="7" t="s">
        <v>11</v>
      </c>
      <c r="D203" s="7" t="s">
        <v>17</v>
      </c>
      <c r="E203" s="7">
        <v>6</v>
      </c>
      <c r="F203">
        <v>6</v>
      </c>
      <c r="G203" s="7">
        <f>Tabla3[[#This Row],[ENTRADA FISICA ]]-Tabla3[[#This Row],[SOLICITUD DE PEDIDO (ACTA)]]</f>
        <v>0</v>
      </c>
      <c r="H203" s="2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3">
      <c r="A204" s="141">
        <v>46133</v>
      </c>
      <c r="C204" s="10" t="s">
        <v>11</v>
      </c>
      <c r="D204" s="10" t="s">
        <v>18</v>
      </c>
      <c r="E204" s="10">
        <v>6</v>
      </c>
      <c r="F204">
        <v>6.15</v>
      </c>
      <c r="G204" s="7">
        <f>Tabla3[[#This Row],[ENTRADA FISICA ]]-Tabla3[[#This Row],[SOLICITUD DE PEDIDO (ACTA)]]</f>
        <v>0.15000000000000036</v>
      </c>
      <c r="H204" s="2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3">
      <c r="A205" s="141">
        <v>46133</v>
      </c>
      <c r="C205" s="7" t="s">
        <v>11</v>
      </c>
      <c r="D205" s="7" t="s">
        <v>19</v>
      </c>
      <c r="E205" s="7">
        <v>1</v>
      </c>
      <c r="F205">
        <v>1</v>
      </c>
      <c r="G205" s="7">
        <f>Tabla3[[#This Row],[ENTRADA FISICA ]]-Tabla3[[#This Row],[SOLICITUD DE PEDIDO (ACTA)]]</f>
        <v>0</v>
      </c>
      <c r="H205" s="2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3">
      <c r="A206" s="141">
        <v>46133</v>
      </c>
      <c r="C206" s="10" t="s">
        <v>11</v>
      </c>
      <c r="D206" s="10" t="s">
        <v>20</v>
      </c>
      <c r="E206" s="10">
        <v>12</v>
      </c>
      <c r="F206">
        <v>12</v>
      </c>
      <c r="G206" s="7">
        <f>Tabla3[[#This Row],[ENTRADA FISICA ]]-Tabla3[[#This Row],[SOLICITUD DE PEDIDO (ACTA)]]</f>
        <v>0</v>
      </c>
      <c r="H206" s="2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3">
      <c r="A207" s="141">
        <v>46133</v>
      </c>
      <c r="C207" s="7" t="s">
        <v>11</v>
      </c>
      <c r="D207" s="7" t="s">
        <v>21</v>
      </c>
      <c r="E207" s="7">
        <v>12</v>
      </c>
      <c r="F207">
        <v>12</v>
      </c>
      <c r="G207" s="7">
        <f>Tabla3[[#This Row],[ENTRADA FISICA ]]-Tabla3[[#This Row],[SOLICITUD DE PEDIDO (ACTA)]]</f>
        <v>0</v>
      </c>
      <c r="H207" s="2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3">
      <c r="A208" s="141">
        <v>46133</v>
      </c>
      <c r="C208" s="10" t="s">
        <v>11</v>
      </c>
      <c r="D208" s="10" t="s">
        <v>22</v>
      </c>
      <c r="E208" s="10">
        <v>28</v>
      </c>
      <c r="F208">
        <v>29</v>
      </c>
      <c r="G208" s="7">
        <f>Tabla3[[#This Row],[ENTRADA FISICA ]]-Tabla3[[#This Row],[SOLICITUD DE PEDIDO (ACTA)]]</f>
        <v>1</v>
      </c>
      <c r="H208" s="2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3">
      <c r="A209" s="141">
        <v>46133</v>
      </c>
      <c r="C209" s="7" t="s">
        <v>11</v>
      </c>
      <c r="D209" s="7" t="s">
        <v>23</v>
      </c>
      <c r="E209" s="7">
        <v>97</v>
      </c>
      <c r="F209">
        <v>98</v>
      </c>
      <c r="G209" s="7">
        <f>Tabla3[[#This Row],[ENTRADA FISICA ]]-Tabla3[[#This Row],[SOLICITUD DE PEDIDO (ACTA)]]</f>
        <v>1</v>
      </c>
      <c r="H209" s="2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3">
      <c r="A210" s="141">
        <v>46133</v>
      </c>
      <c r="C210" s="10" t="s">
        <v>11</v>
      </c>
      <c r="D210" s="10" t="s">
        <v>24</v>
      </c>
      <c r="E210" s="10">
        <v>1.5</v>
      </c>
      <c r="F210">
        <v>1.5</v>
      </c>
      <c r="G210" s="7">
        <f>Tabla3[[#This Row],[ENTRADA FISICA ]]-Tabla3[[#This Row],[SOLICITUD DE PEDIDO (ACTA)]]</f>
        <v>0</v>
      </c>
      <c r="H210" s="2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3">
      <c r="A211" s="141">
        <v>46133</v>
      </c>
      <c r="C211" s="7" t="s">
        <v>11</v>
      </c>
      <c r="D211" s="7" t="s">
        <v>25</v>
      </c>
      <c r="E211" s="7">
        <v>4.5</v>
      </c>
      <c r="F211">
        <v>4.5</v>
      </c>
      <c r="G211" s="7">
        <f>Tabla3[[#This Row],[ENTRADA FISICA ]]-Tabla3[[#This Row],[SOLICITUD DE PEDIDO (ACTA)]]</f>
        <v>0</v>
      </c>
      <c r="H211" s="2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3">
      <c r="A212" s="141">
        <v>46133</v>
      </c>
      <c r="C212" s="10" t="s">
        <v>11</v>
      </c>
      <c r="D212" s="10" t="s">
        <v>26</v>
      </c>
      <c r="E212" s="10">
        <v>108</v>
      </c>
      <c r="F212">
        <v>117</v>
      </c>
      <c r="G212" s="7">
        <f>Tabla3[[#This Row],[ENTRADA FISICA ]]-Tabla3[[#This Row],[SOLICITUD DE PEDIDO (ACTA)]]</f>
        <v>9</v>
      </c>
      <c r="H212" s="2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3">
      <c r="A213" s="141">
        <v>46133</v>
      </c>
      <c r="C213" s="7" t="s">
        <v>11</v>
      </c>
      <c r="D213" s="7" t="s">
        <v>27</v>
      </c>
      <c r="E213" s="7">
        <v>49</v>
      </c>
      <c r="F213">
        <v>49.15</v>
      </c>
      <c r="G213" s="7">
        <f>Tabla3[[#This Row],[ENTRADA FISICA ]]-Tabla3[[#This Row],[SOLICITUD DE PEDIDO (ACTA)]]</f>
        <v>0.14999999999999858</v>
      </c>
      <c r="H213" s="2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3">
      <c r="A214" s="141">
        <v>46133</v>
      </c>
      <c r="C214" s="10" t="s">
        <v>11</v>
      </c>
      <c r="D214" s="10" t="s">
        <v>28</v>
      </c>
      <c r="E214" s="10">
        <v>15</v>
      </c>
      <c r="F214">
        <v>14.5</v>
      </c>
      <c r="G214" s="7">
        <f>Tabla3[[#This Row],[ENTRADA FISICA ]]-Tabla3[[#This Row],[SOLICITUD DE PEDIDO (ACTA)]]</f>
        <v>-0.5</v>
      </c>
      <c r="H214" s="2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3">
      <c r="A215" s="141">
        <v>46133</v>
      </c>
      <c r="C215" s="7" t="s">
        <v>11</v>
      </c>
      <c r="D215" s="7" t="s">
        <v>29</v>
      </c>
      <c r="E215" s="7">
        <v>18</v>
      </c>
      <c r="F215">
        <v>17.95</v>
      </c>
      <c r="G215" s="7">
        <f>Tabla3[[#This Row],[ENTRADA FISICA ]]-Tabla3[[#This Row],[SOLICITUD DE PEDIDO (ACTA)]]</f>
        <v>-5.0000000000000711E-2</v>
      </c>
      <c r="H215" s="2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3">
      <c r="A216" s="141">
        <v>46133</v>
      </c>
      <c r="C216" s="10" t="s">
        <v>11</v>
      </c>
      <c r="D216" s="10" t="s">
        <v>30</v>
      </c>
      <c r="E216" s="10">
        <v>1.7</v>
      </c>
      <c r="F216">
        <v>1.75</v>
      </c>
      <c r="G216" s="7">
        <f>Tabla3[[#This Row],[ENTRADA FISICA ]]-Tabla3[[#This Row],[SOLICITUD DE PEDIDO (ACTA)]]</f>
        <v>5.0000000000000044E-2</v>
      </c>
      <c r="H216" s="2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3">
      <c r="A217" s="141">
        <v>46133</v>
      </c>
      <c r="C217" s="7" t="s">
        <v>11</v>
      </c>
      <c r="D217" s="7" t="s">
        <v>31</v>
      </c>
      <c r="E217" s="7">
        <v>12</v>
      </c>
      <c r="F217">
        <v>11.35</v>
      </c>
      <c r="G217" s="7">
        <f>Tabla3[[#This Row],[ENTRADA FISICA ]]-Tabla3[[#This Row],[SOLICITUD DE PEDIDO (ACTA)]]</f>
        <v>-0.65000000000000036</v>
      </c>
      <c r="H217" s="2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3">
      <c r="A218" s="141">
        <v>46133</v>
      </c>
      <c r="C218" s="10" t="s">
        <v>11</v>
      </c>
      <c r="D218" s="10" t="s">
        <v>63</v>
      </c>
      <c r="E218" s="10">
        <v>4</v>
      </c>
      <c r="F218">
        <v>4</v>
      </c>
      <c r="G218" s="7">
        <f>Tabla3[[#This Row],[ENTRADA FISICA ]]-Tabla3[[#This Row],[SOLICITUD DE PEDIDO (ACTA)]]</f>
        <v>0</v>
      </c>
      <c r="H218" s="2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3">
      <c r="A219" s="141">
        <v>46133</v>
      </c>
      <c r="C219" s="7" t="s">
        <v>11</v>
      </c>
      <c r="D219" s="7" t="s">
        <v>32</v>
      </c>
      <c r="E219" s="7">
        <v>3</v>
      </c>
      <c r="F219">
        <v>3</v>
      </c>
      <c r="G219" s="7">
        <f>Tabla3[[#This Row],[ENTRADA FISICA ]]-Tabla3[[#This Row],[SOLICITUD DE PEDIDO (ACTA)]]</f>
        <v>0</v>
      </c>
      <c r="H219" s="2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3">
      <c r="A220" s="141">
        <v>46133</v>
      </c>
      <c r="C220" s="10" t="s">
        <v>11</v>
      </c>
      <c r="D220" s="10" t="s">
        <v>33</v>
      </c>
      <c r="E220" s="10">
        <v>24</v>
      </c>
      <c r="F220">
        <v>24.35</v>
      </c>
      <c r="G220" s="7">
        <f>Tabla3[[#This Row],[ENTRADA FISICA ]]-Tabla3[[#This Row],[SOLICITUD DE PEDIDO (ACTA)]]</f>
        <v>0.35000000000000142</v>
      </c>
      <c r="H220" s="2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3">
      <c r="A221" s="141">
        <v>46133</v>
      </c>
      <c r="C221" s="7" t="s">
        <v>11</v>
      </c>
      <c r="D221" s="7" t="s">
        <v>34</v>
      </c>
      <c r="E221" s="7">
        <v>42</v>
      </c>
      <c r="F221">
        <v>45.2</v>
      </c>
      <c r="G221" s="7">
        <f>Tabla3[[#This Row],[ENTRADA FISICA ]]-Tabla3[[#This Row],[SOLICITUD DE PEDIDO (ACTA)]]</f>
        <v>3.2000000000000028</v>
      </c>
      <c r="H221" s="2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3">
      <c r="A222" s="141">
        <v>46133</v>
      </c>
      <c r="C222" s="10" t="s">
        <v>11</v>
      </c>
      <c r="D222" s="10" t="s">
        <v>35</v>
      </c>
      <c r="E222" s="10">
        <v>11</v>
      </c>
      <c r="F222">
        <v>11.7</v>
      </c>
      <c r="G222" s="7">
        <f>Tabla3[[#This Row],[ENTRADA FISICA ]]-Tabla3[[#This Row],[SOLICITUD DE PEDIDO (ACTA)]]</f>
        <v>0.69999999999999929</v>
      </c>
      <c r="H222" s="2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3">
      <c r="A223" s="141">
        <v>46133</v>
      </c>
      <c r="C223" s="7" t="s">
        <v>11</v>
      </c>
      <c r="D223" s="7" t="s">
        <v>36</v>
      </c>
      <c r="E223" s="7">
        <v>115</v>
      </c>
      <c r="F223">
        <v>114.8</v>
      </c>
      <c r="G223" s="7">
        <f>Tabla3[[#This Row],[ENTRADA FISICA ]]-Tabla3[[#This Row],[SOLICITUD DE PEDIDO (ACTA)]]</f>
        <v>-0.20000000000000284</v>
      </c>
      <c r="H223" s="2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3">
      <c r="A224" s="141">
        <v>46133</v>
      </c>
      <c r="C224" s="10" t="s">
        <v>11</v>
      </c>
      <c r="D224" s="10" t="s">
        <v>37</v>
      </c>
      <c r="E224" s="10">
        <v>3</v>
      </c>
      <c r="F224">
        <v>3.3</v>
      </c>
      <c r="G224" s="7">
        <f>Tabla3[[#This Row],[ENTRADA FISICA ]]-Tabla3[[#This Row],[SOLICITUD DE PEDIDO (ACTA)]]</f>
        <v>0.29999999999999982</v>
      </c>
      <c r="H224" s="2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3">
      <c r="A225" s="141">
        <v>46133</v>
      </c>
      <c r="C225" s="7" t="s">
        <v>11</v>
      </c>
      <c r="D225" s="7" t="s">
        <v>38</v>
      </c>
      <c r="E225" s="7">
        <v>3</v>
      </c>
      <c r="F225">
        <v>3.3</v>
      </c>
      <c r="G225" s="7">
        <f>Tabla3[[#This Row],[ENTRADA FISICA ]]-Tabla3[[#This Row],[SOLICITUD DE PEDIDO (ACTA)]]</f>
        <v>0.29999999999999982</v>
      </c>
      <c r="H225" s="2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3">
      <c r="A226" s="141">
        <v>46134</v>
      </c>
      <c r="B226">
        <v>330</v>
      </c>
      <c r="C226" t="s">
        <v>41</v>
      </c>
      <c r="D226" t="s">
        <v>42</v>
      </c>
      <c r="E226">
        <v>122</v>
      </c>
      <c r="F226">
        <v>122.1</v>
      </c>
      <c r="G226" s="7">
        <f>Tabla3[[#This Row],[ENTRADA FISICA ]]-Tabla3[[#This Row],[SOLICITUD DE PEDIDO (ACTA)]]</f>
        <v>9.9999999999994316E-2</v>
      </c>
      <c r="H226" s="152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3">
      <c r="A227" s="141">
        <v>46136</v>
      </c>
      <c r="B227">
        <v>331</v>
      </c>
      <c r="C227" t="s">
        <v>41</v>
      </c>
      <c r="D227" t="s">
        <v>42</v>
      </c>
      <c r="E227">
        <v>123</v>
      </c>
      <c r="F227">
        <v>123</v>
      </c>
      <c r="G227" s="7">
        <f>Tabla3[[#This Row],[ENTRADA FISICA ]]-Tabla3[[#This Row],[SOLICITUD DE PEDIDO (ACTA)]]</f>
        <v>0</v>
      </c>
      <c r="H227" s="152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3">
      <c r="A228" s="141">
        <v>46136</v>
      </c>
      <c r="C228" s="10" t="s">
        <v>11</v>
      </c>
      <c r="D228" s="10" t="s">
        <v>12</v>
      </c>
      <c r="E228" s="10">
        <v>60</v>
      </c>
      <c r="F228">
        <v>60</v>
      </c>
      <c r="G228" s="7">
        <f>Tabla3[[#This Row],[ENTRADA FISICA ]]-Tabla3[[#This Row],[SOLICITUD DE PEDIDO (ACTA)]]</f>
        <v>0</v>
      </c>
      <c r="H228" s="152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3">
      <c r="A229" s="141">
        <v>46136</v>
      </c>
      <c r="C229" s="7" t="s">
        <v>11</v>
      </c>
      <c r="D229" s="7" t="s">
        <v>14</v>
      </c>
      <c r="E229" s="7">
        <v>112</v>
      </c>
      <c r="F229">
        <v>100</v>
      </c>
      <c r="G229" s="7">
        <f>Tabla3[[#This Row],[ENTRADA FISICA ]]-Tabla3[[#This Row],[SOLICITUD DE PEDIDO (ACTA)]]</f>
        <v>-12</v>
      </c>
      <c r="H229" s="152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3">
      <c r="A230" s="141">
        <v>46136</v>
      </c>
      <c r="C230" s="10" t="s">
        <v>11</v>
      </c>
      <c r="D230" s="10" t="s">
        <v>15</v>
      </c>
      <c r="E230" s="10">
        <v>2</v>
      </c>
      <c r="F230">
        <v>1.85</v>
      </c>
      <c r="G230" s="7">
        <f>Tabla3[[#This Row],[ENTRADA FISICA ]]-Tabla3[[#This Row],[SOLICITUD DE PEDIDO (ACTA)]]</f>
        <v>-0.14999999999999991</v>
      </c>
      <c r="H230" s="152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3">
      <c r="A231" s="141">
        <v>46136</v>
      </c>
      <c r="C231" s="7" t="s">
        <v>11</v>
      </c>
      <c r="D231" s="7" t="s">
        <v>16</v>
      </c>
      <c r="E231" s="7">
        <v>13</v>
      </c>
      <c r="F231">
        <v>11.7</v>
      </c>
      <c r="G231" s="7">
        <f>Tabla3[[#This Row],[ENTRADA FISICA ]]-Tabla3[[#This Row],[SOLICITUD DE PEDIDO (ACTA)]]</f>
        <v>-1.3000000000000007</v>
      </c>
      <c r="H231" s="152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3">
      <c r="A232" s="141">
        <v>46136</v>
      </c>
      <c r="C232" s="10" t="s">
        <v>11</v>
      </c>
      <c r="D232" s="10" t="s">
        <v>17</v>
      </c>
      <c r="E232" s="10">
        <v>9</v>
      </c>
      <c r="F232">
        <v>9.3000000000000007</v>
      </c>
      <c r="G232" s="7">
        <f>Tabla3[[#This Row],[ENTRADA FISICA ]]-Tabla3[[#This Row],[SOLICITUD DE PEDIDO (ACTA)]]</f>
        <v>0.30000000000000071</v>
      </c>
      <c r="H232" s="152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3">
      <c r="A233" s="141">
        <v>46136</v>
      </c>
      <c r="C233" s="7" t="s">
        <v>11</v>
      </c>
      <c r="D233" s="7" t="s">
        <v>18</v>
      </c>
      <c r="E233" s="7">
        <v>9</v>
      </c>
      <c r="F233">
        <v>9.9499999999999993</v>
      </c>
      <c r="G233" s="7">
        <f>Tabla3[[#This Row],[ENTRADA FISICA ]]-Tabla3[[#This Row],[SOLICITUD DE PEDIDO (ACTA)]]</f>
        <v>0.94999999999999929</v>
      </c>
      <c r="H233" s="152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3">
      <c r="A234" s="141">
        <v>46136</v>
      </c>
      <c r="C234" s="10" t="s">
        <v>11</v>
      </c>
      <c r="D234" s="10" t="s">
        <v>19</v>
      </c>
      <c r="E234" s="10">
        <v>1.5</v>
      </c>
      <c r="F234">
        <v>1.55</v>
      </c>
      <c r="G234" s="7">
        <f>Tabla3[[#This Row],[ENTRADA FISICA ]]-Tabla3[[#This Row],[SOLICITUD DE PEDIDO (ACTA)]]</f>
        <v>5.0000000000000044E-2</v>
      </c>
      <c r="H234" s="152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3">
      <c r="A235" s="141">
        <v>46136</v>
      </c>
      <c r="C235" s="7" t="s">
        <v>11</v>
      </c>
      <c r="D235" s="7" t="s">
        <v>20</v>
      </c>
      <c r="E235" s="7">
        <v>16</v>
      </c>
      <c r="F235">
        <v>15</v>
      </c>
      <c r="G235" s="7">
        <f>Tabla3[[#This Row],[ENTRADA FISICA ]]-Tabla3[[#This Row],[SOLICITUD DE PEDIDO (ACTA)]]</f>
        <v>-1</v>
      </c>
      <c r="H235" s="152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3">
      <c r="A236" s="141">
        <v>46136</v>
      </c>
      <c r="C236" s="10" t="s">
        <v>11</v>
      </c>
      <c r="D236" s="10" t="s">
        <v>21</v>
      </c>
      <c r="E236" s="10">
        <v>14</v>
      </c>
      <c r="F236">
        <v>14</v>
      </c>
      <c r="G236" s="7">
        <f>Tabla3[[#This Row],[ENTRADA FISICA ]]-Tabla3[[#This Row],[SOLICITUD DE PEDIDO (ACTA)]]</f>
        <v>0</v>
      </c>
      <c r="H236" s="152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3">
      <c r="A237" s="141">
        <v>46136</v>
      </c>
      <c r="C237" s="7" t="s">
        <v>11</v>
      </c>
      <c r="D237" s="7" t="s">
        <v>22</v>
      </c>
      <c r="E237" s="7">
        <v>37</v>
      </c>
      <c r="F237">
        <v>38</v>
      </c>
      <c r="G237" s="7">
        <f>Tabla3[[#This Row],[ENTRADA FISICA ]]-Tabla3[[#This Row],[SOLICITUD DE PEDIDO (ACTA)]]</f>
        <v>1</v>
      </c>
      <c r="H237" s="152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3">
      <c r="A238" s="141">
        <v>46136</v>
      </c>
      <c r="C238" s="10" t="s">
        <v>11</v>
      </c>
      <c r="D238" s="10" t="s">
        <v>23</v>
      </c>
      <c r="E238" s="10">
        <v>130</v>
      </c>
      <c r="F238">
        <v>125</v>
      </c>
      <c r="G238" s="7">
        <f>Tabla3[[#This Row],[ENTRADA FISICA ]]-Tabla3[[#This Row],[SOLICITUD DE PEDIDO (ACTA)]]</f>
        <v>-5</v>
      </c>
      <c r="H238" s="152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3">
      <c r="A239" s="141">
        <v>46136</v>
      </c>
      <c r="C239" s="7" t="s">
        <v>11</v>
      </c>
      <c r="D239" s="7" t="s">
        <v>24</v>
      </c>
      <c r="E239" s="7">
        <v>2</v>
      </c>
      <c r="F239">
        <v>1.8</v>
      </c>
      <c r="G239" s="7">
        <f>Tabla3[[#This Row],[ENTRADA FISICA ]]-Tabla3[[#This Row],[SOLICITUD DE PEDIDO (ACTA)]]</f>
        <v>-0.19999999999999996</v>
      </c>
      <c r="H239" s="152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3">
      <c r="A240" s="141">
        <v>46136</v>
      </c>
      <c r="C240" s="10" t="s">
        <v>11</v>
      </c>
      <c r="D240" s="10" t="s">
        <v>25</v>
      </c>
      <c r="E240" s="10">
        <v>4.5</v>
      </c>
      <c r="F240">
        <v>4.75</v>
      </c>
      <c r="G240" s="7">
        <f>Tabla3[[#This Row],[ENTRADA FISICA ]]-Tabla3[[#This Row],[SOLICITUD DE PEDIDO (ACTA)]]</f>
        <v>0.25</v>
      </c>
      <c r="H240" s="152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3">
      <c r="A241" s="141">
        <v>46136</v>
      </c>
      <c r="C241" s="7" t="s">
        <v>11</v>
      </c>
      <c r="D241" s="7" t="s">
        <v>26</v>
      </c>
      <c r="E241" s="7">
        <v>160</v>
      </c>
      <c r="F241">
        <v>160</v>
      </c>
      <c r="G241" s="7">
        <f>Tabla3[[#This Row],[ENTRADA FISICA ]]-Tabla3[[#This Row],[SOLICITUD DE PEDIDO (ACTA)]]</f>
        <v>0</v>
      </c>
      <c r="H241" s="152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3">
      <c r="A242" s="141">
        <v>46136</v>
      </c>
      <c r="C242" s="10" t="s">
        <v>11</v>
      </c>
      <c r="D242" s="10" t="s">
        <v>27</v>
      </c>
      <c r="E242" s="10">
        <v>64</v>
      </c>
      <c r="F242">
        <v>64.099999999999994</v>
      </c>
      <c r="G242" s="7">
        <f>Tabla3[[#This Row],[ENTRADA FISICA ]]-Tabla3[[#This Row],[SOLICITUD DE PEDIDO (ACTA)]]</f>
        <v>9.9999999999994316E-2</v>
      </c>
      <c r="H242" s="152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3">
      <c r="A243" s="141">
        <v>46136</v>
      </c>
      <c r="C243" s="7" t="s">
        <v>11</v>
      </c>
      <c r="D243" s="7" t="s">
        <v>28</v>
      </c>
      <c r="E243" s="7">
        <v>24</v>
      </c>
      <c r="F243">
        <v>25.85</v>
      </c>
      <c r="G243" s="7">
        <f>Tabla3[[#This Row],[ENTRADA FISICA ]]-Tabla3[[#This Row],[SOLICITUD DE PEDIDO (ACTA)]]</f>
        <v>1.8500000000000014</v>
      </c>
      <c r="H243" s="152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3">
      <c r="A244" s="141">
        <v>46136</v>
      </c>
      <c r="C244" s="10" t="s">
        <v>11</v>
      </c>
      <c r="D244" s="10" t="s">
        <v>29</v>
      </c>
      <c r="E244" s="10">
        <v>24</v>
      </c>
      <c r="F244">
        <v>24.65</v>
      </c>
      <c r="G244" s="7">
        <f>Tabla3[[#This Row],[ENTRADA FISICA ]]-Tabla3[[#This Row],[SOLICITUD DE PEDIDO (ACTA)]]</f>
        <v>0.64999999999999858</v>
      </c>
      <c r="H244" s="152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3">
      <c r="A245" s="141">
        <v>46136</v>
      </c>
      <c r="C245" s="7" t="s">
        <v>11</v>
      </c>
      <c r="D245" s="7" t="s">
        <v>30</v>
      </c>
      <c r="E245" s="7">
        <v>2</v>
      </c>
      <c r="F245">
        <v>2.1</v>
      </c>
      <c r="G245" s="7">
        <f>Tabla3[[#This Row],[ENTRADA FISICA ]]-Tabla3[[#This Row],[SOLICITUD DE PEDIDO (ACTA)]]</f>
        <v>0.10000000000000009</v>
      </c>
      <c r="H245" s="15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141">
        <v>46136</v>
      </c>
      <c r="C246" s="10" t="s">
        <v>11</v>
      </c>
      <c r="D246" s="10" t="s">
        <v>31</v>
      </c>
      <c r="E246" s="10">
        <v>17.5</v>
      </c>
      <c r="F246">
        <v>17.7</v>
      </c>
      <c r="G246" s="7">
        <f>Tabla3[[#This Row],[ENTRADA FISICA ]]-Tabla3[[#This Row],[SOLICITUD DE PEDIDO (ACTA)]]</f>
        <v>0.19999999999999929</v>
      </c>
      <c r="H246" s="15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141">
        <v>46136</v>
      </c>
      <c r="C247" s="7" t="s">
        <v>11</v>
      </c>
      <c r="D247" s="7" t="s">
        <v>32</v>
      </c>
      <c r="E247" s="7">
        <v>4</v>
      </c>
      <c r="F247">
        <v>4</v>
      </c>
      <c r="G247" s="7">
        <f>Tabla3[[#This Row],[ENTRADA FISICA ]]-Tabla3[[#This Row],[SOLICITUD DE PEDIDO (ACTA)]]</f>
        <v>0</v>
      </c>
      <c r="H247" s="15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141">
        <v>46136</v>
      </c>
      <c r="C248" s="10" t="s">
        <v>11</v>
      </c>
      <c r="D248" s="10" t="s">
        <v>33</v>
      </c>
      <c r="E248" s="10">
        <v>32</v>
      </c>
      <c r="F248">
        <v>21.35</v>
      </c>
      <c r="G248" s="7">
        <f>Tabla3[[#This Row],[ENTRADA FISICA ]]-Tabla3[[#This Row],[SOLICITUD DE PEDIDO (ACTA)]]</f>
        <v>-10.649999999999999</v>
      </c>
      <c r="H248" s="15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141">
        <v>46136</v>
      </c>
      <c r="C249" s="7" t="s">
        <v>11</v>
      </c>
      <c r="D249" s="7" t="s">
        <v>34</v>
      </c>
      <c r="E249" s="7">
        <v>54</v>
      </c>
      <c r="F249">
        <v>54.65</v>
      </c>
      <c r="G249" s="7">
        <f>Tabla3[[#This Row],[ENTRADA FISICA ]]-Tabla3[[#This Row],[SOLICITUD DE PEDIDO (ACTA)]]</f>
        <v>0.64999999999999858</v>
      </c>
      <c r="H249" s="15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141">
        <v>46136</v>
      </c>
      <c r="C250" s="10" t="s">
        <v>11</v>
      </c>
      <c r="D250" s="10" t="s">
        <v>35</v>
      </c>
      <c r="E250" s="10">
        <v>14</v>
      </c>
      <c r="F250">
        <v>14.25</v>
      </c>
      <c r="G250" s="7">
        <f>Tabla3[[#This Row],[ENTRADA FISICA ]]-Tabla3[[#This Row],[SOLICITUD DE PEDIDO (ACTA)]]</f>
        <v>0.25</v>
      </c>
      <c r="H250" s="15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141">
        <v>46136</v>
      </c>
      <c r="C251" s="7" t="s">
        <v>11</v>
      </c>
      <c r="D251" s="7" t="s">
        <v>36</v>
      </c>
      <c r="E251" s="7">
        <v>150</v>
      </c>
      <c r="F251">
        <v>152.80000000000001</v>
      </c>
      <c r="G251" s="7">
        <f>Tabla3[[#This Row],[ENTRADA FISICA ]]-Tabla3[[#This Row],[SOLICITUD DE PEDIDO (ACTA)]]</f>
        <v>2.8000000000000114</v>
      </c>
      <c r="H251" s="15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141">
        <v>46136</v>
      </c>
      <c r="C252" s="10" t="s">
        <v>11</v>
      </c>
      <c r="D252" s="10" t="s">
        <v>37</v>
      </c>
      <c r="E252" s="10">
        <v>3</v>
      </c>
      <c r="F252">
        <v>3.1</v>
      </c>
      <c r="G252" s="7">
        <f>Tabla3[[#This Row],[ENTRADA FISICA ]]-Tabla3[[#This Row],[SOLICITUD DE PEDIDO (ACTA)]]</f>
        <v>0.10000000000000009</v>
      </c>
      <c r="H252" s="15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141">
        <v>46136</v>
      </c>
      <c r="C253" s="7" t="s">
        <v>11</v>
      </c>
      <c r="D253" s="7" t="s">
        <v>38</v>
      </c>
      <c r="E253" s="7">
        <v>3</v>
      </c>
      <c r="F253">
        <v>3.1</v>
      </c>
      <c r="G253" s="7">
        <f>Tabla3[[#This Row],[ENTRADA FISICA ]]-Tabla3[[#This Row],[SOLICITUD DE PEDIDO (ACTA)]]</f>
        <v>0.10000000000000009</v>
      </c>
      <c r="H253" s="15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141">
        <v>46136</v>
      </c>
      <c r="B254">
        <v>321</v>
      </c>
      <c r="C254" t="s">
        <v>88</v>
      </c>
      <c r="D254" t="s">
        <v>40</v>
      </c>
      <c r="E254">
        <v>250</v>
      </c>
      <c r="F254">
        <v>304.39999999999998</v>
      </c>
      <c r="G254" s="7">
        <f>Tabla3[[#This Row],[ENTRADA FISICA ]]-Tabla3[[#This Row],[SOLICITUD DE PEDIDO (ACTA)]]</f>
        <v>54.399999999999977</v>
      </c>
      <c r="H254" s="15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141">
        <v>46139</v>
      </c>
      <c r="B255">
        <v>332</v>
      </c>
      <c r="C255" t="s">
        <v>41</v>
      </c>
      <c r="D255" t="s">
        <v>42</v>
      </c>
      <c r="E255">
        <v>122</v>
      </c>
      <c r="F255">
        <v>122.1</v>
      </c>
      <c r="G255" s="7">
        <f>Tabla3[[#This Row],[ENTRADA FISICA ]]-Tabla3[[#This Row],[SOLICITUD DE PEDIDO (ACTA)]]</f>
        <v>9.9999999999994316E-2</v>
      </c>
      <c r="H255" s="15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141">
        <v>46139</v>
      </c>
      <c r="B256">
        <v>337</v>
      </c>
      <c r="C256" t="s">
        <v>43</v>
      </c>
      <c r="D256" t="s">
        <v>44</v>
      </c>
      <c r="E256">
        <v>183</v>
      </c>
      <c r="F256">
        <v>183</v>
      </c>
      <c r="G256" s="7">
        <f>Tabla3[[#This Row],[ENTRADA FISICA ]]-Tabla3[[#This Row],[SOLICITUD DE PEDIDO (ACTA)]]</f>
        <v>0</v>
      </c>
      <c r="H256" s="15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141">
        <v>46139</v>
      </c>
      <c r="B257">
        <v>317</v>
      </c>
      <c r="C257" t="s">
        <v>55</v>
      </c>
      <c r="D257" t="s">
        <v>226</v>
      </c>
      <c r="E257">
        <v>7</v>
      </c>
      <c r="F257">
        <v>7</v>
      </c>
      <c r="G257" s="7">
        <f>Tabla3[[#This Row],[ENTRADA FISICA ]]-Tabla3[[#This Row],[SOLICITUD DE PEDIDO (ACTA)]]</f>
        <v>0</v>
      </c>
      <c r="H257" s="15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141">
        <v>46139</v>
      </c>
      <c r="B258">
        <v>317</v>
      </c>
      <c r="C258" t="s">
        <v>55</v>
      </c>
      <c r="D258" t="s">
        <v>57</v>
      </c>
      <c r="E258">
        <v>7</v>
      </c>
      <c r="F258">
        <v>7</v>
      </c>
      <c r="G258" s="7">
        <f>Tabla3[[#This Row],[ENTRADA FISICA ]]-Tabla3[[#This Row],[SOLICITUD DE PEDIDO (ACTA)]]</f>
        <v>0</v>
      </c>
      <c r="H258" s="15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141">
        <v>46139</v>
      </c>
      <c r="B259">
        <v>317</v>
      </c>
      <c r="C259" t="s">
        <v>55</v>
      </c>
      <c r="D259" t="s">
        <v>58</v>
      </c>
      <c r="E259">
        <v>2</v>
      </c>
      <c r="F259">
        <v>2</v>
      </c>
      <c r="G259" s="7">
        <f>Tabla3[[#This Row],[ENTRADA FISICA ]]-Tabla3[[#This Row],[SOLICITUD DE PEDIDO (ACTA)]]</f>
        <v>0</v>
      </c>
      <c r="H259" s="15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141">
        <v>46139</v>
      </c>
      <c r="B260">
        <v>317</v>
      </c>
      <c r="C260" t="s">
        <v>55</v>
      </c>
      <c r="D260" t="s">
        <v>59</v>
      </c>
      <c r="E260">
        <v>5</v>
      </c>
      <c r="F260">
        <v>5</v>
      </c>
      <c r="G260" s="7">
        <f>Tabla3[[#This Row],[ENTRADA FISICA ]]-Tabla3[[#This Row],[SOLICITUD DE PEDIDO (ACTA)]]</f>
        <v>0</v>
      </c>
      <c r="H260" s="15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141">
        <v>46139</v>
      </c>
      <c r="B261">
        <v>337</v>
      </c>
      <c r="C261" t="s">
        <v>43</v>
      </c>
      <c r="D261" t="s">
        <v>139</v>
      </c>
      <c r="E261">
        <v>1</v>
      </c>
      <c r="F261">
        <v>1</v>
      </c>
      <c r="G261" s="7">
        <f>Tabla3[[#This Row],[ENTRADA FISICA ]]-Tabla3[[#This Row],[SOLICITUD DE PEDIDO (ACTA)]]</f>
        <v>0</v>
      </c>
      <c r="H261" s="15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141">
        <v>46139</v>
      </c>
      <c r="B262">
        <v>337</v>
      </c>
      <c r="C262" t="s">
        <v>43</v>
      </c>
      <c r="D262" t="s">
        <v>46</v>
      </c>
      <c r="E262">
        <v>7</v>
      </c>
      <c r="F262">
        <v>7</v>
      </c>
      <c r="G262" s="7">
        <f>Tabla3[[#This Row],[ENTRADA FISICA ]]-Tabla3[[#This Row],[SOLICITUD DE PEDIDO (ACTA)]]</f>
        <v>0</v>
      </c>
      <c r="H262" s="15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141">
        <v>46139</v>
      </c>
      <c r="B263">
        <v>337</v>
      </c>
      <c r="C263" t="s">
        <v>43</v>
      </c>
      <c r="D263" t="s">
        <v>153</v>
      </c>
      <c r="E263">
        <v>6</v>
      </c>
      <c r="F263">
        <v>6</v>
      </c>
      <c r="G263" s="7">
        <f>Tabla3[[#This Row],[ENTRADA FISICA ]]-Tabla3[[#This Row],[SOLICITUD DE PEDIDO (ACTA)]]</f>
        <v>0</v>
      </c>
      <c r="H263" s="15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141">
        <v>46139</v>
      </c>
      <c r="B264">
        <v>337</v>
      </c>
      <c r="C264" t="s">
        <v>43</v>
      </c>
      <c r="D264" t="s">
        <v>220</v>
      </c>
      <c r="E264">
        <v>3</v>
      </c>
      <c r="F264">
        <v>3</v>
      </c>
      <c r="G264" s="7">
        <f>Tabla3[[#This Row],[ENTRADA FISICA ]]-Tabla3[[#This Row],[SOLICITUD DE PEDIDO (ACTA)]]</f>
        <v>0</v>
      </c>
      <c r="H264" s="15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141">
        <v>46139</v>
      </c>
      <c r="B265">
        <v>337</v>
      </c>
      <c r="C265" t="s">
        <v>43</v>
      </c>
      <c r="D265" t="s">
        <v>181</v>
      </c>
      <c r="E265">
        <v>6</v>
      </c>
      <c r="F265">
        <v>6</v>
      </c>
      <c r="G265" s="7">
        <f>Tabla3[[#This Row],[ENTRADA FISICA ]]-Tabla3[[#This Row],[SOLICITUD DE PEDIDO (ACTA)]]</f>
        <v>0</v>
      </c>
      <c r="H265" s="15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141">
        <v>46139</v>
      </c>
      <c r="B266">
        <v>337</v>
      </c>
      <c r="C266" t="s">
        <v>43</v>
      </c>
      <c r="D266" t="s">
        <v>221</v>
      </c>
      <c r="E266">
        <v>11</v>
      </c>
      <c r="F266">
        <v>11</v>
      </c>
      <c r="G266" s="7">
        <f>Tabla3[[#This Row],[ENTRADA FISICA ]]-Tabla3[[#This Row],[SOLICITUD DE PEDIDO (ACTA)]]</f>
        <v>0</v>
      </c>
      <c r="H266" s="15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141">
        <v>46139</v>
      </c>
      <c r="B267">
        <v>337</v>
      </c>
      <c r="C267" t="s">
        <v>43</v>
      </c>
      <c r="D267" t="s">
        <v>222</v>
      </c>
      <c r="E267">
        <v>1</v>
      </c>
      <c r="F267">
        <v>1</v>
      </c>
      <c r="G267" s="7">
        <f>Tabla3[[#This Row],[ENTRADA FISICA ]]-Tabla3[[#This Row],[SOLICITUD DE PEDIDO (ACTA)]]</f>
        <v>0</v>
      </c>
      <c r="H267" s="15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141">
        <v>46139</v>
      </c>
      <c r="B268">
        <v>337</v>
      </c>
      <c r="C268" t="s">
        <v>43</v>
      </c>
      <c r="D268" s="10" t="s">
        <v>50</v>
      </c>
      <c r="E268">
        <v>4</v>
      </c>
      <c r="F268">
        <v>4</v>
      </c>
      <c r="G268" s="7">
        <f>Tabla3[[#This Row],[ENTRADA FISICA ]]-Tabla3[[#This Row],[SOLICITUD DE PEDIDO (ACTA)]]</f>
        <v>0</v>
      </c>
      <c r="H268" s="15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141">
        <v>46139</v>
      </c>
      <c r="B269">
        <v>337</v>
      </c>
      <c r="C269" t="s">
        <v>43</v>
      </c>
      <c r="D269" s="10" t="s">
        <v>52</v>
      </c>
      <c r="E269">
        <v>2</v>
      </c>
      <c r="F269">
        <v>2</v>
      </c>
      <c r="G269" s="7">
        <f>Tabla3[[#This Row],[ENTRADA FISICA ]]-Tabla3[[#This Row],[SOLICITUD DE PEDIDO (ACTA)]]</f>
        <v>0</v>
      </c>
      <c r="H269" s="15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141">
        <v>46140</v>
      </c>
      <c r="C270" s="7" t="s">
        <v>11</v>
      </c>
      <c r="D270" s="7" t="s">
        <v>12</v>
      </c>
      <c r="E270" s="7">
        <v>48</v>
      </c>
      <c r="F270">
        <v>48</v>
      </c>
      <c r="G270" s="7">
        <f>Tabla3[[#This Row],[ENTRADA FISICA ]]-Tabla3[[#This Row],[SOLICITUD DE PEDIDO (ACTA)]]</f>
        <v>0</v>
      </c>
      <c r="H270" s="15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141">
        <v>46140</v>
      </c>
      <c r="C271" s="10" t="s">
        <v>11</v>
      </c>
      <c r="D271" s="10" t="s">
        <v>14</v>
      </c>
      <c r="E271" s="10">
        <v>87</v>
      </c>
      <c r="F271">
        <v>104</v>
      </c>
      <c r="G271" s="7">
        <f>Tabla3[[#This Row],[ENTRADA FISICA ]]-Tabla3[[#This Row],[SOLICITUD DE PEDIDO (ACTA)]]</f>
        <v>17</v>
      </c>
      <c r="H271" s="15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141">
        <v>46140</v>
      </c>
      <c r="C272" s="7" t="s">
        <v>11</v>
      </c>
      <c r="D272" s="7" t="s">
        <v>15</v>
      </c>
      <c r="E272" s="7">
        <v>2</v>
      </c>
      <c r="F272">
        <v>2</v>
      </c>
      <c r="G272" s="7">
        <f>Tabla3[[#This Row],[ENTRADA FISICA ]]-Tabla3[[#This Row],[SOLICITUD DE PEDIDO (ACTA)]]</f>
        <v>0</v>
      </c>
      <c r="H272" s="15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141">
        <v>46140</v>
      </c>
      <c r="C273" s="10" t="s">
        <v>11</v>
      </c>
      <c r="D273" s="10" t="s">
        <v>16</v>
      </c>
      <c r="E273" s="10">
        <v>10</v>
      </c>
      <c r="F273">
        <v>9.9</v>
      </c>
      <c r="G273" s="7">
        <f>Tabla3[[#This Row],[ENTRADA FISICA ]]-Tabla3[[#This Row],[SOLICITUD DE PEDIDO (ACTA)]]</f>
        <v>-9.9999999999999645E-2</v>
      </c>
      <c r="H273" s="15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141">
        <v>46140</v>
      </c>
      <c r="C274" s="7" t="s">
        <v>11</v>
      </c>
      <c r="D274" s="7" t="s">
        <v>62</v>
      </c>
      <c r="E274" s="7">
        <v>5</v>
      </c>
      <c r="F274">
        <v>4.95</v>
      </c>
      <c r="G274" s="7">
        <f>Tabla3[[#This Row],[ENTRADA FISICA ]]-Tabla3[[#This Row],[SOLICITUD DE PEDIDO (ACTA)]]</f>
        <v>-4.9999999999999822E-2</v>
      </c>
      <c r="H274" s="15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141">
        <v>46140</v>
      </c>
      <c r="C275" s="10" t="s">
        <v>11</v>
      </c>
      <c r="D275" s="10" t="s">
        <v>17</v>
      </c>
      <c r="E275" s="10">
        <v>6</v>
      </c>
      <c r="F275">
        <v>6.3</v>
      </c>
      <c r="G275" s="7">
        <f>Tabla3[[#This Row],[ENTRADA FISICA ]]-Tabla3[[#This Row],[SOLICITUD DE PEDIDO (ACTA)]]</f>
        <v>0.29999999999999982</v>
      </c>
      <c r="H275" s="15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141">
        <v>46140</v>
      </c>
      <c r="C276" s="7" t="s">
        <v>11</v>
      </c>
      <c r="D276" s="7" t="s">
        <v>18</v>
      </c>
      <c r="E276" s="7">
        <v>6</v>
      </c>
      <c r="F276">
        <v>6</v>
      </c>
      <c r="G276" s="7">
        <f>Tabla3[[#This Row],[ENTRADA FISICA ]]-Tabla3[[#This Row],[SOLICITUD DE PEDIDO (ACTA)]]</f>
        <v>0</v>
      </c>
      <c r="H276" s="15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173">
        <v>46140</v>
      </c>
      <c r="B277" s="175"/>
      <c r="C277" s="145" t="s">
        <v>11</v>
      </c>
      <c r="D277" s="145" t="s">
        <v>19</v>
      </c>
      <c r="E277" s="145">
        <v>1</v>
      </c>
      <c r="F277" s="175">
        <v>1.05</v>
      </c>
      <c r="G277" s="7">
        <f>Tabla3[[#This Row],[ENTRADA FISICA ]]-Tabla3[[#This Row],[SOLICITUD DE PEDIDO (ACTA)]]</f>
        <v>5.0000000000000044E-2</v>
      </c>
      <c r="H277" s="15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173">
        <v>46140</v>
      </c>
      <c r="B278" s="175"/>
      <c r="C278" s="148" t="s">
        <v>11</v>
      </c>
      <c r="D278" s="148" t="s">
        <v>20</v>
      </c>
      <c r="E278" s="148">
        <v>12</v>
      </c>
      <c r="F278" s="175">
        <v>12</v>
      </c>
      <c r="G278" s="7">
        <f>Tabla3[[#This Row],[ENTRADA FISICA ]]-Tabla3[[#This Row],[SOLICITUD DE PEDIDO (ACTA)]]</f>
        <v>0</v>
      </c>
      <c r="H278" s="15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173">
        <v>46140</v>
      </c>
      <c r="B279" s="175"/>
      <c r="C279" s="145" t="s">
        <v>11</v>
      </c>
      <c r="D279" s="145" t="s">
        <v>21</v>
      </c>
      <c r="E279" s="145">
        <v>12</v>
      </c>
      <c r="F279" s="175">
        <v>12</v>
      </c>
      <c r="G279" s="7">
        <f>Tabla3[[#This Row],[ENTRADA FISICA ]]-Tabla3[[#This Row],[SOLICITUD DE PEDIDO (ACTA)]]</f>
        <v>0</v>
      </c>
      <c r="H279" s="15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173">
        <v>46140</v>
      </c>
      <c r="B280" s="175"/>
      <c r="C280" s="148" t="s">
        <v>11</v>
      </c>
      <c r="D280" s="148" t="s">
        <v>22</v>
      </c>
      <c r="E280" s="148">
        <v>28</v>
      </c>
      <c r="F280" s="175">
        <v>28</v>
      </c>
      <c r="G280" s="7">
        <f>Tabla3[[#This Row],[ENTRADA FISICA ]]-Tabla3[[#This Row],[SOLICITUD DE PEDIDO (ACTA)]]</f>
        <v>0</v>
      </c>
      <c r="H280" s="15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173">
        <v>46140</v>
      </c>
      <c r="B281" s="175"/>
      <c r="C281" s="145" t="s">
        <v>11</v>
      </c>
      <c r="D281" s="145" t="s">
        <v>23</v>
      </c>
      <c r="E281" s="145">
        <v>97</v>
      </c>
      <c r="F281" s="175">
        <v>97</v>
      </c>
      <c r="G281" s="7">
        <f>Tabla3[[#This Row],[ENTRADA FISICA ]]-Tabla3[[#This Row],[SOLICITUD DE PEDIDO (ACTA)]]</f>
        <v>0</v>
      </c>
      <c r="H281" s="15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173">
        <v>46140</v>
      </c>
      <c r="B282" s="175"/>
      <c r="C282" s="148" t="s">
        <v>11</v>
      </c>
      <c r="D282" s="148" t="s">
        <v>24</v>
      </c>
      <c r="E282" s="148">
        <v>1.5</v>
      </c>
      <c r="F282" s="175">
        <v>1.55</v>
      </c>
      <c r="G282" s="7">
        <f>Tabla3[[#This Row],[ENTRADA FISICA ]]-Tabla3[[#This Row],[SOLICITUD DE PEDIDO (ACTA)]]</f>
        <v>5.0000000000000044E-2</v>
      </c>
      <c r="H282" s="15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173">
        <v>46140</v>
      </c>
      <c r="B283" s="175"/>
      <c r="C283" s="145" t="s">
        <v>11</v>
      </c>
      <c r="D283" s="145" t="s">
        <v>25</v>
      </c>
      <c r="E283" s="145">
        <v>4.5</v>
      </c>
      <c r="F283" s="175">
        <v>4.3499999999999996</v>
      </c>
      <c r="G283" s="7">
        <f>Tabla3[[#This Row],[ENTRADA FISICA ]]-Tabla3[[#This Row],[SOLICITUD DE PEDIDO (ACTA)]]</f>
        <v>-0.15000000000000036</v>
      </c>
      <c r="H283" s="15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173">
        <v>46140</v>
      </c>
      <c r="B284" s="175"/>
      <c r="C284" s="148" t="s">
        <v>11</v>
      </c>
      <c r="D284" s="148" t="s">
        <v>26</v>
      </c>
      <c r="E284" s="148">
        <v>108</v>
      </c>
      <c r="F284" s="175">
        <v>112</v>
      </c>
      <c r="G284" s="7">
        <f>Tabla3[[#This Row],[ENTRADA FISICA ]]-Tabla3[[#This Row],[SOLICITUD DE PEDIDO (ACTA)]]</f>
        <v>4</v>
      </c>
      <c r="H284" s="15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173">
        <v>46140</v>
      </c>
      <c r="B285" s="175"/>
      <c r="C285" s="145" t="s">
        <v>11</v>
      </c>
      <c r="D285" s="145" t="s">
        <v>27</v>
      </c>
      <c r="E285" s="145">
        <v>49</v>
      </c>
      <c r="F285" s="175">
        <v>48.55</v>
      </c>
      <c r="G285" s="7">
        <f>Tabla3[[#This Row],[ENTRADA FISICA ]]-Tabla3[[#This Row],[SOLICITUD DE PEDIDO (ACTA)]]</f>
        <v>-0.45000000000000284</v>
      </c>
      <c r="H285" s="15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173">
        <v>46140</v>
      </c>
      <c r="B286" s="175"/>
      <c r="C286" s="148" t="s">
        <v>11</v>
      </c>
      <c r="D286" s="148" t="s">
        <v>28</v>
      </c>
      <c r="E286" s="148">
        <v>15</v>
      </c>
      <c r="F286" s="175">
        <v>14.85</v>
      </c>
      <c r="G286" s="7">
        <f>Tabla3[[#This Row],[ENTRADA FISICA ]]-Tabla3[[#This Row],[SOLICITUD DE PEDIDO (ACTA)]]</f>
        <v>-0.15000000000000036</v>
      </c>
      <c r="H286" s="15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173">
        <v>46140</v>
      </c>
      <c r="B287" s="175"/>
      <c r="C287" s="145" t="s">
        <v>11</v>
      </c>
      <c r="D287" s="145" t="s">
        <v>29</v>
      </c>
      <c r="E287" s="145">
        <v>18</v>
      </c>
      <c r="F287" s="175">
        <v>17.95</v>
      </c>
      <c r="G287" s="7">
        <f>Tabla3[[#This Row],[ENTRADA FISICA ]]-Tabla3[[#This Row],[SOLICITUD DE PEDIDO (ACTA)]]</f>
        <v>-5.0000000000000711E-2</v>
      </c>
      <c r="H287" s="15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141">
        <v>46140</v>
      </c>
      <c r="C288" s="7" t="s">
        <v>11</v>
      </c>
      <c r="D288" s="7" t="s">
        <v>30</v>
      </c>
      <c r="E288" s="7">
        <v>1.7</v>
      </c>
      <c r="F288">
        <v>1.7</v>
      </c>
      <c r="G288" s="7">
        <f>Tabla3[[#This Row],[ENTRADA FISICA ]]-Tabla3[[#This Row],[SOLICITUD DE PEDIDO (ACTA)]]</f>
        <v>0</v>
      </c>
      <c r="H288" s="15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141">
        <v>46140</v>
      </c>
      <c r="C289" s="10" t="s">
        <v>11</v>
      </c>
      <c r="D289" s="10" t="s">
        <v>31</v>
      </c>
      <c r="E289" s="10">
        <v>12</v>
      </c>
      <c r="F289">
        <v>12.3</v>
      </c>
      <c r="G289" s="7">
        <f>Tabla3[[#This Row],[ENTRADA FISICA ]]-Tabla3[[#This Row],[SOLICITUD DE PEDIDO (ACTA)]]</f>
        <v>0.30000000000000071</v>
      </c>
      <c r="H289" s="15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141">
        <v>46140</v>
      </c>
      <c r="C290" s="7" t="s">
        <v>11</v>
      </c>
      <c r="D290" s="7" t="s">
        <v>63</v>
      </c>
      <c r="E290" s="7">
        <v>4</v>
      </c>
      <c r="F290">
        <v>4</v>
      </c>
      <c r="G290" s="7">
        <f>Tabla3[[#This Row],[ENTRADA FISICA ]]-Tabla3[[#This Row],[SOLICITUD DE PEDIDO (ACTA)]]</f>
        <v>0</v>
      </c>
      <c r="H290" s="15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141">
        <v>46140</v>
      </c>
      <c r="C291" s="10" t="s">
        <v>11</v>
      </c>
      <c r="D291" s="10" t="s">
        <v>32</v>
      </c>
      <c r="E291" s="10">
        <v>3</v>
      </c>
      <c r="F291">
        <v>3</v>
      </c>
      <c r="G291" s="7">
        <f>Tabla3[[#This Row],[ENTRADA FISICA ]]-Tabla3[[#This Row],[SOLICITUD DE PEDIDO (ACTA)]]</f>
        <v>0</v>
      </c>
      <c r="H291" s="15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141">
        <v>46140</v>
      </c>
      <c r="C292" s="7" t="s">
        <v>11</v>
      </c>
      <c r="D292" s="7" t="s">
        <v>33</v>
      </c>
      <c r="E292" s="7">
        <v>24</v>
      </c>
      <c r="F292">
        <v>23.9</v>
      </c>
      <c r="G292" s="7">
        <f>Tabla3[[#This Row],[ENTRADA FISICA ]]-Tabla3[[#This Row],[SOLICITUD DE PEDIDO (ACTA)]]</f>
        <v>-0.10000000000000142</v>
      </c>
      <c r="H292" s="15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141">
        <v>46140</v>
      </c>
      <c r="C293" s="10" t="s">
        <v>11</v>
      </c>
      <c r="D293" s="10" t="s">
        <v>34</v>
      </c>
      <c r="E293" s="10">
        <v>42</v>
      </c>
      <c r="F293">
        <v>43.7</v>
      </c>
      <c r="G293" s="7">
        <f>Tabla3[[#This Row],[ENTRADA FISICA ]]-Tabla3[[#This Row],[SOLICITUD DE PEDIDO (ACTA)]]</f>
        <v>1.7000000000000028</v>
      </c>
      <c r="H293" s="15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141">
        <v>46140</v>
      </c>
      <c r="C294" s="7" t="s">
        <v>11</v>
      </c>
      <c r="D294" s="7" t="s">
        <v>35</v>
      </c>
      <c r="E294" s="7">
        <v>11</v>
      </c>
      <c r="F294">
        <v>11.7</v>
      </c>
      <c r="G294" s="7">
        <f>Tabla3[[#This Row],[ENTRADA FISICA ]]-Tabla3[[#This Row],[SOLICITUD DE PEDIDO (ACTA)]]</f>
        <v>0.69999999999999929</v>
      </c>
      <c r="H294" s="15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141">
        <v>46140</v>
      </c>
      <c r="C295" s="10" t="s">
        <v>11</v>
      </c>
      <c r="D295" s="10" t="s">
        <v>36</v>
      </c>
      <c r="E295" s="10">
        <v>115</v>
      </c>
      <c r="F295">
        <v>114.9</v>
      </c>
      <c r="G295" s="7">
        <f>Tabla3[[#This Row],[ENTRADA FISICA ]]-Tabla3[[#This Row],[SOLICITUD DE PEDIDO (ACTA)]]</f>
        <v>-9.9999999999994316E-2</v>
      </c>
      <c r="H295" s="15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141">
        <v>46140</v>
      </c>
      <c r="C296" s="10" t="s">
        <v>11</v>
      </c>
      <c r="D296" s="10" t="s">
        <v>37</v>
      </c>
      <c r="E296" s="10">
        <v>3</v>
      </c>
      <c r="F296">
        <v>3.05</v>
      </c>
      <c r="G296" s="7">
        <f>Tabla3[[#This Row],[ENTRADA FISICA ]]-Tabla3[[#This Row],[SOLICITUD DE PEDIDO (ACTA)]]</f>
        <v>4.9999999999999822E-2</v>
      </c>
      <c r="H296" s="15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141">
        <v>46140</v>
      </c>
      <c r="C297" s="7" t="s">
        <v>11</v>
      </c>
      <c r="D297" s="7" t="s">
        <v>38</v>
      </c>
      <c r="E297" s="7">
        <v>3</v>
      </c>
      <c r="F297">
        <v>3.15</v>
      </c>
      <c r="G297" s="7">
        <f>Tabla3[[#This Row],[ENTRADA FISICA ]]-Tabla3[[#This Row],[SOLICITUD DE PEDIDO (ACTA)]]</f>
        <v>0.14999999999999991</v>
      </c>
      <c r="H297" s="15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141">
        <v>46141</v>
      </c>
      <c r="B298">
        <v>333</v>
      </c>
      <c r="C298" t="s">
        <v>41</v>
      </c>
      <c r="D298" t="s">
        <v>42</v>
      </c>
      <c r="E298">
        <v>123</v>
      </c>
      <c r="F298">
        <v>123.1</v>
      </c>
      <c r="G298" s="7">
        <f>Tabla3[[#This Row],[ENTRADA FISICA ]]-Tabla3[[#This Row],[SOLICITUD DE PEDIDO (ACTA)]]</f>
        <v>9.9999999999994316E-2</v>
      </c>
      <c r="H298" s="15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9"/>
      <c r="B299" s="10"/>
      <c r="C299" s="10"/>
      <c r="D299" s="10"/>
      <c r="E299" s="10"/>
      <c r="F299" s="10"/>
      <c r="G299" s="7">
        <f>Tabla3[[#This Row],[ENTRADA FISICA ]]-Tabla3[[#This Row],[SOLICITUD DE PEDIDO (ACTA)]]</f>
        <v>0</v>
      </c>
      <c r="H299" s="1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6"/>
      <c r="B300" s="7"/>
      <c r="C300" s="7"/>
      <c r="D300" s="7"/>
      <c r="E300" s="7"/>
      <c r="F300" s="7"/>
      <c r="G300" s="7">
        <f>Tabla3[[#This Row],[ENTRADA FISICA ]]-Tabla3[[#This Row],[SOLICITUD DE PEDIDO (ACTA)]]</f>
        <v>0</v>
      </c>
      <c r="H300" s="1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9"/>
      <c r="B301" s="10"/>
      <c r="C301" s="10"/>
      <c r="D301" s="10"/>
      <c r="E301" s="10"/>
      <c r="F301" s="10"/>
      <c r="G301" s="7">
        <f>Tabla3[[#This Row],[ENTRADA FISICA ]]-Tabla3[[#This Row],[SOLICITUD DE PEDIDO (ACTA)]]</f>
        <v>0</v>
      </c>
      <c r="H301" s="1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6"/>
      <c r="B302" s="7"/>
      <c r="C302" s="7"/>
      <c r="D302" s="7"/>
      <c r="E302" s="7"/>
      <c r="F302" s="7"/>
      <c r="G302" s="7">
        <f>Tabla3[[#This Row],[ENTRADA FISICA ]]-Tabla3[[#This Row],[SOLICITUD DE PEDIDO (ACTA)]]</f>
        <v>0</v>
      </c>
      <c r="H302" s="1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9"/>
      <c r="B303" s="10"/>
      <c r="C303" s="10"/>
      <c r="D303" s="10"/>
      <c r="E303" s="10"/>
      <c r="F303" s="10"/>
      <c r="G303" s="7">
        <f>Tabla3[[#This Row],[ENTRADA FISICA ]]-Tabla3[[#This Row],[SOLICITUD DE PEDIDO (ACTA)]]</f>
        <v>0</v>
      </c>
      <c r="H303" s="1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6"/>
      <c r="B304" s="7"/>
      <c r="C304" s="7"/>
      <c r="D304" s="7"/>
      <c r="E304" s="7"/>
      <c r="F304" s="7"/>
      <c r="G304" s="7">
        <f>Tabla3[[#This Row],[ENTRADA FISICA ]]-Tabla3[[#This Row],[SOLICITUD DE PEDIDO (ACTA)]]</f>
        <v>0</v>
      </c>
      <c r="H304" s="1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9"/>
      <c r="B305" s="10"/>
      <c r="C305" s="10"/>
      <c r="D305" s="10"/>
      <c r="E305" s="10"/>
      <c r="F305" s="10"/>
      <c r="G305" s="7">
        <f>Tabla3[[#This Row],[ENTRADA FISICA ]]-Tabla3[[#This Row],[SOLICITUD DE PEDIDO (ACTA)]]</f>
        <v>0</v>
      </c>
      <c r="H305" s="1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6"/>
      <c r="B306" s="7"/>
      <c r="C306" s="7"/>
      <c r="D306" s="7"/>
      <c r="E306" s="7"/>
      <c r="F306" s="7"/>
      <c r="G306" s="7">
        <f>Tabla3[[#This Row],[ENTRADA FISICA ]]-Tabla3[[#This Row],[SOLICITUD DE PEDIDO (ACTA)]]</f>
        <v>0</v>
      </c>
      <c r="H306" s="1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9"/>
      <c r="B307" s="10"/>
      <c r="C307" s="10"/>
      <c r="D307" s="10"/>
      <c r="E307" s="10"/>
      <c r="F307" s="10"/>
      <c r="G307" s="7">
        <f>Tabla3[[#This Row],[ENTRADA FISICA ]]-Tabla3[[#This Row],[SOLICITUD DE PEDIDO (ACTA)]]</f>
        <v>0</v>
      </c>
      <c r="H307" s="1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6"/>
      <c r="B308" s="7"/>
      <c r="C308" s="7"/>
      <c r="D308" s="7"/>
      <c r="E308" s="7"/>
      <c r="F308" s="7"/>
      <c r="G308" s="7">
        <f>Tabla3[[#This Row],[ENTRADA FISICA ]]-Tabla3[[#This Row],[SOLICITUD DE PEDIDO (ACTA)]]</f>
        <v>0</v>
      </c>
      <c r="H308" s="1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9"/>
      <c r="B309" s="10"/>
      <c r="C309" s="10"/>
      <c r="D309" s="10"/>
      <c r="E309" s="10"/>
      <c r="F309" s="10"/>
      <c r="G309" s="7">
        <f>Tabla3[[#This Row],[ENTRADA FISICA ]]-Tabla3[[#This Row],[SOLICITUD DE PEDIDO (ACTA)]]</f>
        <v>0</v>
      </c>
      <c r="H309" s="1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6"/>
      <c r="B310" s="7"/>
      <c r="C310" s="7"/>
      <c r="D310" s="7"/>
      <c r="E310" s="7"/>
      <c r="F310" s="7"/>
      <c r="G310" s="7">
        <f>Tabla3[[#This Row],[ENTRADA FISICA ]]-Tabla3[[#This Row],[SOLICITUD DE PEDIDO (ACTA)]]</f>
        <v>0</v>
      </c>
      <c r="H310" s="1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9"/>
      <c r="B311" s="10"/>
      <c r="C311" s="10"/>
      <c r="D311" s="10"/>
      <c r="E311" s="10"/>
      <c r="F311" s="10"/>
      <c r="G311" s="7">
        <f>Tabla3[[#This Row],[ENTRADA FISICA ]]-Tabla3[[#This Row],[SOLICITUD DE PEDIDO (ACTA)]]</f>
        <v>0</v>
      </c>
      <c r="H311" s="1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6"/>
      <c r="B312" s="7"/>
      <c r="C312" s="7"/>
      <c r="D312" s="7"/>
      <c r="E312" s="7"/>
      <c r="F312" s="7"/>
      <c r="G312" s="7">
        <f>Tabla3[[#This Row],[ENTRADA FISICA ]]-Tabla3[[#This Row],[SOLICITUD DE PEDIDO (ACTA)]]</f>
        <v>0</v>
      </c>
      <c r="H312" s="1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9"/>
      <c r="B313" s="10"/>
      <c r="C313" s="10"/>
      <c r="D313" s="10"/>
      <c r="E313" s="10"/>
      <c r="F313" s="10"/>
      <c r="G313" s="7">
        <f>Tabla3[[#This Row],[ENTRADA FISICA ]]-Tabla3[[#This Row],[SOLICITUD DE PEDIDO (ACTA)]]</f>
        <v>0</v>
      </c>
      <c r="H313" s="1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6"/>
      <c r="B314" s="7"/>
      <c r="C314" s="7"/>
      <c r="D314" s="7"/>
      <c r="E314" s="7"/>
      <c r="F314" s="7"/>
      <c r="G314" s="7">
        <f>Tabla3[[#This Row],[ENTRADA FISICA ]]-Tabla3[[#This Row],[SOLICITUD DE PEDIDO (ACTA)]]</f>
        <v>0</v>
      </c>
      <c r="H314" s="1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9"/>
      <c r="B315" s="10"/>
      <c r="C315" s="10"/>
      <c r="D315" s="10"/>
      <c r="E315" s="10"/>
      <c r="F315" s="10"/>
      <c r="G315" s="7">
        <f>Tabla3[[#This Row],[ENTRADA FISICA ]]-Tabla3[[#This Row],[SOLICITUD DE PEDIDO (ACTA)]]</f>
        <v>0</v>
      </c>
      <c r="H315" s="1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6"/>
      <c r="B316" s="7"/>
      <c r="C316" s="7"/>
      <c r="D316" s="7"/>
      <c r="E316" s="7"/>
      <c r="F316" s="7"/>
      <c r="G316" s="7">
        <f>Tabla3[[#This Row],[ENTRADA FISICA ]]-Tabla3[[#This Row],[SOLICITUD DE PEDIDO (ACTA)]]</f>
        <v>0</v>
      </c>
      <c r="H316" s="1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9"/>
      <c r="B317" s="10"/>
      <c r="C317" s="10"/>
      <c r="D317" s="10"/>
      <c r="E317" s="10"/>
      <c r="F317" s="10"/>
      <c r="G317" s="7">
        <f>Tabla3[[#This Row],[ENTRADA FISICA ]]-Tabla3[[#This Row],[SOLICITUD DE PEDIDO (ACTA)]]</f>
        <v>0</v>
      </c>
      <c r="H317" s="1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6"/>
      <c r="B318" s="7"/>
      <c r="C318" s="7"/>
      <c r="D318" s="7"/>
      <c r="E318" s="7"/>
      <c r="F318" s="7"/>
      <c r="G318" s="7">
        <f>Tabla3[[#This Row],[ENTRADA FISICA ]]-Tabla3[[#This Row],[SOLICITUD DE PEDIDO (ACTA)]]</f>
        <v>0</v>
      </c>
      <c r="H318" s="1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9"/>
      <c r="B319" s="10"/>
      <c r="C319" s="10"/>
      <c r="D319" s="10"/>
      <c r="E319" s="10"/>
      <c r="F319" s="10"/>
      <c r="G319" s="7">
        <f>Tabla3[[#This Row],[ENTRADA FISICA ]]-Tabla3[[#This Row],[SOLICITUD DE PEDIDO (ACTA)]]</f>
        <v>0</v>
      </c>
      <c r="H319" s="1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6"/>
      <c r="B320" s="7"/>
      <c r="C320" s="7"/>
      <c r="D320" s="7"/>
      <c r="E320" s="7"/>
      <c r="F320" s="7"/>
      <c r="G320" s="7">
        <f>Tabla3[[#This Row],[ENTRADA FISICA ]]-Tabla3[[#This Row],[SOLICITUD DE PEDIDO (ACTA)]]</f>
        <v>0</v>
      </c>
      <c r="H320" s="1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9"/>
      <c r="B321" s="10"/>
      <c r="C321" s="10"/>
      <c r="D321" s="10"/>
      <c r="E321" s="10"/>
      <c r="F321" s="10"/>
      <c r="G321" s="7">
        <f>Tabla3[[#This Row],[ENTRADA FISICA ]]-Tabla3[[#This Row],[SOLICITUD DE PEDIDO (ACTA)]]</f>
        <v>0</v>
      </c>
      <c r="H321" s="1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6"/>
      <c r="B322" s="7"/>
      <c r="C322" s="7"/>
      <c r="D322" s="7"/>
      <c r="E322" s="7"/>
      <c r="F322" s="7"/>
      <c r="G322" s="7">
        <f>Tabla3[[#This Row],[ENTRADA FISICA ]]-Tabla3[[#This Row],[SOLICITUD DE PEDIDO (ACTA)]]</f>
        <v>0</v>
      </c>
      <c r="H322" s="1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9"/>
      <c r="B323" s="10"/>
      <c r="C323" s="10"/>
      <c r="D323" s="10"/>
      <c r="E323" s="10"/>
      <c r="F323" s="10"/>
      <c r="G323" s="7">
        <f>Tabla3[[#This Row],[ENTRADA FISICA ]]-Tabla3[[#This Row],[SOLICITUD DE PEDIDO (ACTA)]]</f>
        <v>0</v>
      </c>
      <c r="H323" s="1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6"/>
      <c r="B324" s="7"/>
      <c r="C324" s="7"/>
      <c r="D324" s="7"/>
      <c r="E324" s="7"/>
      <c r="F324" s="7"/>
      <c r="G324" s="7">
        <f>Tabla3[[#This Row],[ENTRADA FISICA ]]-Tabla3[[#This Row],[SOLICITUD DE PEDIDO (ACTA)]]</f>
        <v>0</v>
      </c>
      <c r="H324" s="1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9"/>
      <c r="B325" s="10"/>
      <c r="C325" s="10"/>
      <c r="D325" s="10"/>
      <c r="E325" s="10"/>
      <c r="F325" s="10"/>
      <c r="G325" s="7">
        <f>Tabla3[[#This Row],[ENTRADA FISICA ]]-Tabla3[[#This Row],[SOLICITUD DE PEDIDO (ACTA)]]</f>
        <v>0</v>
      </c>
      <c r="H325" s="1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6"/>
      <c r="B326" s="7"/>
      <c r="C326" s="7"/>
      <c r="D326" s="7"/>
      <c r="E326" s="7"/>
      <c r="F326" s="7"/>
      <c r="G326" s="7">
        <f>Tabla3[[#This Row],[ENTRADA FISICA ]]-Tabla3[[#This Row],[SOLICITUD DE PEDIDO (ACTA)]]</f>
        <v>0</v>
      </c>
      <c r="H326" s="1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9"/>
      <c r="B327" s="10"/>
      <c r="C327" s="10"/>
      <c r="D327" s="10"/>
      <c r="E327" s="10"/>
      <c r="F327" s="10"/>
      <c r="G327" s="7">
        <f>Tabla3[[#This Row],[ENTRADA FISICA ]]-Tabla3[[#This Row],[SOLICITUD DE PEDIDO (ACTA)]]</f>
        <v>0</v>
      </c>
      <c r="H327" s="1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6"/>
      <c r="B328" s="7"/>
      <c r="C328" s="7"/>
      <c r="D328" s="7"/>
      <c r="E328" s="7"/>
      <c r="F328" s="7"/>
      <c r="G328" s="7">
        <f>Tabla3[[#This Row],[ENTRADA FISICA ]]-Tabla3[[#This Row],[SOLICITUD DE PEDIDO (ACTA)]]</f>
        <v>0</v>
      </c>
      <c r="H328" s="1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9"/>
      <c r="B329" s="10"/>
      <c r="C329" s="10"/>
      <c r="D329" s="10"/>
      <c r="E329" s="10"/>
      <c r="F329" s="10"/>
      <c r="G329" s="7">
        <f>Tabla3[[#This Row],[ENTRADA FISICA ]]-Tabla3[[#This Row],[SOLICITUD DE PEDIDO (ACTA)]]</f>
        <v>0</v>
      </c>
      <c r="H329" s="1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6"/>
      <c r="B330" s="7"/>
      <c r="C330" s="7"/>
      <c r="D330" s="7"/>
      <c r="E330" s="7"/>
      <c r="F330" s="7"/>
      <c r="G330" s="7">
        <f>Tabla3[[#This Row],[ENTRADA FISICA ]]-Tabla3[[#This Row],[SOLICITUD DE PEDIDO (ACTA)]]</f>
        <v>0</v>
      </c>
      <c r="H330" s="1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9"/>
      <c r="B331" s="10"/>
      <c r="C331" s="10"/>
      <c r="D331" s="10"/>
      <c r="E331" s="10"/>
      <c r="F331" s="10"/>
      <c r="G331" s="7">
        <f>Tabla3[[#This Row],[ENTRADA FISICA ]]-Tabla3[[#This Row],[SOLICITUD DE PEDIDO (ACTA)]]</f>
        <v>0</v>
      </c>
      <c r="H331" s="1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6"/>
      <c r="B332" s="7"/>
      <c r="C332" s="7"/>
      <c r="D332" s="7"/>
      <c r="E332" s="7"/>
      <c r="F332" s="7"/>
      <c r="G332" s="7">
        <f>Tabla3[[#This Row],[ENTRADA FISICA ]]-Tabla3[[#This Row],[SOLICITUD DE PEDIDO (ACTA)]]</f>
        <v>0</v>
      </c>
      <c r="H332" s="1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9"/>
      <c r="B333" s="10"/>
      <c r="C333" s="10"/>
      <c r="D333" s="10"/>
      <c r="E333" s="10"/>
      <c r="F333" s="10"/>
      <c r="G333" s="7">
        <f>Tabla3[[#This Row],[ENTRADA FISICA ]]-Tabla3[[#This Row],[SOLICITUD DE PEDIDO (ACTA)]]</f>
        <v>0</v>
      </c>
      <c r="H333" s="1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6"/>
      <c r="B334" s="7"/>
      <c r="C334" s="7"/>
      <c r="D334" s="7"/>
      <c r="E334" s="7"/>
      <c r="F334" s="7"/>
      <c r="G334" s="7">
        <f>Tabla3[[#This Row],[ENTRADA FISICA ]]-Tabla3[[#This Row],[SOLICITUD DE PEDIDO (ACTA)]]</f>
        <v>0</v>
      </c>
      <c r="H334" s="1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9"/>
      <c r="B335" s="10"/>
      <c r="C335" s="10"/>
      <c r="D335" s="10"/>
      <c r="E335" s="10"/>
      <c r="F335" s="10"/>
      <c r="G335" s="7">
        <f>Tabla3[[#This Row],[ENTRADA FISICA ]]-Tabla3[[#This Row],[SOLICITUD DE PEDIDO (ACTA)]]</f>
        <v>0</v>
      </c>
      <c r="H335" s="1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6"/>
      <c r="B336" s="7"/>
      <c r="C336" s="7"/>
      <c r="D336" s="7"/>
      <c r="E336" s="7"/>
      <c r="F336" s="7"/>
      <c r="G336" s="7">
        <f>Tabla3[[#This Row],[ENTRADA FISICA ]]-Tabla3[[#This Row],[SOLICITUD DE PEDIDO (ACTA)]]</f>
        <v>0</v>
      </c>
      <c r="H336" s="1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9"/>
      <c r="B337" s="10"/>
      <c r="C337" s="10"/>
      <c r="D337" s="10"/>
      <c r="E337" s="10"/>
      <c r="F337" s="10"/>
      <c r="G337" s="7">
        <f>Tabla3[[#This Row],[ENTRADA FISICA ]]-Tabla3[[#This Row],[SOLICITUD DE PEDIDO (ACTA)]]</f>
        <v>0</v>
      </c>
      <c r="H337" s="1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6"/>
      <c r="B338" s="7"/>
      <c r="C338" s="7"/>
      <c r="D338" s="7"/>
      <c r="E338" s="7"/>
      <c r="F338" s="7"/>
      <c r="G338" s="7">
        <f>Tabla3[[#This Row],[ENTRADA FISICA ]]-Tabla3[[#This Row],[SOLICITUD DE PEDIDO (ACTA)]]</f>
        <v>0</v>
      </c>
      <c r="H338" s="1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9"/>
      <c r="B339" s="10"/>
      <c r="C339" s="10"/>
      <c r="D339" s="10"/>
      <c r="E339" s="10"/>
      <c r="F339" s="10"/>
      <c r="G339" s="7">
        <f>Tabla3[[#This Row],[ENTRADA FISICA ]]-Tabla3[[#This Row],[SOLICITUD DE PEDIDO (ACTA)]]</f>
        <v>0</v>
      </c>
      <c r="H339" s="1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6"/>
      <c r="B340" s="7"/>
      <c r="C340" s="7"/>
      <c r="D340" s="7"/>
      <c r="E340" s="7"/>
      <c r="F340" s="7"/>
      <c r="G340" s="7">
        <f>Tabla3[[#This Row],[ENTRADA FISICA ]]-Tabla3[[#This Row],[SOLICITUD DE PEDIDO (ACTA)]]</f>
        <v>0</v>
      </c>
      <c r="H340" s="1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9"/>
      <c r="B341" s="10"/>
      <c r="C341" s="10"/>
      <c r="D341" s="10"/>
      <c r="E341" s="10"/>
      <c r="F341" s="10"/>
      <c r="G341" s="7">
        <f>Tabla3[[#This Row],[ENTRADA FISICA ]]-Tabla3[[#This Row],[SOLICITUD DE PEDIDO (ACTA)]]</f>
        <v>0</v>
      </c>
      <c r="H341" s="1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6"/>
      <c r="B342" s="7"/>
      <c r="C342" s="7"/>
      <c r="D342" s="7"/>
      <c r="E342" s="7"/>
      <c r="F342" s="7"/>
      <c r="G342" s="7">
        <f>Tabla3[[#This Row],[ENTRADA FISICA ]]-Tabla3[[#This Row],[SOLICITUD DE PEDIDO (ACTA)]]</f>
        <v>0</v>
      </c>
      <c r="H342" s="1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9"/>
      <c r="B343" s="10"/>
      <c r="C343" s="10"/>
      <c r="D343" s="10"/>
      <c r="E343" s="10"/>
      <c r="F343" s="10"/>
      <c r="G343" s="7">
        <f>Tabla3[[#This Row],[ENTRADA FISICA ]]-Tabla3[[#This Row],[SOLICITUD DE PEDIDO (ACTA)]]</f>
        <v>0</v>
      </c>
      <c r="H343" s="1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6"/>
      <c r="B344" s="7"/>
      <c r="C344" s="7"/>
      <c r="D344" s="7"/>
      <c r="E344" s="7"/>
      <c r="F344" s="7"/>
      <c r="G344" s="7">
        <f>Tabla3[[#This Row],[ENTRADA FISICA ]]-Tabla3[[#This Row],[SOLICITUD DE PEDIDO (ACTA)]]</f>
        <v>0</v>
      </c>
      <c r="H344" s="1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9"/>
      <c r="B345" s="10"/>
      <c r="C345" s="10"/>
      <c r="D345" s="10"/>
      <c r="E345" s="10"/>
      <c r="F345" s="10"/>
      <c r="G345" s="7">
        <f>Tabla3[[#This Row],[ENTRADA FISICA ]]-Tabla3[[#This Row],[SOLICITUD DE PEDIDO (ACTA)]]</f>
        <v>0</v>
      </c>
      <c r="H345" s="1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6"/>
      <c r="B346" s="7"/>
      <c r="C346" s="7"/>
      <c r="D346" s="7"/>
      <c r="E346" s="7"/>
      <c r="F346" s="7"/>
      <c r="G346" s="7">
        <f>Tabla3[[#This Row],[ENTRADA FISICA ]]-Tabla3[[#This Row],[SOLICITUD DE PEDIDO (ACTA)]]</f>
        <v>0</v>
      </c>
      <c r="H346" s="1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9"/>
      <c r="B347" s="10"/>
      <c r="C347" s="10"/>
      <c r="D347" s="10"/>
      <c r="E347" s="10"/>
      <c r="F347" s="10"/>
      <c r="G347" s="7">
        <f>Tabla3[[#This Row],[ENTRADA FISICA ]]-Tabla3[[#This Row],[SOLICITUD DE PEDIDO (ACTA)]]</f>
        <v>0</v>
      </c>
      <c r="H347" s="1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17"/>
      <c r="B348" s="148"/>
      <c r="C348" s="148"/>
      <c r="D348" s="148"/>
      <c r="E348" s="148"/>
      <c r="F348" s="148"/>
      <c r="G348" s="7">
        <f>Tabla3[[#This Row],[ENTRADA FISICA ]]-Tabla3[[#This Row],[SOLICITUD DE PEDIDO (ACTA)]]</f>
        <v>0</v>
      </c>
      <c r="H348" s="1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18"/>
      <c r="B349" s="145"/>
      <c r="C349" s="145"/>
      <c r="D349" s="145"/>
      <c r="E349" s="145"/>
      <c r="F349" s="145"/>
      <c r="G349" s="7">
        <f>Tabla3[[#This Row],[ENTRADA FISICA ]]-Tabla3[[#This Row],[SOLICITUD DE PEDIDO (ACTA)]]</f>
        <v>0</v>
      </c>
      <c r="H349" s="1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17"/>
      <c r="B350" s="148"/>
      <c r="C350" s="148"/>
      <c r="D350" s="148"/>
      <c r="E350" s="148"/>
      <c r="F350" s="148"/>
      <c r="G350" s="7">
        <f>Tabla3[[#This Row],[ENTRADA FISICA ]]-Tabla3[[#This Row],[SOLICITUD DE PEDIDO (ACTA)]]</f>
        <v>0</v>
      </c>
      <c r="H350" s="1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18"/>
      <c r="B351" s="145"/>
      <c r="C351" s="145"/>
      <c r="D351" s="145"/>
      <c r="E351" s="145"/>
      <c r="F351" s="145"/>
      <c r="G351" s="7">
        <f>Tabla3[[#This Row],[ENTRADA FISICA ]]-Tabla3[[#This Row],[SOLICITUD DE PEDIDO (ACTA)]]</f>
        <v>0</v>
      </c>
      <c r="H351" s="1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17"/>
      <c r="B352" s="148"/>
      <c r="C352" s="148"/>
      <c r="D352" s="148"/>
      <c r="E352" s="148"/>
      <c r="F352" s="148"/>
      <c r="G352" s="7">
        <f>Tabla3[[#This Row],[ENTRADA FISICA ]]-Tabla3[[#This Row],[SOLICITUD DE PEDIDO (ACTA)]]</f>
        <v>0</v>
      </c>
      <c r="H352" s="1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18"/>
      <c r="B353" s="145"/>
      <c r="C353" s="145"/>
      <c r="D353" s="145"/>
      <c r="E353" s="145"/>
      <c r="F353" s="145"/>
      <c r="G353" s="7">
        <f>Tabla3[[#This Row],[ENTRADA FISICA ]]-Tabla3[[#This Row],[SOLICITUD DE PEDIDO (ACTA)]]</f>
        <v>0</v>
      </c>
      <c r="H353" s="1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17"/>
      <c r="B354" s="148"/>
      <c r="C354" s="148"/>
      <c r="D354" s="148"/>
      <c r="E354" s="148"/>
      <c r="F354" s="148"/>
      <c r="G354" s="7">
        <f>Tabla3[[#This Row],[ENTRADA FISICA ]]-Tabla3[[#This Row],[SOLICITUD DE PEDIDO (ACTA)]]</f>
        <v>0</v>
      </c>
      <c r="H354" s="1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18"/>
      <c r="B355" s="145"/>
      <c r="C355" s="145"/>
      <c r="D355" s="145"/>
      <c r="E355" s="145"/>
      <c r="F355" s="145"/>
      <c r="G355" s="7">
        <f>Tabla3[[#This Row],[ENTRADA FISICA ]]-Tabla3[[#This Row],[SOLICITUD DE PEDIDO (ACTA)]]</f>
        <v>0</v>
      </c>
      <c r="H355" s="1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17"/>
      <c r="B356" s="148"/>
      <c r="C356" s="148"/>
      <c r="D356" s="148"/>
      <c r="E356" s="148"/>
      <c r="F356" s="148"/>
      <c r="G356" s="7">
        <f>Tabla3[[#This Row],[ENTRADA FISICA ]]-Tabla3[[#This Row],[SOLICITUD DE PEDIDO (ACTA)]]</f>
        <v>0</v>
      </c>
      <c r="H356" s="1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18"/>
      <c r="B357" s="145"/>
      <c r="C357" s="145"/>
      <c r="D357" s="145"/>
      <c r="E357" s="145"/>
      <c r="F357" s="145"/>
      <c r="G357" s="7">
        <f>Tabla3[[#This Row],[ENTRADA FISICA ]]-Tabla3[[#This Row],[SOLICITUD DE PEDIDO (ACTA)]]</f>
        <v>0</v>
      </c>
      <c r="H357" s="1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17"/>
      <c r="B358" s="148"/>
      <c r="C358" s="148"/>
      <c r="D358" s="148"/>
      <c r="E358" s="148"/>
      <c r="F358" s="148"/>
      <c r="G358" s="7">
        <f>Tabla3[[#This Row],[ENTRADA FISICA ]]-Tabla3[[#This Row],[SOLICITUD DE PEDIDO (ACTA)]]</f>
        <v>0</v>
      </c>
      <c r="H358" s="1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18"/>
      <c r="B359" s="145"/>
      <c r="C359" s="145"/>
      <c r="D359" s="145"/>
      <c r="E359" s="145"/>
      <c r="F359" s="145"/>
      <c r="G359" s="7">
        <f>Tabla3[[#This Row],[ENTRADA FISICA ]]-Tabla3[[#This Row],[SOLICITUD DE PEDIDO (ACTA)]]</f>
        <v>0</v>
      </c>
      <c r="H359" s="1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17"/>
      <c r="B360" s="148"/>
      <c r="C360" s="148"/>
      <c r="D360" s="148"/>
      <c r="E360" s="148"/>
      <c r="F360" s="148"/>
      <c r="G360" s="7">
        <f>Tabla3[[#This Row],[ENTRADA FISICA ]]-Tabla3[[#This Row],[SOLICITUD DE PEDIDO (ACTA)]]</f>
        <v>0</v>
      </c>
      <c r="H360" s="1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18"/>
      <c r="B361" s="145"/>
      <c r="C361" s="145"/>
      <c r="D361" s="145"/>
      <c r="E361" s="145"/>
      <c r="F361" s="145"/>
      <c r="G361" s="7">
        <f>Tabla3[[#This Row],[ENTRADA FISICA ]]-Tabla3[[#This Row],[SOLICITUD DE PEDIDO (ACTA)]]</f>
        <v>0</v>
      </c>
      <c r="H361" s="1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17"/>
      <c r="B362" s="148"/>
      <c r="C362" s="148"/>
      <c r="D362" s="148"/>
      <c r="E362" s="148"/>
      <c r="F362" s="148"/>
      <c r="G362" s="7">
        <f>Tabla3[[#This Row],[ENTRADA FISICA ]]-Tabla3[[#This Row],[SOLICITUD DE PEDIDO (ACTA)]]</f>
        <v>0</v>
      </c>
      <c r="H362" s="1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18"/>
      <c r="B363" s="145"/>
      <c r="C363" s="145"/>
      <c r="D363" s="145"/>
      <c r="E363" s="145"/>
      <c r="F363" s="145"/>
      <c r="G363" s="7">
        <f>Tabla3[[#This Row],[ENTRADA FISICA ]]-Tabla3[[#This Row],[SOLICITUD DE PEDIDO (ACTA)]]</f>
        <v>0</v>
      </c>
      <c r="H363" s="1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17"/>
      <c r="B364" s="148"/>
      <c r="C364" s="148"/>
      <c r="D364" s="148"/>
      <c r="E364" s="148"/>
      <c r="F364" s="148"/>
      <c r="G364" s="7">
        <f>Tabla3[[#This Row],[ENTRADA FISICA ]]-Tabla3[[#This Row],[SOLICITUD DE PEDIDO (ACTA)]]</f>
        <v>0</v>
      </c>
      <c r="H364" s="1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18"/>
      <c r="B365" s="145"/>
      <c r="C365" s="145"/>
      <c r="D365" s="145"/>
      <c r="E365" s="145"/>
      <c r="F365" s="145"/>
      <c r="G365" s="7">
        <f>Tabla3[[#This Row],[ENTRADA FISICA ]]-Tabla3[[#This Row],[SOLICITUD DE PEDIDO (ACTA)]]</f>
        <v>0</v>
      </c>
      <c r="H365" s="1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17"/>
      <c r="B366" s="148"/>
      <c r="C366" s="148"/>
      <c r="D366" s="148"/>
      <c r="E366" s="148"/>
      <c r="F366" s="148"/>
      <c r="G366" s="7">
        <f>Tabla3[[#This Row],[ENTRADA FISICA ]]-Tabla3[[#This Row],[SOLICITUD DE PEDIDO (ACTA)]]</f>
        <v>0</v>
      </c>
      <c r="H366" s="1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18"/>
      <c r="B367" s="145"/>
      <c r="C367" s="145"/>
      <c r="D367" s="145"/>
      <c r="E367" s="145"/>
      <c r="F367" s="145"/>
      <c r="G367" s="7">
        <f>Tabla3[[#This Row],[ENTRADA FISICA ]]-Tabla3[[#This Row],[SOLICITUD DE PEDIDO (ACTA)]]</f>
        <v>0</v>
      </c>
      <c r="H367" s="1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17"/>
      <c r="B368" s="148"/>
      <c r="C368" s="148"/>
      <c r="D368" s="148"/>
      <c r="E368" s="148"/>
      <c r="F368" s="148"/>
      <c r="G368" s="7">
        <f>Tabla3[[#This Row],[ENTRADA FISICA ]]-Tabla3[[#This Row],[SOLICITUD DE PEDIDO (ACTA)]]</f>
        <v>0</v>
      </c>
      <c r="H368" s="1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18"/>
      <c r="B369" s="145"/>
      <c r="C369" s="145"/>
      <c r="D369" s="145"/>
      <c r="E369" s="145"/>
      <c r="F369" s="145"/>
      <c r="G369" s="7">
        <f>Tabla3[[#This Row],[ENTRADA FISICA ]]-Tabla3[[#This Row],[SOLICITUD DE PEDIDO (ACTA)]]</f>
        <v>0</v>
      </c>
      <c r="H369" s="1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17"/>
      <c r="B370" s="148"/>
      <c r="C370" s="148"/>
      <c r="D370" s="148"/>
      <c r="E370" s="148"/>
      <c r="F370" s="148"/>
      <c r="G370" s="7">
        <f>Tabla3[[#This Row],[ENTRADA FISICA ]]-Tabla3[[#This Row],[SOLICITUD DE PEDIDO (ACTA)]]</f>
        <v>0</v>
      </c>
      <c r="H370" s="1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18"/>
      <c r="B371" s="145"/>
      <c r="C371" s="145"/>
      <c r="D371" s="145"/>
      <c r="E371" s="145"/>
      <c r="F371" s="145"/>
      <c r="G371" s="7">
        <f>Tabla3[[#This Row],[ENTRADA FISICA ]]-Tabla3[[#This Row],[SOLICITUD DE PEDIDO (ACTA)]]</f>
        <v>0</v>
      </c>
      <c r="H371" s="1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17"/>
      <c r="B372" s="148"/>
      <c r="C372" s="148"/>
      <c r="D372" s="148"/>
      <c r="E372" s="148"/>
      <c r="F372" s="148"/>
      <c r="G372" s="7">
        <f>Tabla3[[#This Row],[ENTRADA FISICA ]]-Tabla3[[#This Row],[SOLICITUD DE PEDIDO (ACTA)]]</f>
        <v>0</v>
      </c>
      <c r="H372" s="1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174"/>
      <c r="B373" s="176"/>
      <c r="C373" s="176"/>
      <c r="D373" s="176"/>
      <c r="E373" s="176"/>
      <c r="F373" s="176"/>
      <c r="G373" s="7">
        <f>Tabla3[[#This Row],[ENTRADA FISICA ]]-Tabla3[[#This Row],[SOLICITUD DE PEDIDO (ACTA)]]</f>
        <v>0</v>
      </c>
      <c r="H373" s="13"/>
    </row>
    <row r="374" spans="1:26" ht="15.75" customHeight="1" x14ac:dyDescent="0.3">
      <c r="A374" s="6"/>
      <c r="B374" s="7"/>
      <c r="C374" s="7"/>
      <c r="D374" s="7"/>
      <c r="E374" s="7"/>
      <c r="F374" s="7"/>
      <c r="G374" s="7">
        <f>Tabla3[[#This Row],[ENTRADA FISICA ]]-Tabla3[[#This Row],[SOLICITUD DE PEDIDO (ACTA)]]</f>
        <v>0</v>
      </c>
      <c r="H374" s="12"/>
    </row>
    <row r="375" spans="1:26" ht="15.75" customHeight="1" x14ac:dyDescent="0.3">
      <c r="A375" s="9"/>
      <c r="B375" s="10"/>
      <c r="C375" s="10"/>
      <c r="D375" s="10"/>
      <c r="E375" s="10"/>
      <c r="F375" s="10"/>
      <c r="G375" s="7">
        <f>Tabla3[[#This Row],[ENTRADA FISICA ]]-Tabla3[[#This Row],[SOLICITUD DE PEDIDO (ACTA)]]</f>
        <v>0</v>
      </c>
      <c r="H375" s="13"/>
    </row>
    <row r="376" spans="1:26" ht="15.75" customHeight="1" x14ac:dyDescent="0.3">
      <c r="A376" s="6"/>
      <c r="B376" s="7"/>
      <c r="C376" s="7"/>
      <c r="D376" s="7"/>
      <c r="E376" s="7"/>
      <c r="F376" s="7"/>
      <c r="G376" s="7">
        <f>Tabla3[[#This Row],[ENTRADA FISICA ]]-Tabla3[[#This Row],[SOLICITUD DE PEDIDO (ACTA)]]</f>
        <v>0</v>
      </c>
      <c r="H376" s="12"/>
    </row>
    <row r="377" spans="1:26" ht="15.75" customHeight="1" x14ac:dyDescent="0.3">
      <c r="A377" s="9"/>
      <c r="B377" s="10"/>
      <c r="C377" s="10"/>
      <c r="D377" s="10"/>
      <c r="E377" s="10"/>
      <c r="F377" s="10"/>
      <c r="G377" s="7">
        <f>Tabla3[[#This Row],[ENTRADA FISICA ]]-Tabla3[[#This Row],[SOLICITUD DE PEDIDO (ACTA)]]</f>
        <v>0</v>
      </c>
      <c r="H377" s="13"/>
    </row>
    <row r="378" spans="1:26" ht="15.75" customHeight="1" x14ac:dyDescent="0.3">
      <c r="A378" s="6"/>
      <c r="B378" s="7"/>
      <c r="C378" s="7"/>
      <c r="D378" s="15"/>
      <c r="E378" s="7"/>
      <c r="F378" s="7"/>
      <c r="G378" s="7">
        <f>Tabla3[[#This Row],[ENTRADA FISICA ]]-Tabla3[[#This Row],[SOLICITUD DE PEDIDO (ACTA)]]</f>
        <v>0</v>
      </c>
      <c r="H378" s="12"/>
    </row>
    <row r="379" spans="1:26" ht="15.75" customHeight="1" x14ac:dyDescent="0.3">
      <c r="A379" s="9"/>
      <c r="B379" s="10"/>
      <c r="C379" s="10"/>
      <c r="D379" s="16"/>
      <c r="E379" s="10"/>
      <c r="F379" s="10"/>
      <c r="G379" s="7">
        <f>Tabla3[[#This Row],[ENTRADA FISICA ]]-Tabla3[[#This Row],[SOLICITUD DE PEDIDO (ACTA)]]</f>
        <v>0</v>
      </c>
      <c r="H379" s="13"/>
    </row>
    <row r="380" spans="1:26" ht="15.75" customHeight="1" x14ac:dyDescent="0.3">
      <c r="A380" s="6"/>
      <c r="B380" s="7"/>
      <c r="C380" s="7"/>
      <c r="D380" s="7"/>
      <c r="E380" s="7"/>
      <c r="F380" s="7"/>
      <c r="G380" s="7">
        <f>Tabla3[[#This Row],[ENTRADA FISICA ]]-Tabla3[[#This Row],[SOLICITUD DE PEDIDO (ACTA)]]</f>
        <v>0</v>
      </c>
      <c r="H380" s="12"/>
    </row>
    <row r="381" spans="1:26" ht="15.75" customHeight="1" x14ac:dyDescent="0.3">
      <c r="A381" s="9"/>
      <c r="B381" s="10"/>
      <c r="C381" s="10"/>
      <c r="D381" s="10"/>
      <c r="E381" s="10"/>
      <c r="F381" s="10"/>
      <c r="G381" s="7">
        <f>Tabla3[[#This Row],[ENTRADA FISICA ]]-Tabla3[[#This Row],[SOLICITUD DE PEDIDO (ACTA)]]</f>
        <v>0</v>
      </c>
      <c r="H381" s="13"/>
    </row>
    <row r="382" spans="1:26" ht="15.75" customHeight="1" x14ac:dyDescent="0.3">
      <c r="A382" s="6"/>
      <c r="B382" s="7"/>
      <c r="C382" s="7"/>
      <c r="D382" s="7"/>
      <c r="E382" s="7"/>
      <c r="F382" s="7"/>
      <c r="G382" s="7">
        <f>Tabla3[[#This Row],[ENTRADA FISICA ]]-Tabla3[[#This Row],[SOLICITUD DE PEDIDO (ACTA)]]</f>
        <v>0</v>
      </c>
      <c r="H382" s="12"/>
    </row>
    <row r="383" spans="1:26" ht="15.75" customHeight="1" x14ac:dyDescent="0.3">
      <c r="A383" s="9"/>
      <c r="B383" s="10"/>
      <c r="C383" s="10"/>
      <c r="D383" s="10"/>
      <c r="E383" s="10"/>
      <c r="F383" s="10"/>
      <c r="G383" s="7">
        <f>Tabla3[[#This Row],[ENTRADA FISICA ]]-Tabla3[[#This Row],[SOLICITUD DE PEDIDO (ACTA)]]</f>
        <v>0</v>
      </c>
      <c r="H383" s="13"/>
    </row>
    <row r="384" spans="1:26" ht="15.75" customHeight="1" x14ac:dyDescent="0.3">
      <c r="A384" s="6"/>
      <c r="B384" s="7"/>
      <c r="C384" s="7"/>
      <c r="D384" s="7"/>
      <c r="E384" s="7"/>
      <c r="F384" s="7"/>
      <c r="G384" s="7">
        <f>Tabla3[[#This Row],[ENTRADA FISICA ]]-Tabla3[[#This Row],[SOLICITUD DE PEDIDO (ACTA)]]</f>
        <v>0</v>
      </c>
      <c r="H384" s="12"/>
    </row>
    <row r="385" spans="1:8" ht="15.75" customHeight="1" x14ac:dyDescent="0.3">
      <c r="A385" s="9"/>
      <c r="B385" s="10"/>
      <c r="C385" s="10"/>
      <c r="D385" s="10"/>
      <c r="E385" s="10"/>
      <c r="F385" s="10"/>
      <c r="G385" s="7">
        <f>Tabla3[[#This Row],[ENTRADA FISICA ]]-Tabla3[[#This Row],[SOLICITUD DE PEDIDO (ACTA)]]</f>
        <v>0</v>
      </c>
      <c r="H385" s="13"/>
    </row>
    <row r="386" spans="1:8" ht="15.75" customHeight="1" x14ac:dyDescent="0.3">
      <c r="A386" s="6"/>
      <c r="B386" s="7"/>
      <c r="C386" s="7"/>
      <c r="D386" s="7"/>
      <c r="E386" s="7"/>
      <c r="F386" s="7"/>
      <c r="G386" s="7">
        <f>Tabla3[[#This Row],[ENTRADA FISICA ]]-Tabla3[[#This Row],[SOLICITUD DE PEDIDO (ACTA)]]</f>
        <v>0</v>
      </c>
      <c r="H386" s="12"/>
    </row>
    <row r="387" spans="1:8" ht="15.75" customHeight="1" x14ac:dyDescent="0.3">
      <c r="A387" s="9"/>
      <c r="B387" s="10"/>
      <c r="C387" s="10"/>
      <c r="D387" s="10"/>
      <c r="E387" s="10"/>
      <c r="F387" s="10"/>
      <c r="G387" s="7">
        <f>Tabla3[[#This Row],[ENTRADA FISICA ]]-Tabla3[[#This Row],[SOLICITUD DE PEDIDO (ACTA)]]</f>
        <v>0</v>
      </c>
      <c r="H387" s="13"/>
    </row>
    <row r="388" spans="1:8" ht="15.75" customHeight="1" x14ac:dyDescent="0.3">
      <c r="A388" s="6"/>
      <c r="B388" s="7"/>
      <c r="C388" s="7"/>
      <c r="D388" s="7"/>
      <c r="E388" s="7"/>
      <c r="F388" s="7"/>
      <c r="G388" s="7">
        <f>Tabla3[[#This Row],[ENTRADA FISICA ]]-Tabla3[[#This Row],[SOLICITUD DE PEDIDO (ACTA)]]</f>
        <v>0</v>
      </c>
      <c r="H388" s="12"/>
    </row>
    <row r="389" spans="1:8" ht="15.75" customHeight="1" x14ac:dyDescent="0.3">
      <c r="A389" s="9"/>
      <c r="B389" s="10"/>
      <c r="C389" s="10"/>
      <c r="D389" s="10"/>
      <c r="E389" s="10"/>
      <c r="F389" s="10"/>
      <c r="G389" s="7">
        <f>Tabla3[[#This Row],[ENTRADA FISICA ]]-Tabla3[[#This Row],[SOLICITUD DE PEDIDO (ACTA)]]</f>
        <v>0</v>
      </c>
      <c r="H389" s="13"/>
    </row>
    <row r="390" spans="1:8" ht="15.75" customHeight="1" x14ac:dyDescent="0.3">
      <c r="A390" s="6"/>
      <c r="B390" s="7"/>
      <c r="C390" s="7"/>
      <c r="D390" s="7"/>
      <c r="E390" s="7"/>
      <c r="F390" s="7"/>
      <c r="G390" s="7">
        <f>Tabla3[[#This Row],[ENTRADA FISICA ]]-Tabla3[[#This Row],[SOLICITUD DE PEDIDO (ACTA)]]</f>
        <v>0</v>
      </c>
      <c r="H390" s="12"/>
    </row>
    <row r="391" spans="1:8" ht="15.75" customHeight="1" x14ac:dyDescent="0.3">
      <c r="A391" s="9"/>
      <c r="B391" s="10"/>
      <c r="C391" s="10"/>
      <c r="D391" s="10"/>
      <c r="E391" s="10"/>
      <c r="F391" s="10"/>
      <c r="G391" s="7">
        <f>Tabla3[[#This Row],[ENTRADA FISICA ]]-Tabla3[[#This Row],[SOLICITUD DE PEDIDO (ACTA)]]</f>
        <v>0</v>
      </c>
      <c r="H391" s="13"/>
    </row>
    <row r="392" spans="1:8" ht="15.75" customHeight="1" x14ac:dyDescent="0.3">
      <c r="A392" s="6"/>
      <c r="B392" s="7"/>
      <c r="C392" s="7"/>
      <c r="D392" s="7"/>
      <c r="E392" s="7"/>
      <c r="F392" s="7"/>
      <c r="G392" s="7">
        <f>Tabla3[[#This Row],[ENTRADA FISICA ]]-Tabla3[[#This Row],[SOLICITUD DE PEDIDO (ACTA)]]</f>
        <v>0</v>
      </c>
      <c r="H392" s="12"/>
    </row>
    <row r="393" spans="1:8" ht="15.75" customHeight="1" x14ac:dyDescent="0.3">
      <c r="A393" s="9"/>
      <c r="B393" s="10"/>
      <c r="C393" s="10"/>
      <c r="D393" s="10"/>
      <c r="E393" s="10"/>
      <c r="F393" s="10"/>
      <c r="G393" s="7">
        <f>Tabla3[[#This Row],[ENTRADA FISICA ]]-Tabla3[[#This Row],[SOLICITUD DE PEDIDO (ACTA)]]</f>
        <v>0</v>
      </c>
      <c r="H393" s="13"/>
    </row>
    <row r="394" spans="1:8" ht="15.75" customHeight="1" x14ac:dyDescent="0.3">
      <c r="A394" s="6"/>
      <c r="B394" s="149"/>
      <c r="C394" s="149"/>
      <c r="D394" s="149"/>
      <c r="E394" s="149"/>
      <c r="F394" s="149"/>
      <c r="G394" s="7">
        <f>Tabla3[[#This Row],[ENTRADA FISICA ]]-Tabla3[[#This Row],[SOLICITUD DE PEDIDO (ACTA)]]</f>
        <v>0</v>
      </c>
      <c r="H394" s="12"/>
    </row>
    <row r="395" spans="1:8" ht="15.75" customHeight="1" x14ac:dyDescent="0.3">
      <c r="A395" s="9"/>
      <c r="B395" s="146"/>
      <c r="C395" s="146"/>
      <c r="D395" s="146"/>
      <c r="E395" s="146"/>
      <c r="F395" s="146"/>
      <c r="G395" s="7">
        <f>Tabla3[[#This Row],[ENTRADA FISICA ]]-Tabla3[[#This Row],[SOLICITUD DE PEDIDO (ACTA)]]</f>
        <v>0</v>
      </c>
      <c r="H395" s="13"/>
    </row>
    <row r="396" spans="1:8" ht="15.75" customHeight="1" x14ac:dyDescent="0.3">
      <c r="A396" s="6"/>
      <c r="B396" s="149"/>
      <c r="C396" s="149"/>
      <c r="D396" s="149"/>
      <c r="E396" s="149"/>
      <c r="F396" s="149"/>
      <c r="G396" s="7">
        <f>Tabla3[[#This Row],[ENTRADA FISICA ]]-Tabla3[[#This Row],[SOLICITUD DE PEDIDO (ACTA)]]</f>
        <v>0</v>
      </c>
      <c r="H396" s="12"/>
    </row>
    <row r="397" spans="1:8" ht="15.75" customHeight="1" x14ac:dyDescent="0.3">
      <c r="A397" s="9"/>
      <c r="B397" s="146"/>
      <c r="C397" s="146"/>
      <c r="D397" s="146"/>
      <c r="E397" s="146"/>
      <c r="F397" s="146"/>
      <c r="G397" s="7">
        <f>Tabla3[[#This Row],[ENTRADA FISICA ]]-Tabla3[[#This Row],[SOLICITUD DE PEDIDO (ACTA)]]</f>
        <v>0</v>
      </c>
      <c r="H397" s="13"/>
    </row>
    <row r="398" spans="1:8" ht="15.75" customHeight="1" x14ac:dyDescent="0.3">
      <c r="A398" s="6"/>
      <c r="B398" s="149"/>
      <c r="C398" s="149"/>
      <c r="D398" s="149"/>
      <c r="E398" s="149"/>
      <c r="F398" s="149"/>
      <c r="G398" s="7">
        <f>Tabla3[[#This Row],[ENTRADA FISICA ]]-Tabla3[[#This Row],[SOLICITUD DE PEDIDO (ACTA)]]</f>
        <v>0</v>
      </c>
      <c r="H398" s="12"/>
    </row>
    <row r="399" spans="1:8" ht="15.75" customHeight="1" x14ac:dyDescent="0.3">
      <c r="A399" s="9"/>
      <c r="B399" s="146"/>
      <c r="C399" s="146"/>
      <c r="D399" s="146"/>
      <c r="E399" s="146"/>
      <c r="F399" s="146"/>
      <c r="G399" s="7">
        <f>Tabla3[[#This Row],[ENTRADA FISICA ]]-Tabla3[[#This Row],[SOLICITUD DE PEDIDO (ACTA)]]</f>
        <v>0</v>
      </c>
      <c r="H399" s="13"/>
    </row>
    <row r="400" spans="1:8" ht="15.75" customHeight="1" x14ac:dyDescent="0.3">
      <c r="A400" s="6"/>
      <c r="B400" s="149"/>
      <c r="C400" s="149"/>
      <c r="D400" s="149"/>
      <c r="E400" s="149"/>
      <c r="F400" s="149"/>
      <c r="G400" s="7">
        <f>Tabla3[[#This Row],[ENTRADA FISICA ]]-Tabla3[[#This Row],[SOLICITUD DE PEDIDO (ACTA)]]</f>
        <v>0</v>
      </c>
      <c r="H400" s="12"/>
    </row>
    <row r="401" spans="1:8" ht="15.75" customHeight="1" x14ac:dyDescent="0.3">
      <c r="A401" s="9"/>
      <c r="B401" s="146"/>
      <c r="C401" s="146"/>
      <c r="D401" s="146"/>
      <c r="E401" s="146"/>
      <c r="F401" s="146"/>
      <c r="G401" s="7">
        <f>Tabla3[[#This Row],[ENTRADA FISICA ]]-Tabla3[[#This Row],[SOLICITUD DE PEDIDO (ACTA)]]</f>
        <v>0</v>
      </c>
      <c r="H401" s="13"/>
    </row>
    <row r="402" spans="1:8" ht="15.75" customHeight="1" x14ac:dyDescent="0.3">
      <c r="A402" s="6"/>
      <c r="B402" s="149"/>
      <c r="C402" s="149"/>
      <c r="D402" s="149"/>
      <c r="E402" s="149"/>
      <c r="F402" s="149"/>
      <c r="G402" s="7">
        <f>Tabla3[[#This Row],[ENTRADA FISICA ]]-Tabla3[[#This Row],[SOLICITUD DE PEDIDO (ACTA)]]</f>
        <v>0</v>
      </c>
      <c r="H402" s="12"/>
    </row>
    <row r="403" spans="1:8" ht="15.75" customHeight="1" x14ac:dyDescent="0.3">
      <c r="A403" s="9"/>
      <c r="B403" s="146"/>
      <c r="C403" s="146"/>
      <c r="D403" s="146"/>
      <c r="E403" s="146"/>
      <c r="F403" s="146"/>
      <c r="G403" s="7">
        <f>Tabla3[[#This Row],[ENTRADA FISICA ]]-Tabla3[[#This Row],[SOLICITUD DE PEDIDO (ACTA)]]</f>
        <v>0</v>
      </c>
      <c r="H403" s="13"/>
    </row>
    <row r="404" spans="1:8" ht="15.75" customHeight="1" x14ac:dyDescent="0.3">
      <c r="A404" s="6"/>
      <c r="B404" s="149"/>
      <c r="C404" s="149"/>
      <c r="D404" s="149"/>
      <c r="E404" s="149"/>
      <c r="F404" s="149"/>
      <c r="G404" s="7">
        <f>Tabla3[[#This Row],[ENTRADA FISICA ]]-Tabla3[[#This Row],[SOLICITUD DE PEDIDO (ACTA)]]</f>
        <v>0</v>
      </c>
      <c r="H404" s="12"/>
    </row>
    <row r="405" spans="1:8" ht="15.75" customHeight="1" x14ac:dyDescent="0.3">
      <c r="A405" s="9"/>
      <c r="B405" s="10"/>
      <c r="C405" s="10"/>
      <c r="D405" s="10"/>
      <c r="E405" s="10"/>
      <c r="F405" s="10"/>
      <c r="G405" s="7">
        <f>Tabla3[[#This Row],[ENTRADA FISICA ]]-Tabla3[[#This Row],[SOLICITUD DE PEDIDO (ACTA)]]</f>
        <v>0</v>
      </c>
      <c r="H405" s="13"/>
    </row>
    <row r="406" spans="1:8" ht="15.75" customHeight="1" x14ac:dyDescent="0.3">
      <c r="A406" s="6"/>
      <c r="B406" s="7"/>
      <c r="C406" s="7"/>
      <c r="D406" s="7"/>
      <c r="E406" s="7"/>
      <c r="F406" s="7"/>
      <c r="G406" s="7">
        <f>Tabla3[[#This Row],[ENTRADA FISICA ]]-Tabla3[[#This Row],[SOLICITUD DE PEDIDO (ACTA)]]</f>
        <v>0</v>
      </c>
      <c r="H406" s="12"/>
    </row>
    <row r="407" spans="1:8" ht="15.75" customHeight="1" x14ac:dyDescent="0.3">
      <c r="A407" s="9"/>
      <c r="B407" s="10"/>
      <c r="C407" s="10"/>
      <c r="D407" s="10"/>
      <c r="E407" s="10"/>
      <c r="F407" s="10"/>
      <c r="G407" s="7">
        <f>Tabla3[[#This Row],[ENTRADA FISICA ]]-Tabla3[[#This Row],[SOLICITUD DE PEDIDO (ACTA)]]</f>
        <v>0</v>
      </c>
      <c r="H407" s="13"/>
    </row>
    <row r="408" spans="1:8" ht="15.75" customHeight="1" x14ac:dyDescent="0.3">
      <c r="A408" s="6"/>
      <c r="B408" s="7"/>
      <c r="C408" s="7"/>
      <c r="D408" s="7"/>
      <c r="E408" s="7"/>
      <c r="F408" s="7"/>
      <c r="G408" s="7">
        <f>Tabla3[[#This Row],[ENTRADA FISICA ]]-Tabla3[[#This Row],[SOLICITUD DE PEDIDO (ACTA)]]</f>
        <v>0</v>
      </c>
      <c r="H408" s="12"/>
    </row>
    <row r="409" spans="1:8" ht="15.75" customHeight="1" x14ac:dyDescent="0.3">
      <c r="A409" s="9"/>
      <c r="B409" s="10"/>
      <c r="C409" s="10"/>
      <c r="D409" s="10"/>
      <c r="E409" s="10"/>
      <c r="F409" s="10"/>
      <c r="G409" s="7">
        <f>Tabla3[[#This Row],[ENTRADA FISICA ]]-Tabla3[[#This Row],[SOLICITUD DE PEDIDO (ACTA)]]</f>
        <v>0</v>
      </c>
      <c r="H409" s="13"/>
    </row>
    <row r="410" spans="1:8" ht="15.75" customHeight="1" x14ac:dyDescent="0.3">
      <c r="A410" s="6"/>
      <c r="B410" s="7"/>
      <c r="C410" s="7"/>
      <c r="D410" s="7"/>
      <c r="E410" s="7"/>
      <c r="F410" s="7"/>
      <c r="G410" s="7">
        <f>Tabla3[[#This Row],[ENTRADA FISICA ]]-Tabla3[[#This Row],[SOLICITUD DE PEDIDO (ACTA)]]</f>
        <v>0</v>
      </c>
      <c r="H410" s="12"/>
    </row>
    <row r="411" spans="1:8" ht="15.75" customHeight="1" x14ac:dyDescent="0.3">
      <c r="A411" s="9"/>
      <c r="B411" s="10"/>
      <c r="C411" s="10"/>
      <c r="D411" s="10"/>
      <c r="E411" s="10"/>
      <c r="F411" s="10"/>
      <c r="G411" s="7">
        <f>Tabla3[[#This Row],[ENTRADA FISICA ]]-Tabla3[[#This Row],[SOLICITUD DE PEDIDO (ACTA)]]</f>
        <v>0</v>
      </c>
      <c r="H411" s="13"/>
    </row>
    <row r="412" spans="1:8" ht="15.75" customHeight="1" x14ac:dyDescent="0.3">
      <c r="A412" s="6"/>
      <c r="B412" s="7"/>
      <c r="C412" s="7"/>
      <c r="D412" s="7"/>
      <c r="E412" s="7"/>
      <c r="F412" s="7"/>
      <c r="G412" s="7">
        <f>Tabla3[[#This Row],[ENTRADA FISICA ]]-Tabla3[[#This Row],[SOLICITUD DE PEDIDO (ACTA)]]</f>
        <v>0</v>
      </c>
      <c r="H412" s="12"/>
    </row>
    <row r="413" spans="1:8" ht="15.75" customHeight="1" x14ac:dyDescent="0.3">
      <c r="A413" s="9"/>
      <c r="B413" s="10"/>
      <c r="C413" s="10"/>
      <c r="D413" s="10"/>
      <c r="E413" s="10"/>
      <c r="F413" s="10"/>
      <c r="G413" s="7">
        <f>Tabla3[[#This Row],[ENTRADA FISICA ]]-Tabla3[[#This Row],[SOLICITUD DE PEDIDO (ACTA)]]</f>
        <v>0</v>
      </c>
      <c r="H413" s="13"/>
    </row>
    <row r="414" spans="1:8" ht="15.75" customHeight="1" x14ac:dyDescent="0.3">
      <c r="A414" s="6"/>
      <c r="B414" s="7"/>
      <c r="C414" s="7"/>
      <c r="D414" s="7"/>
      <c r="E414" s="7"/>
      <c r="F414" s="7"/>
      <c r="G414" s="7">
        <f>Tabla3[[#This Row],[ENTRADA FISICA ]]-Tabla3[[#This Row],[SOLICITUD DE PEDIDO (ACTA)]]</f>
        <v>0</v>
      </c>
      <c r="H414" s="12"/>
    </row>
    <row r="415" spans="1:8" ht="15.75" customHeight="1" x14ac:dyDescent="0.3">
      <c r="A415" s="9"/>
      <c r="B415" s="10"/>
      <c r="C415" s="10"/>
      <c r="D415" s="10"/>
      <c r="E415" s="10"/>
      <c r="F415" s="10"/>
      <c r="G415" s="7">
        <f>Tabla3[[#This Row],[ENTRADA FISICA ]]-Tabla3[[#This Row],[SOLICITUD DE PEDIDO (ACTA)]]</f>
        <v>0</v>
      </c>
      <c r="H415" s="13"/>
    </row>
    <row r="416" spans="1:8" ht="15.75" customHeight="1" x14ac:dyDescent="0.3">
      <c r="A416" s="6"/>
      <c r="B416" s="7"/>
      <c r="C416" s="7"/>
      <c r="D416" s="7"/>
      <c r="E416" s="7"/>
      <c r="F416" s="7"/>
      <c r="G416" s="7">
        <f>Tabla3[[#This Row],[ENTRADA FISICA ]]-Tabla3[[#This Row],[SOLICITUD DE PEDIDO (ACTA)]]</f>
        <v>0</v>
      </c>
      <c r="H416" s="12"/>
    </row>
    <row r="417" spans="1:8" ht="15.75" customHeight="1" x14ac:dyDescent="0.3">
      <c r="A417" s="9"/>
      <c r="B417" s="10"/>
      <c r="C417" s="10"/>
      <c r="D417" s="10"/>
      <c r="E417" s="10"/>
      <c r="F417" s="10"/>
      <c r="G417" s="7">
        <f>Tabla3[[#This Row],[ENTRADA FISICA ]]-Tabla3[[#This Row],[SOLICITUD DE PEDIDO (ACTA)]]</f>
        <v>0</v>
      </c>
      <c r="H417" s="13"/>
    </row>
    <row r="418" spans="1:8" ht="15.75" customHeight="1" x14ac:dyDescent="0.3">
      <c r="A418" s="6"/>
      <c r="B418" s="7"/>
      <c r="C418" s="7"/>
      <c r="D418" s="7"/>
      <c r="E418" s="7"/>
      <c r="F418" s="7"/>
      <c r="G418" s="7">
        <f>Tabla3[[#This Row],[ENTRADA FISICA ]]-Tabla3[[#This Row],[SOLICITUD DE PEDIDO (ACTA)]]</f>
        <v>0</v>
      </c>
      <c r="H418" s="12"/>
    </row>
    <row r="419" spans="1:8" ht="15.75" customHeight="1" x14ac:dyDescent="0.3">
      <c r="A419" s="9"/>
      <c r="B419" s="10"/>
      <c r="C419" s="10"/>
      <c r="D419" s="10"/>
      <c r="E419" s="10"/>
      <c r="F419" s="10"/>
      <c r="G419" s="7">
        <f>Tabla3[[#This Row],[ENTRADA FISICA ]]-Tabla3[[#This Row],[SOLICITUD DE PEDIDO (ACTA)]]</f>
        <v>0</v>
      </c>
      <c r="H419" s="13"/>
    </row>
    <row r="420" spans="1:8" ht="15.75" customHeight="1" x14ac:dyDescent="0.3">
      <c r="A420" s="6"/>
      <c r="B420" s="7"/>
      <c r="C420" s="7"/>
      <c r="D420" s="7"/>
      <c r="E420" s="7"/>
      <c r="F420" s="7"/>
      <c r="G420" s="7">
        <f>Tabla3[[#This Row],[ENTRADA FISICA ]]-Tabla3[[#This Row],[SOLICITUD DE PEDIDO (ACTA)]]</f>
        <v>0</v>
      </c>
      <c r="H420" s="12"/>
    </row>
    <row r="421" spans="1:8" ht="15.75" customHeight="1" x14ac:dyDescent="0.3">
      <c r="A421" s="9"/>
      <c r="B421" s="10"/>
      <c r="C421" s="10"/>
      <c r="D421" s="10"/>
      <c r="E421" s="10"/>
      <c r="F421" s="10"/>
      <c r="G421" s="7">
        <f>Tabla3[[#This Row],[ENTRADA FISICA ]]-Tabla3[[#This Row],[SOLICITUD DE PEDIDO (ACTA)]]</f>
        <v>0</v>
      </c>
      <c r="H421" s="13"/>
    </row>
    <row r="422" spans="1:8" ht="15.75" customHeight="1" x14ac:dyDescent="0.3">
      <c r="A422" s="6"/>
      <c r="B422" s="7"/>
      <c r="C422" s="7"/>
      <c r="D422" s="7"/>
      <c r="E422" s="7"/>
      <c r="F422" s="7"/>
      <c r="G422" s="7">
        <f>Tabla3[[#This Row],[ENTRADA FISICA ]]-Tabla3[[#This Row],[SOLICITUD DE PEDIDO (ACTA)]]</f>
        <v>0</v>
      </c>
      <c r="H422" s="12"/>
    </row>
    <row r="423" spans="1:8" ht="15.75" customHeight="1" x14ac:dyDescent="0.3">
      <c r="A423" s="9"/>
      <c r="B423" s="10"/>
      <c r="C423" s="10"/>
      <c r="D423" s="10"/>
      <c r="E423" s="10"/>
      <c r="F423" s="10"/>
      <c r="G423" s="7">
        <f>Tabla3[[#This Row],[ENTRADA FISICA ]]-Tabla3[[#This Row],[SOLICITUD DE PEDIDO (ACTA)]]</f>
        <v>0</v>
      </c>
      <c r="H423" s="13"/>
    </row>
    <row r="424" spans="1:8" ht="15.75" customHeight="1" x14ac:dyDescent="0.3">
      <c r="A424" s="6"/>
      <c r="B424" s="7"/>
      <c r="C424" s="7"/>
      <c r="D424" s="7"/>
      <c r="E424" s="7"/>
      <c r="F424" s="7"/>
      <c r="G424" s="7">
        <f>Tabla3[[#This Row],[ENTRADA FISICA ]]-Tabla3[[#This Row],[SOLICITUD DE PEDIDO (ACTA)]]</f>
        <v>0</v>
      </c>
      <c r="H424" s="12"/>
    </row>
    <row r="425" spans="1:8" ht="15.75" customHeight="1" x14ac:dyDescent="0.3">
      <c r="A425" s="9"/>
      <c r="B425" s="10"/>
      <c r="C425" s="10"/>
      <c r="D425" s="10"/>
      <c r="E425" s="10"/>
      <c r="F425" s="10"/>
      <c r="G425" s="7">
        <f>Tabla3[[#This Row],[ENTRADA FISICA ]]-Tabla3[[#This Row],[SOLICITUD DE PEDIDO (ACTA)]]</f>
        <v>0</v>
      </c>
      <c r="H425" s="13"/>
    </row>
    <row r="426" spans="1:8" ht="15.75" customHeight="1" x14ac:dyDescent="0.3">
      <c r="A426" s="6"/>
      <c r="B426" s="7"/>
      <c r="C426" s="7"/>
      <c r="D426" s="7"/>
      <c r="E426" s="7"/>
      <c r="F426" s="7"/>
      <c r="G426" s="7">
        <f>Tabla3[[#This Row],[ENTRADA FISICA ]]-Tabla3[[#This Row],[SOLICITUD DE PEDIDO (ACTA)]]</f>
        <v>0</v>
      </c>
      <c r="H426" s="12"/>
    </row>
    <row r="427" spans="1:8" ht="15.75" customHeight="1" x14ac:dyDescent="0.3">
      <c r="A427" s="9"/>
      <c r="B427" s="10"/>
      <c r="C427" s="10"/>
      <c r="D427" s="10"/>
      <c r="E427" s="10"/>
      <c r="F427" s="10"/>
      <c r="G427" s="7">
        <f>Tabla3[[#This Row],[ENTRADA FISICA ]]-Tabla3[[#This Row],[SOLICITUD DE PEDIDO (ACTA)]]</f>
        <v>0</v>
      </c>
      <c r="H427" s="13"/>
    </row>
    <row r="428" spans="1:8" ht="15.75" customHeight="1" x14ac:dyDescent="0.3">
      <c r="A428" s="6"/>
      <c r="B428" s="7"/>
      <c r="C428" s="7"/>
      <c r="D428" s="7"/>
      <c r="E428" s="7"/>
      <c r="F428" s="7"/>
      <c r="G428" s="7">
        <f>Tabla3[[#This Row],[ENTRADA FISICA ]]-Tabla3[[#This Row],[SOLICITUD DE PEDIDO (ACTA)]]</f>
        <v>0</v>
      </c>
      <c r="H428" s="12"/>
    </row>
    <row r="429" spans="1:8" ht="15.75" customHeight="1" x14ac:dyDescent="0.3">
      <c r="A429" s="9"/>
      <c r="B429" s="10"/>
      <c r="C429" s="10"/>
      <c r="D429" s="10"/>
      <c r="E429" s="10"/>
      <c r="F429" s="10"/>
      <c r="G429" s="7">
        <f>Tabla3[[#This Row],[ENTRADA FISICA ]]-Tabla3[[#This Row],[SOLICITUD DE PEDIDO (ACTA)]]</f>
        <v>0</v>
      </c>
      <c r="H429" s="13"/>
    </row>
    <row r="430" spans="1:8" ht="15.75" customHeight="1" x14ac:dyDescent="0.3">
      <c r="A430" s="6"/>
      <c r="B430" s="7"/>
      <c r="C430" s="7"/>
      <c r="D430" s="7"/>
      <c r="E430" s="7"/>
      <c r="F430" s="7"/>
      <c r="G430" s="7">
        <f>Tabla3[[#This Row],[ENTRADA FISICA ]]-Tabla3[[#This Row],[SOLICITUD DE PEDIDO (ACTA)]]</f>
        <v>0</v>
      </c>
      <c r="H430" s="12"/>
    </row>
    <row r="431" spans="1:8" ht="15.75" customHeight="1" x14ac:dyDescent="0.3">
      <c r="A431" s="9"/>
      <c r="B431" s="10"/>
      <c r="C431" s="10"/>
      <c r="D431" s="10"/>
      <c r="E431" s="10"/>
      <c r="F431" s="10"/>
      <c r="G431" s="7">
        <f>Tabla3[[#This Row],[ENTRADA FISICA ]]-Tabla3[[#This Row],[SOLICITUD DE PEDIDO (ACTA)]]</f>
        <v>0</v>
      </c>
      <c r="H431" s="13"/>
    </row>
    <row r="432" spans="1:8" ht="15.75" customHeight="1" x14ac:dyDescent="0.3">
      <c r="A432" s="6"/>
      <c r="B432" s="7"/>
      <c r="C432" s="7"/>
      <c r="D432" s="7"/>
      <c r="E432" s="7"/>
      <c r="F432" s="7"/>
      <c r="G432" s="7">
        <f>Tabla3[[#This Row],[ENTRADA FISICA ]]-Tabla3[[#This Row],[SOLICITUD DE PEDIDO (ACTA)]]</f>
        <v>0</v>
      </c>
      <c r="H432" s="12"/>
    </row>
    <row r="433" spans="1:8" ht="15.75" customHeight="1" x14ac:dyDescent="0.3">
      <c r="A433" s="9"/>
      <c r="B433" s="10"/>
      <c r="C433" s="10"/>
      <c r="D433" s="10"/>
      <c r="E433" s="10"/>
      <c r="F433" s="10"/>
      <c r="G433" s="7">
        <f>Tabla3[[#This Row],[ENTRADA FISICA ]]-Tabla3[[#This Row],[SOLICITUD DE PEDIDO (ACTA)]]</f>
        <v>0</v>
      </c>
      <c r="H433" s="13"/>
    </row>
    <row r="434" spans="1:8" ht="15.75" customHeight="1" x14ac:dyDescent="0.3">
      <c r="A434" s="6"/>
      <c r="B434" s="7"/>
      <c r="C434" s="7"/>
      <c r="D434" s="7"/>
      <c r="E434" s="7"/>
      <c r="F434" s="7"/>
      <c r="G434" s="7">
        <f>Tabla3[[#This Row],[ENTRADA FISICA ]]-Tabla3[[#This Row],[SOLICITUD DE PEDIDO (ACTA)]]</f>
        <v>0</v>
      </c>
      <c r="H434" s="12"/>
    </row>
    <row r="435" spans="1:8" ht="15.75" customHeight="1" x14ac:dyDescent="0.3">
      <c r="A435" s="9"/>
      <c r="B435" s="10"/>
      <c r="C435" s="10"/>
      <c r="D435" s="10"/>
      <c r="E435" s="10"/>
      <c r="F435" s="10"/>
      <c r="G435" s="7">
        <f>Tabla3[[#This Row],[ENTRADA FISICA ]]-Tabla3[[#This Row],[SOLICITUD DE PEDIDO (ACTA)]]</f>
        <v>0</v>
      </c>
      <c r="H435" s="13"/>
    </row>
    <row r="436" spans="1:8" ht="15.75" customHeight="1" x14ac:dyDescent="0.3">
      <c r="A436" s="6"/>
      <c r="B436" s="7"/>
      <c r="C436" s="7"/>
      <c r="D436" s="7"/>
      <c r="E436" s="7"/>
      <c r="F436" s="7"/>
      <c r="G436" s="7">
        <f>Tabla3[[#This Row],[ENTRADA FISICA ]]-Tabla3[[#This Row],[SOLICITUD DE PEDIDO (ACTA)]]</f>
        <v>0</v>
      </c>
      <c r="H436" s="12"/>
    </row>
    <row r="437" spans="1:8" ht="15.75" customHeight="1" x14ac:dyDescent="0.3">
      <c r="A437" s="9"/>
      <c r="B437" s="10"/>
      <c r="C437" s="10"/>
      <c r="D437" s="10"/>
      <c r="E437" s="10"/>
      <c r="F437" s="10"/>
      <c r="G437" s="7">
        <f>Tabla3[[#This Row],[ENTRADA FISICA ]]-Tabla3[[#This Row],[SOLICITUD DE PEDIDO (ACTA)]]</f>
        <v>0</v>
      </c>
      <c r="H437" s="13"/>
    </row>
    <row r="438" spans="1:8" ht="15.75" customHeight="1" x14ac:dyDescent="0.3">
      <c r="A438" s="6"/>
      <c r="B438" s="7"/>
      <c r="C438" s="7"/>
      <c r="D438" s="7"/>
      <c r="E438" s="7"/>
      <c r="F438" s="7"/>
      <c r="G438" s="7">
        <f>Tabla3[[#This Row],[ENTRADA FISICA ]]-Tabla3[[#This Row],[SOLICITUD DE PEDIDO (ACTA)]]</f>
        <v>0</v>
      </c>
      <c r="H438" s="12"/>
    </row>
    <row r="439" spans="1:8" ht="15.75" customHeight="1" x14ac:dyDescent="0.3">
      <c r="A439" s="9"/>
      <c r="B439" s="10"/>
      <c r="C439" s="10"/>
      <c r="D439" s="10"/>
      <c r="E439" s="10"/>
      <c r="F439" s="10"/>
      <c r="G439" s="7">
        <f>Tabla3[[#This Row],[ENTRADA FISICA ]]-Tabla3[[#This Row],[SOLICITUD DE PEDIDO (ACTA)]]</f>
        <v>0</v>
      </c>
      <c r="H439" s="13"/>
    </row>
    <row r="440" spans="1:8" ht="15.75" customHeight="1" x14ac:dyDescent="0.3">
      <c r="A440" s="6"/>
      <c r="B440" s="7"/>
      <c r="C440" s="7"/>
      <c r="D440" s="7"/>
      <c r="E440" s="7"/>
      <c r="F440" s="7"/>
      <c r="G440" s="7">
        <f>Tabla3[[#This Row],[ENTRADA FISICA ]]-Tabla3[[#This Row],[SOLICITUD DE PEDIDO (ACTA)]]</f>
        <v>0</v>
      </c>
      <c r="H440" s="12"/>
    </row>
    <row r="441" spans="1:8" ht="15.75" customHeight="1" x14ac:dyDescent="0.3">
      <c r="A441" s="9"/>
      <c r="B441" s="10"/>
      <c r="C441" s="10"/>
      <c r="D441" s="10"/>
      <c r="E441" s="10"/>
      <c r="F441" s="10"/>
      <c r="G441" s="7">
        <f>Tabla3[[#This Row],[ENTRADA FISICA ]]-Tabla3[[#This Row],[SOLICITUD DE PEDIDO (ACTA)]]</f>
        <v>0</v>
      </c>
      <c r="H441" s="13"/>
    </row>
    <row r="442" spans="1:8" ht="15.75" customHeight="1" x14ac:dyDescent="0.3">
      <c r="A442" s="6"/>
      <c r="B442" s="7"/>
      <c r="C442" s="7"/>
      <c r="D442" s="7"/>
      <c r="E442" s="7"/>
      <c r="F442" s="7"/>
      <c r="G442" s="7">
        <f>Tabla3[[#This Row],[ENTRADA FISICA ]]-Tabla3[[#This Row],[SOLICITUD DE PEDIDO (ACTA)]]</f>
        <v>0</v>
      </c>
      <c r="H442" s="12"/>
    </row>
    <row r="443" spans="1:8" ht="15.75" customHeight="1" x14ac:dyDescent="0.3">
      <c r="A443" s="9"/>
      <c r="B443" s="10"/>
      <c r="C443" s="10"/>
      <c r="D443" s="10"/>
      <c r="E443" s="10"/>
      <c r="F443" s="10"/>
      <c r="G443" s="7">
        <f>Tabla3[[#This Row],[ENTRADA FISICA ]]-Tabla3[[#This Row],[SOLICITUD DE PEDIDO (ACTA)]]</f>
        <v>0</v>
      </c>
      <c r="H443" s="13"/>
    </row>
    <row r="444" spans="1:8" ht="15.75" customHeight="1" x14ac:dyDescent="0.3">
      <c r="A444" s="6"/>
      <c r="B444" s="7"/>
      <c r="C444" s="7"/>
      <c r="D444" s="7"/>
      <c r="E444" s="7"/>
      <c r="F444" s="7"/>
      <c r="G444" s="7">
        <f>Tabla3[[#This Row],[ENTRADA FISICA ]]-Tabla3[[#This Row],[SOLICITUD DE PEDIDO (ACTA)]]</f>
        <v>0</v>
      </c>
      <c r="H444" s="12"/>
    </row>
    <row r="445" spans="1:8" ht="15.75" customHeight="1" x14ac:dyDescent="0.3">
      <c r="A445" s="9"/>
      <c r="B445" s="10"/>
      <c r="C445" s="10"/>
      <c r="D445" s="10"/>
      <c r="E445" s="10"/>
      <c r="F445" s="10"/>
      <c r="G445" s="7">
        <f>Tabla3[[#This Row],[ENTRADA FISICA ]]-Tabla3[[#This Row],[SOLICITUD DE PEDIDO (ACTA)]]</f>
        <v>0</v>
      </c>
      <c r="H445" s="13"/>
    </row>
    <row r="446" spans="1:8" ht="15.75" customHeight="1" x14ac:dyDescent="0.3">
      <c r="A446" s="6"/>
      <c r="B446" s="7"/>
      <c r="C446" s="7"/>
      <c r="D446" s="7"/>
      <c r="E446" s="7"/>
      <c r="F446" s="7"/>
      <c r="G446" s="7">
        <f>Tabla3[[#This Row],[ENTRADA FISICA ]]-Tabla3[[#This Row],[SOLICITUD DE PEDIDO (ACTA)]]</f>
        <v>0</v>
      </c>
      <c r="H446" s="12"/>
    </row>
    <row r="447" spans="1:8" ht="15.75" customHeight="1" x14ac:dyDescent="0.3">
      <c r="A447" s="9"/>
      <c r="B447" s="10"/>
      <c r="C447" s="10"/>
      <c r="D447" s="10"/>
      <c r="E447" s="10"/>
      <c r="F447" s="10"/>
      <c r="G447" s="7">
        <f>Tabla3[[#This Row],[ENTRADA FISICA ]]-Tabla3[[#This Row],[SOLICITUD DE PEDIDO (ACTA)]]</f>
        <v>0</v>
      </c>
      <c r="H447" s="13"/>
    </row>
    <row r="448" spans="1:8" ht="15.75" customHeight="1" x14ac:dyDescent="0.3">
      <c r="A448" s="6"/>
      <c r="B448" s="7"/>
      <c r="C448" s="7"/>
      <c r="D448" s="7"/>
      <c r="E448" s="7"/>
      <c r="F448" s="7"/>
      <c r="G448" s="7">
        <f>Tabla3[[#This Row],[ENTRADA FISICA ]]-Tabla3[[#This Row],[SOLICITUD DE PEDIDO (ACTA)]]</f>
        <v>0</v>
      </c>
      <c r="H448" s="12"/>
    </row>
    <row r="449" spans="1:8" ht="15.75" customHeight="1" x14ac:dyDescent="0.3">
      <c r="A449" s="9"/>
      <c r="B449" s="10"/>
      <c r="C449" s="10"/>
      <c r="D449" s="10"/>
      <c r="E449" s="10"/>
      <c r="F449" s="10"/>
      <c r="G449" s="7">
        <f>Tabla3[[#This Row],[ENTRADA FISICA ]]-Tabla3[[#This Row],[SOLICITUD DE PEDIDO (ACTA)]]</f>
        <v>0</v>
      </c>
      <c r="H449" s="13"/>
    </row>
    <row r="450" spans="1:8" ht="15.75" customHeight="1" x14ac:dyDescent="0.3">
      <c r="A450" s="6"/>
      <c r="B450" s="7"/>
      <c r="C450" s="7"/>
      <c r="D450" s="7"/>
      <c r="E450" s="7"/>
      <c r="F450" s="7"/>
      <c r="G450" s="7">
        <f>Tabla3[[#This Row],[ENTRADA FISICA ]]-Tabla3[[#This Row],[SOLICITUD DE PEDIDO (ACTA)]]</f>
        <v>0</v>
      </c>
      <c r="H450" s="12"/>
    </row>
    <row r="451" spans="1:8" ht="15.75" customHeight="1" x14ac:dyDescent="0.3">
      <c r="A451" s="9"/>
      <c r="B451" s="10"/>
      <c r="C451" s="10"/>
      <c r="D451" s="10"/>
      <c r="E451" s="10"/>
      <c r="F451" s="10"/>
      <c r="G451" s="7">
        <f>Tabla3[[#This Row],[ENTRADA FISICA ]]-Tabla3[[#This Row],[SOLICITUD DE PEDIDO (ACTA)]]</f>
        <v>0</v>
      </c>
      <c r="H451" s="13"/>
    </row>
    <row r="452" spans="1:8" ht="15.75" customHeight="1" x14ac:dyDescent="0.3">
      <c r="A452" s="6"/>
      <c r="B452" s="7"/>
      <c r="C452" s="7"/>
      <c r="D452" s="7"/>
      <c r="E452" s="7"/>
      <c r="F452" s="7"/>
      <c r="G452" s="7">
        <f>Tabla3[[#This Row],[ENTRADA FISICA ]]-Tabla3[[#This Row],[SOLICITUD DE PEDIDO (ACTA)]]</f>
        <v>0</v>
      </c>
      <c r="H452" s="12"/>
    </row>
    <row r="453" spans="1:8" ht="15.75" customHeight="1" x14ac:dyDescent="0.3">
      <c r="A453" s="9"/>
      <c r="B453" s="10"/>
      <c r="C453" s="10"/>
      <c r="D453" s="10"/>
      <c r="E453" s="10"/>
      <c r="F453" s="10"/>
      <c r="G453" s="7">
        <f>Tabla3[[#This Row],[ENTRADA FISICA ]]-Tabla3[[#This Row],[SOLICITUD DE PEDIDO (ACTA)]]</f>
        <v>0</v>
      </c>
      <c r="H453" s="13"/>
    </row>
    <row r="454" spans="1:8" ht="15.75" customHeight="1" x14ac:dyDescent="0.3">
      <c r="A454" s="6"/>
      <c r="B454" s="7"/>
      <c r="C454" s="7"/>
      <c r="D454" s="7"/>
      <c r="E454" s="7"/>
      <c r="F454" s="7"/>
      <c r="G454" s="7">
        <f>Tabla3[[#This Row],[ENTRADA FISICA ]]-Tabla3[[#This Row],[SOLICITUD DE PEDIDO (ACTA)]]</f>
        <v>0</v>
      </c>
      <c r="H454" s="12"/>
    </row>
    <row r="455" spans="1:8" ht="15.75" customHeight="1" x14ac:dyDescent="0.3">
      <c r="A455" s="9"/>
      <c r="B455" s="10"/>
      <c r="C455" s="10"/>
      <c r="D455" s="10"/>
      <c r="E455" s="10"/>
      <c r="F455" s="10"/>
      <c r="G455" s="7">
        <f>Tabla3[[#This Row],[ENTRADA FISICA ]]-Tabla3[[#This Row],[SOLICITUD DE PEDIDO (ACTA)]]</f>
        <v>0</v>
      </c>
      <c r="H455" s="13"/>
    </row>
    <row r="456" spans="1:8" ht="15.75" customHeight="1" x14ac:dyDescent="0.3">
      <c r="A456" s="6"/>
      <c r="B456" s="7"/>
      <c r="C456" s="7"/>
      <c r="D456" s="7"/>
      <c r="E456" s="7"/>
      <c r="F456" s="7"/>
      <c r="G456" s="7">
        <f>Tabla3[[#This Row],[ENTRADA FISICA ]]-Tabla3[[#This Row],[SOLICITUD DE PEDIDO (ACTA)]]</f>
        <v>0</v>
      </c>
      <c r="H456" s="12"/>
    </row>
    <row r="457" spans="1:8" ht="15.75" customHeight="1" x14ac:dyDescent="0.3">
      <c r="A457" s="9"/>
      <c r="B457" s="10"/>
      <c r="C457" s="10"/>
      <c r="D457" s="10"/>
      <c r="E457" s="10"/>
      <c r="F457" s="10"/>
      <c r="G457" s="7">
        <f>Tabla3[[#This Row],[ENTRADA FISICA ]]-Tabla3[[#This Row],[SOLICITUD DE PEDIDO (ACTA)]]</f>
        <v>0</v>
      </c>
      <c r="H457" s="13"/>
    </row>
    <row r="458" spans="1:8" ht="15.75" customHeight="1" x14ac:dyDescent="0.3">
      <c r="A458" s="6"/>
      <c r="B458" s="7"/>
      <c r="C458" s="7"/>
      <c r="D458" s="7"/>
      <c r="E458" s="7"/>
      <c r="F458" s="7"/>
      <c r="G458" s="7">
        <f>Tabla3[[#This Row],[ENTRADA FISICA ]]-Tabla3[[#This Row],[SOLICITUD DE PEDIDO (ACTA)]]</f>
        <v>0</v>
      </c>
      <c r="H458" s="12"/>
    </row>
    <row r="459" spans="1:8" ht="15.75" customHeight="1" x14ac:dyDescent="0.3">
      <c r="A459" s="9"/>
      <c r="B459" s="10"/>
      <c r="C459" s="10"/>
      <c r="D459" s="10"/>
      <c r="E459" s="10"/>
      <c r="F459" s="10"/>
      <c r="G459" s="7">
        <f>Tabla3[[#This Row],[ENTRADA FISICA ]]-Tabla3[[#This Row],[SOLICITUD DE PEDIDO (ACTA)]]</f>
        <v>0</v>
      </c>
      <c r="H459" s="13"/>
    </row>
    <row r="460" spans="1:8" ht="15.75" customHeight="1" x14ac:dyDescent="0.3">
      <c r="A460" s="6"/>
      <c r="B460" s="7"/>
      <c r="C460" s="7"/>
      <c r="D460" s="7"/>
      <c r="E460" s="7"/>
      <c r="F460" s="7"/>
      <c r="G460" s="7">
        <f>Tabla3[[#This Row],[ENTRADA FISICA ]]-Tabla3[[#This Row],[SOLICITUD DE PEDIDO (ACTA)]]</f>
        <v>0</v>
      </c>
      <c r="H460" s="12"/>
    </row>
    <row r="461" spans="1:8" ht="15.75" customHeight="1" x14ac:dyDescent="0.3">
      <c r="A461" s="9"/>
      <c r="B461" s="10"/>
      <c r="C461" s="10"/>
      <c r="D461" s="10"/>
      <c r="E461" s="10"/>
      <c r="F461" s="10"/>
      <c r="G461" s="7">
        <f>Tabla3[[#This Row],[ENTRADA FISICA ]]-Tabla3[[#This Row],[SOLICITUD DE PEDIDO (ACTA)]]</f>
        <v>0</v>
      </c>
      <c r="H461" s="13"/>
    </row>
    <row r="462" spans="1:8" ht="15.75" customHeight="1" x14ac:dyDescent="0.3">
      <c r="A462" s="6"/>
      <c r="B462" s="7"/>
      <c r="C462" s="7"/>
      <c r="D462" s="7"/>
      <c r="E462" s="7"/>
      <c r="F462" s="7"/>
      <c r="G462" s="7">
        <f>Tabla3[[#This Row],[ENTRADA FISICA ]]-Tabla3[[#This Row],[SOLICITUD DE PEDIDO (ACTA)]]</f>
        <v>0</v>
      </c>
      <c r="H462" s="12"/>
    </row>
    <row r="463" spans="1:8" ht="15.75" customHeight="1" x14ac:dyDescent="0.3">
      <c r="A463" s="9"/>
      <c r="B463" s="10"/>
      <c r="C463" s="10"/>
      <c r="D463" s="10"/>
      <c r="E463" s="10"/>
      <c r="F463" s="10"/>
      <c r="G463" s="7">
        <f>Tabla3[[#This Row],[ENTRADA FISICA ]]-Tabla3[[#This Row],[SOLICITUD DE PEDIDO (ACTA)]]</f>
        <v>0</v>
      </c>
      <c r="H463" s="13"/>
    </row>
    <row r="464" spans="1:8" ht="15.75" customHeight="1" x14ac:dyDescent="0.3">
      <c r="A464" s="6"/>
      <c r="B464" s="7"/>
      <c r="C464" s="7"/>
      <c r="D464" s="7"/>
      <c r="E464" s="7"/>
      <c r="F464" s="7"/>
      <c r="G464" s="7">
        <f>Tabla3[[#This Row],[ENTRADA FISICA ]]-Tabla3[[#This Row],[SOLICITUD DE PEDIDO (ACTA)]]</f>
        <v>0</v>
      </c>
      <c r="H464" s="12"/>
    </row>
    <row r="465" spans="1:8" ht="15.75" customHeight="1" x14ac:dyDescent="0.3">
      <c r="A465" s="142"/>
      <c r="B465" s="144"/>
      <c r="C465" s="144"/>
      <c r="D465" s="150"/>
      <c r="E465" s="144"/>
      <c r="F465" s="144"/>
      <c r="G465" s="7">
        <f>Tabla3[[#This Row],[ENTRADA FISICA ]]-Tabla3[[#This Row],[SOLICITUD DE PEDIDO (ACTA)]]</f>
        <v>0</v>
      </c>
      <c r="H465" s="13"/>
    </row>
    <row r="466" spans="1:8" ht="15.75" customHeight="1" x14ac:dyDescent="0.3">
      <c r="A466" s="143"/>
      <c r="B466" s="147"/>
      <c r="C466" s="147"/>
      <c r="D466" s="147"/>
      <c r="E466" s="147"/>
      <c r="F466" s="147"/>
      <c r="G466" s="7">
        <f>Tabla3[[#This Row],[ENTRADA FISICA ]]-Tabla3[[#This Row],[SOLICITUD DE PEDIDO (ACTA)]]</f>
        <v>0</v>
      </c>
      <c r="H466" s="12"/>
    </row>
    <row r="467" spans="1:8" ht="15.75" customHeight="1" x14ac:dyDescent="0.3">
      <c r="A467" s="142"/>
      <c r="B467" s="144"/>
      <c r="C467" s="144"/>
      <c r="D467" s="144"/>
      <c r="E467" s="144"/>
      <c r="F467" s="144"/>
      <c r="G467" s="7">
        <f>Tabla3[[#This Row],[ENTRADA FISICA ]]-Tabla3[[#This Row],[SOLICITUD DE PEDIDO (ACTA)]]</f>
        <v>0</v>
      </c>
      <c r="H467" s="13"/>
    </row>
    <row r="468" spans="1:8" ht="15.75" customHeight="1" x14ac:dyDescent="0.3">
      <c r="A468" s="143"/>
      <c r="B468" s="147"/>
      <c r="C468" s="147"/>
      <c r="D468" s="147"/>
      <c r="E468" s="147"/>
      <c r="F468" s="147"/>
      <c r="G468" s="7">
        <f>Tabla3[[#This Row],[ENTRADA FISICA ]]-Tabla3[[#This Row],[SOLICITUD DE PEDIDO (ACTA)]]</f>
        <v>0</v>
      </c>
      <c r="H468" s="12"/>
    </row>
    <row r="469" spans="1:8" ht="15.75" customHeight="1" x14ac:dyDescent="0.3">
      <c r="A469" s="142"/>
      <c r="B469" s="144"/>
      <c r="C469" s="144"/>
      <c r="D469" s="144"/>
      <c r="E469" s="144"/>
      <c r="F469" s="144"/>
      <c r="G469" s="7">
        <f>Tabla3[[#This Row],[ENTRADA FISICA ]]-Tabla3[[#This Row],[SOLICITUD DE PEDIDO (ACTA)]]</f>
        <v>0</v>
      </c>
      <c r="H469" s="13"/>
    </row>
    <row r="470" spans="1:8" ht="15.75" customHeight="1" x14ac:dyDescent="0.3">
      <c r="A470" s="143"/>
      <c r="B470" s="147"/>
      <c r="C470" s="147"/>
      <c r="D470" s="147"/>
      <c r="E470" s="147"/>
      <c r="F470" s="147"/>
      <c r="G470" s="7">
        <f>Tabla3[[#This Row],[ENTRADA FISICA ]]-Tabla3[[#This Row],[SOLICITUD DE PEDIDO (ACTA)]]</f>
        <v>0</v>
      </c>
      <c r="H470" s="12"/>
    </row>
    <row r="471" spans="1:8" ht="15.75" customHeight="1" x14ac:dyDescent="0.3">
      <c r="A471" s="142"/>
      <c r="B471" s="144"/>
      <c r="C471" s="144"/>
      <c r="D471" s="144"/>
      <c r="E471" s="144"/>
      <c r="F471" s="144"/>
      <c r="G471" s="7">
        <f>Tabla3[[#This Row],[ENTRADA FISICA ]]-Tabla3[[#This Row],[SOLICITUD DE PEDIDO (ACTA)]]</f>
        <v>0</v>
      </c>
      <c r="H471" s="13"/>
    </row>
    <row r="472" spans="1:8" ht="15.75" customHeight="1" x14ac:dyDescent="0.3">
      <c r="A472" s="143"/>
      <c r="B472" s="147"/>
      <c r="C472" s="147"/>
      <c r="D472" s="147"/>
      <c r="E472" s="147"/>
      <c r="F472" s="147"/>
      <c r="G472" s="7">
        <f>Tabla3[[#This Row],[ENTRADA FISICA ]]-Tabla3[[#This Row],[SOLICITUD DE PEDIDO (ACTA)]]</f>
        <v>0</v>
      </c>
      <c r="H472" s="12"/>
    </row>
    <row r="473" spans="1:8" ht="15.75" customHeight="1" x14ac:dyDescent="0.3">
      <c r="A473" s="142"/>
      <c r="B473" s="144"/>
      <c r="C473" s="144"/>
      <c r="D473" s="144"/>
      <c r="E473" s="144"/>
      <c r="F473" s="144"/>
      <c r="G473" s="7">
        <f>Tabla3[[#This Row],[ENTRADA FISICA ]]-Tabla3[[#This Row],[SOLICITUD DE PEDIDO (ACTA)]]</f>
        <v>0</v>
      </c>
      <c r="H473" s="13"/>
    </row>
    <row r="474" spans="1:8" ht="15.75" customHeight="1" x14ac:dyDescent="0.3">
      <c r="A474" s="143"/>
      <c r="B474" s="147"/>
      <c r="C474" s="147"/>
      <c r="D474" s="147"/>
      <c r="E474" s="147"/>
      <c r="F474" s="147"/>
      <c r="G474" s="7">
        <f>Tabla3[[#This Row],[ENTRADA FISICA ]]-Tabla3[[#This Row],[SOLICITUD DE PEDIDO (ACTA)]]</f>
        <v>0</v>
      </c>
      <c r="H474" s="12"/>
    </row>
    <row r="475" spans="1:8" ht="15.75" customHeight="1" x14ac:dyDescent="0.3">
      <c r="A475" s="142"/>
      <c r="B475" s="144"/>
      <c r="C475" s="144"/>
      <c r="D475" s="144"/>
      <c r="E475" s="144"/>
      <c r="F475" s="144"/>
      <c r="G475" s="7">
        <f>Tabla3[[#This Row],[ENTRADA FISICA ]]-Tabla3[[#This Row],[SOLICITUD DE PEDIDO (ACTA)]]</f>
        <v>0</v>
      </c>
      <c r="H475" s="13"/>
    </row>
    <row r="476" spans="1:8" ht="15.75" customHeight="1" x14ac:dyDescent="0.3">
      <c r="A476" s="143"/>
      <c r="B476" s="147"/>
      <c r="C476" s="147"/>
      <c r="D476" s="147"/>
      <c r="E476" s="147"/>
      <c r="F476" s="147"/>
      <c r="G476" s="7">
        <f>Tabla3[[#This Row],[ENTRADA FISICA ]]-Tabla3[[#This Row],[SOLICITUD DE PEDIDO (ACTA)]]</f>
        <v>0</v>
      </c>
      <c r="H476" s="12"/>
    </row>
    <row r="477" spans="1:8" ht="15.75" customHeight="1" x14ac:dyDescent="0.3">
      <c r="A477" s="142"/>
      <c r="B477" s="144"/>
      <c r="C477" s="144"/>
      <c r="D477" s="144"/>
      <c r="E477" s="144"/>
      <c r="F477" s="144"/>
      <c r="G477" s="7">
        <f>Tabla3[[#This Row],[ENTRADA FISICA ]]-Tabla3[[#This Row],[SOLICITUD DE PEDIDO (ACTA)]]</f>
        <v>0</v>
      </c>
      <c r="H477" s="13"/>
    </row>
    <row r="478" spans="1:8" ht="15.75" customHeight="1" x14ac:dyDescent="0.3">
      <c r="A478" s="143"/>
      <c r="B478" s="147"/>
      <c r="C478" s="147"/>
      <c r="D478" s="147"/>
      <c r="E478" s="147"/>
      <c r="F478" s="147"/>
      <c r="G478" s="7">
        <f>Tabla3[[#This Row],[ENTRADA FISICA ]]-Tabla3[[#This Row],[SOLICITUD DE PEDIDO (ACTA)]]</f>
        <v>0</v>
      </c>
      <c r="H478" s="12"/>
    </row>
    <row r="479" spans="1:8" ht="15.75" customHeight="1" x14ac:dyDescent="0.3">
      <c r="A479" s="142"/>
      <c r="B479" s="144"/>
      <c r="C479" s="144"/>
      <c r="D479" s="144"/>
      <c r="E479" s="144"/>
      <c r="F479" s="144"/>
      <c r="G479" s="7">
        <f>Tabla3[[#This Row],[ENTRADA FISICA ]]-Tabla3[[#This Row],[SOLICITUD DE PEDIDO (ACTA)]]</f>
        <v>0</v>
      </c>
      <c r="H479" s="13"/>
    </row>
    <row r="480" spans="1:8" ht="15.75" customHeight="1" x14ac:dyDescent="0.3">
      <c r="A480" s="143"/>
      <c r="B480" s="147"/>
      <c r="C480" s="147"/>
      <c r="D480" s="147"/>
      <c r="E480" s="147"/>
      <c r="F480" s="147"/>
      <c r="G480" s="7">
        <f>Tabla3[[#This Row],[ENTRADA FISICA ]]-Tabla3[[#This Row],[SOLICITUD DE PEDIDO (ACTA)]]</f>
        <v>0</v>
      </c>
      <c r="H480" s="12"/>
    </row>
    <row r="481" spans="1:8" ht="15.75" customHeight="1" x14ac:dyDescent="0.3">
      <c r="A481" s="142"/>
      <c r="B481" s="144"/>
      <c r="C481" s="144"/>
      <c r="D481" s="144"/>
      <c r="E481" s="144"/>
      <c r="F481" s="144"/>
      <c r="G481" s="7">
        <f>Tabla3[[#This Row],[ENTRADA FISICA ]]-Tabla3[[#This Row],[SOLICITUD DE PEDIDO (ACTA)]]</f>
        <v>0</v>
      </c>
      <c r="H481" s="13"/>
    </row>
    <row r="482" spans="1:8" ht="15.75" customHeight="1" x14ac:dyDescent="0.3">
      <c r="A482" s="143"/>
      <c r="B482" s="147"/>
      <c r="C482" s="147"/>
      <c r="D482" s="147"/>
      <c r="E482" s="147"/>
      <c r="F482" s="147"/>
      <c r="G482" s="7">
        <f>Tabla3[[#This Row],[ENTRADA FISICA ]]-Tabla3[[#This Row],[SOLICITUD DE PEDIDO (ACTA)]]</f>
        <v>0</v>
      </c>
      <c r="H482" s="12"/>
    </row>
    <row r="483" spans="1:8" ht="15.75" customHeight="1" x14ac:dyDescent="0.3">
      <c r="A483" s="142"/>
      <c r="B483" s="144"/>
      <c r="C483" s="144"/>
      <c r="D483" s="144"/>
      <c r="E483" s="144"/>
      <c r="F483" s="144"/>
      <c r="G483" s="7">
        <f>Tabla3[[#This Row],[ENTRADA FISICA ]]-Tabla3[[#This Row],[SOLICITUD DE PEDIDO (ACTA)]]</f>
        <v>0</v>
      </c>
      <c r="H483" s="13"/>
    </row>
    <row r="484" spans="1:8" ht="15.75" customHeight="1" x14ac:dyDescent="0.3">
      <c r="A484" s="143"/>
      <c r="B484" s="147"/>
      <c r="C484" s="147"/>
      <c r="D484" s="147"/>
      <c r="E484" s="147"/>
      <c r="F484" s="147"/>
      <c r="G484" s="7">
        <f>Tabla3[[#This Row],[ENTRADA FISICA ]]-Tabla3[[#This Row],[SOLICITUD DE PEDIDO (ACTA)]]</f>
        <v>0</v>
      </c>
      <c r="H484" s="12"/>
    </row>
    <row r="485" spans="1:8" ht="15.75" customHeight="1" x14ac:dyDescent="0.3">
      <c r="A485" s="142"/>
      <c r="B485" s="144"/>
      <c r="C485" s="144"/>
      <c r="D485" s="144"/>
      <c r="E485" s="144"/>
      <c r="F485" s="144"/>
      <c r="G485" s="7">
        <f>Tabla3[[#This Row],[ENTRADA FISICA ]]-Tabla3[[#This Row],[SOLICITUD DE PEDIDO (ACTA)]]</f>
        <v>0</v>
      </c>
      <c r="H485" s="13"/>
    </row>
    <row r="486" spans="1:8" ht="15.75" customHeight="1" x14ac:dyDescent="0.3">
      <c r="A486" s="143"/>
      <c r="B486" s="147"/>
      <c r="C486" s="147"/>
      <c r="D486" s="147"/>
      <c r="E486" s="147"/>
      <c r="F486" s="147"/>
      <c r="G486" s="7">
        <f>Tabla3[[#This Row],[ENTRADA FISICA ]]-Tabla3[[#This Row],[SOLICITUD DE PEDIDO (ACTA)]]</f>
        <v>0</v>
      </c>
      <c r="H486" s="12"/>
    </row>
    <row r="487" spans="1:8" ht="15.75" customHeight="1" x14ac:dyDescent="0.3">
      <c r="A487" s="142"/>
      <c r="B487" s="144"/>
      <c r="C487" s="144"/>
      <c r="D487" s="144"/>
      <c r="E487" s="144"/>
      <c r="F487" s="144"/>
      <c r="G487" s="7">
        <f>Tabla3[[#This Row],[ENTRADA FISICA ]]-Tabla3[[#This Row],[SOLICITUD DE PEDIDO (ACTA)]]</f>
        <v>0</v>
      </c>
      <c r="H487" s="13"/>
    </row>
    <row r="488" spans="1:8" ht="15.75" customHeight="1" x14ac:dyDescent="0.3">
      <c r="A488" s="143"/>
      <c r="B488" s="147"/>
      <c r="C488" s="147"/>
      <c r="D488" s="147"/>
      <c r="E488" s="147"/>
      <c r="F488" s="147"/>
      <c r="G488" s="7">
        <f>Tabla3[[#This Row],[ENTRADA FISICA ]]-Tabla3[[#This Row],[SOLICITUD DE PEDIDO (ACTA)]]</f>
        <v>0</v>
      </c>
      <c r="H488" s="12"/>
    </row>
    <row r="489" spans="1:8" ht="15.75" customHeight="1" x14ac:dyDescent="0.3">
      <c r="A489" s="142"/>
      <c r="B489" s="144"/>
      <c r="C489" s="144"/>
      <c r="D489" s="144"/>
      <c r="E489" s="144"/>
      <c r="F489" s="144"/>
      <c r="G489" s="7">
        <f>Tabla3[[#This Row],[ENTRADA FISICA ]]-Tabla3[[#This Row],[SOLICITUD DE PEDIDO (ACTA)]]</f>
        <v>0</v>
      </c>
      <c r="H489" s="13"/>
    </row>
    <row r="490" spans="1:8" ht="15.75" customHeight="1" x14ac:dyDescent="0.3">
      <c r="A490" s="143"/>
      <c r="B490" s="147"/>
      <c r="C490" s="147"/>
      <c r="D490" s="147"/>
      <c r="E490" s="147"/>
      <c r="F490" s="147"/>
      <c r="G490" s="7">
        <f>Tabla3[[#This Row],[ENTRADA FISICA ]]-Tabla3[[#This Row],[SOLICITUD DE PEDIDO (ACTA)]]</f>
        <v>0</v>
      </c>
      <c r="H490" s="12"/>
    </row>
    <row r="491" spans="1:8" ht="15.75" customHeight="1" x14ac:dyDescent="0.3">
      <c r="A491" s="19"/>
      <c r="B491" s="19"/>
      <c r="C491" s="19"/>
      <c r="D491" s="19"/>
      <c r="E491" s="19">
        <f>SUBTOTAL(109,CONCENTRADO!$E$5:$E$373)</f>
        <v>10253.799999999999</v>
      </c>
      <c r="F491" s="19">
        <f>SUBTOTAL(109,CONCENTRADO!$F$5:$F$373)</f>
        <v>10447.150000000003</v>
      </c>
      <c r="G491" s="7">
        <f>Tabla3[[#This Row],[ENTRADA FISICA ]]-Tabla3[[#This Row],[SOLICITUD DE PEDIDO (ACTA)]]</f>
        <v>193.350000000004</v>
      </c>
      <c r="H491" s="20"/>
    </row>
    <row r="492" spans="1:8" ht="15.75" customHeight="1" x14ac:dyDescent="0.3">
      <c r="A492" s="21"/>
      <c r="B492" s="22"/>
      <c r="C492" s="22"/>
      <c r="D492" s="22"/>
      <c r="E492" s="22"/>
      <c r="F492" s="22"/>
      <c r="G492" s="22"/>
      <c r="H492" s="23"/>
    </row>
    <row r="493" spans="1:8" ht="15.75" customHeight="1" x14ac:dyDescent="0.3">
      <c r="A493" s="24"/>
      <c r="B493" s="25"/>
      <c r="C493" s="25"/>
      <c r="D493" s="25"/>
      <c r="E493" s="25"/>
      <c r="F493" s="25"/>
      <c r="G493" s="25"/>
      <c r="H493" s="26"/>
    </row>
    <row r="494" spans="1:8" ht="15.75" customHeight="1" x14ac:dyDescent="0.3">
      <c r="A494" s="141"/>
      <c r="H494" s="2"/>
    </row>
    <row r="495" spans="1:8" ht="15.75" customHeight="1" x14ac:dyDescent="0.3">
      <c r="H495" s="2"/>
    </row>
    <row r="496" spans="1:8" ht="15.75" customHeight="1" x14ac:dyDescent="0.3">
      <c r="H496" s="2"/>
    </row>
    <row r="497" spans="8:8" ht="15.75" customHeight="1" x14ac:dyDescent="0.3">
      <c r="H497" s="152"/>
    </row>
    <row r="498" spans="8:8" ht="15.75" customHeight="1" x14ac:dyDescent="0.3">
      <c r="H498" s="152"/>
    </row>
    <row r="499" spans="8:8" ht="15.75" customHeight="1" x14ac:dyDescent="0.3">
      <c r="H499" s="152"/>
    </row>
    <row r="500" spans="8:8" ht="15.75" customHeight="1" x14ac:dyDescent="0.3">
      <c r="H500" s="152"/>
    </row>
    <row r="501" spans="8:8" ht="15.75" customHeight="1" x14ac:dyDescent="0.3">
      <c r="H501" s="152"/>
    </row>
    <row r="502" spans="8:8" ht="15.75" customHeight="1" x14ac:dyDescent="0.3">
      <c r="H502" s="152"/>
    </row>
    <row r="503" spans="8:8" ht="15.75" customHeight="1" x14ac:dyDescent="0.3">
      <c r="H503" s="152"/>
    </row>
    <row r="504" spans="8:8" ht="15.75" customHeight="1" x14ac:dyDescent="0.3">
      <c r="H504" s="152"/>
    </row>
    <row r="505" spans="8:8" ht="15.75" customHeight="1" x14ac:dyDescent="0.3">
      <c r="H505" s="152"/>
    </row>
    <row r="506" spans="8:8" ht="15.75" customHeight="1" x14ac:dyDescent="0.3">
      <c r="H506" s="2"/>
    </row>
    <row r="507" spans="8:8" ht="15.75" customHeight="1" x14ac:dyDescent="0.3">
      <c r="H507" s="2"/>
    </row>
    <row r="508" spans="8:8" ht="15.75" customHeight="1" x14ac:dyDescent="0.3">
      <c r="H508" s="2"/>
    </row>
    <row r="509" spans="8:8" ht="15.75" customHeight="1" x14ac:dyDescent="0.3">
      <c r="H509" s="2"/>
    </row>
    <row r="510" spans="8:8" ht="15.75" customHeight="1" x14ac:dyDescent="0.3">
      <c r="H510" s="2"/>
    </row>
    <row r="511" spans="8:8" ht="15.75" customHeight="1" x14ac:dyDescent="0.3">
      <c r="H511" s="2"/>
    </row>
    <row r="512" spans="8:8" ht="15.75" customHeight="1" x14ac:dyDescent="0.3">
      <c r="H512" s="2"/>
    </row>
    <row r="513" spans="8:8" ht="15.75" customHeight="1" x14ac:dyDescent="0.3">
      <c r="H513" s="2"/>
    </row>
    <row r="514" spans="8:8" ht="15.75" customHeight="1" x14ac:dyDescent="0.3">
      <c r="H514" s="2"/>
    </row>
    <row r="515" spans="8:8" ht="15.75" customHeight="1" x14ac:dyDescent="0.3">
      <c r="H515" s="2"/>
    </row>
    <row r="516" spans="8:8" ht="15.75" customHeight="1" x14ac:dyDescent="0.3">
      <c r="H516" s="2"/>
    </row>
    <row r="517" spans="8:8" ht="15.75" customHeight="1" x14ac:dyDescent="0.3">
      <c r="H517" s="2"/>
    </row>
    <row r="518" spans="8:8" ht="15.75" customHeight="1" x14ac:dyDescent="0.3">
      <c r="H518" s="2"/>
    </row>
    <row r="519" spans="8:8" ht="15.75" customHeight="1" x14ac:dyDescent="0.3">
      <c r="H519" s="2"/>
    </row>
    <row r="520" spans="8:8" ht="15.75" customHeight="1" x14ac:dyDescent="0.3">
      <c r="H520" s="2"/>
    </row>
    <row r="521" spans="8:8" ht="15.75" customHeight="1" x14ac:dyDescent="0.3">
      <c r="H521" s="2"/>
    </row>
    <row r="522" spans="8:8" ht="15.75" customHeight="1" x14ac:dyDescent="0.3">
      <c r="H522" s="2"/>
    </row>
    <row r="523" spans="8:8" ht="15.75" customHeight="1" x14ac:dyDescent="0.3">
      <c r="H523" s="2"/>
    </row>
    <row r="524" spans="8:8" ht="15.75" customHeight="1" x14ac:dyDescent="0.3">
      <c r="H524" s="2"/>
    </row>
    <row r="525" spans="8:8" ht="15.75" customHeight="1" x14ac:dyDescent="0.3">
      <c r="H525" s="2"/>
    </row>
    <row r="526" spans="8:8" ht="15.75" customHeight="1" x14ac:dyDescent="0.3">
      <c r="H526" s="2"/>
    </row>
    <row r="527" spans="8:8" ht="15.75" customHeight="1" x14ac:dyDescent="0.3">
      <c r="H527" s="2"/>
    </row>
    <row r="528" spans="8:8" ht="15.75" customHeight="1" x14ac:dyDescent="0.3">
      <c r="H528" s="2"/>
    </row>
    <row r="529" spans="8:8" ht="15.75" customHeight="1" x14ac:dyDescent="0.3">
      <c r="H529" s="2"/>
    </row>
    <row r="530" spans="8:8" ht="15.75" customHeight="1" x14ac:dyDescent="0.3">
      <c r="H530" s="2"/>
    </row>
    <row r="531" spans="8:8" ht="15.75" customHeight="1" x14ac:dyDescent="0.3">
      <c r="H531" s="2"/>
    </row>
    <row r="532" spans="8:8" ht="15.75" customHeight="1" x14ac:dyDescent="0.3">
      <c r="H532" s="2"/>
    </row>
    <row r="533" spans="8:8" ht="15.75" customHeight="1" x14ac:dyDescent="0.3">
      <c r="H533" s="2"/>
    </row>
    <row r="534" spans="8:8" ht="15.75" customHeight="1" x14ac:dyDescent="0.3">
      <c r="H534" s="2"/>
    </row>
    <row r="535" spans="8:8" ht="15.75" customHeight="1" x14ac:dyDescent="0.3">
      <c r="H535" s="2"/>
    </row>
    <row r="536" spans="8:8" ht="15.75" customHeight="1" x14ac:dyDescent="0.3">
      <c r="H536" s="2"/>
    </row>
    <row r="537" spans="8:8" ht="15.75" customHeight="1" x14ac:dyDescent="0.3">
      <c r="H537" s="2"/>
    </row>
    <row r="538" spans="8:8" ht="15.75" customHeight="1" x14ac:dyDescent="0.3">
      <c r="H538" s="2"/>
    </row>
    <row r="539" spans="8:8" ht="15.75" customHeight="1" x14ac:dyDescent="0.3">
      <c r="H539" s="2"/>
    </row>
    <row r="540" spans="8:8" ht="15.75" customHeight="1" x14ac:dyDescent="0.3">
      <c r="H540" s="2"/>
    </row>
    <row r="541" spans="8:8" ht="15.75" customHeight="1" x14ac:dyDescent="0.3">
      <c r="H541" s="2"/>
    </row>
    <row r="542" spans="8:8" ht="15.75" customHeight="1" x14ac:dyDescent="0.3">
      <c r="H542" s="2"/>
    </row>
    <row r="543" spans="8:8" ht="15.75" customHeight="1" x14ac:dyDescent="0.3">
      <c r="H543" s="2"/>
    </row>
    <row r="544" spans="8:8" ht="15.75" customHeight="1" x14ac:dyDescent="0.3">
      <c r="H544" s="2"/>
    </row>
    <row r="545" spans="8:8" ht="15.75" customHeight="1" x14ac:dyDescent="0.3">
      <c r="H545" s="2"/>
    </row>
    <row r="546" spans="8:8" ht="15.75" customHeight="1" x14ac:dyDescent="0.3">
      <c r="H546" s="2"/>
    </row>
    <row r="547" spans="8:8" ht="15.75" customHeight="1" x14ac:dyDescent="0.3">
      <c r="H547" s="2"/>
    </row>
    <row r="548" spans="8:8" ht="15.75" customHeight="1" x14ac:dyDescent="0.3">
      <c r="H548" s="2"/>
    </row>
    <row r="549" spans="8:8" ht="15.75" customHeight="1" x14ac:dyDescent="0.3">
      <c r="H549" s="2"/>
    </row>
    <row r="550" spans="8:8" ht="15.75" customHeight="1" x14ac:dyDescent="0.3">
      <c r="H550" s="2"/>
    </row>
    <row r="551" spans="8:8" ht="15.75" customHeight="1" x14ac:dyDescent="0.3">
      <c r="H551" s="2"/>
    </row>
    <row r="552" spans="8:8" ht="15.75" customHeight="1" x14ac:dyDescent="0.3">
      <c r="H552" s="2"/>
    </row>
    <row r="553" spans="8:8" ht="15.75" customHeight="1" x14ac:dyDescent="0.3">
      <c r="H553" s="2"/>
    </row>
    <row r="554" spans="8:8" ht="15.75" customHeight="1" x14ac:dyDescent="0.3">
      <c r="H554" s="2"/>
    </row>
    <row r="555" spans="8:8" ht="15.75" customHeight="1" x14ac:dyDescent="0.3">
      <c r="H555" s="2"/>
    </row>
    <row r="556" spans="8:8" ht="15.75" customHeight="1" x14ac:dyDescent="0.3">
      <c r="H556" s="2"/>
    </row>
    <row r="557" spans="8:8" ht="15.75" customHeight="1" x14ac:dyDescent="0.3">
      <c r="H557" s="2"/>
    </row>
    <row r="558" spans="8:8" ht="15.75" customHeight="1" x14ac:dyDescent="0.3">
      <c r="H558" s="2"/>
    </row>
    <row r="559" spans="8:8" ht="15.75" customHeight="1" x14ac:dyDescent="0.3">
      <c r="H559" s="2"/>
    </row>
    <row r="560" spans="8:8" ht="15.75" customHeight="1" x14ac:dyDescent="0.3">
      <c r="H560" s="2"/>
    </row>
    <row r="561" spans="8:8" ht="15.75" customHeight="1" x14ac:dyDescent="0.3">
      <c r="H561" s="2"/>
    </row>
    <row r="562" spans="8:8" ht="15.75" customHeight="1" x14ac:dyDescent="0.3">
      <c r="H562" s="2"/>
    </row>
    <row r="563" spans="8:8" ht="15.75" customHeight="1" x14ac:dyDescent="0.3">
      <c r="H563" s="2"/>
    </row>
    <row r="564" spans="8:8" ht="15.75" customHeight="1" x14ac:dyDescent="0.3">
      <c r="H564" s="2"/>
    </row>
    <row r="565" spans="8:8" ht="15.75" customHeight="1" x14ac:dyDescent="0.3">
      <c r="H565" s="2"/>
    </row>
    <row r="566" spans="8:8" ht="15.75" customHeight="1" x14ac:dyDescent="0.3">
      <c r="H566" s="2"/>
    </row>
    <row r="567" spans="8:8" ht="15.75" customHeight="1" x14ac:dyDescent="0.3">
      <c r="H567" s="2"/>
    </row>
    <row r="568" spans="8:8" ht="15.75" customHeight="1" x14ac:dyDescent="0.3">
      <c r="H568" s="2"/>
    </row>
    <row r="569" spans="8:8" ht="15.75" customHeight="1" x14ac:dyDescent="0.3">
      <c r="H569" s="2"/>
    </row>
    <row r="570" spans="8:8" ht="15.75" customHeight="1" x14ac:dyDescent="0.3">
      <c r="H570" s="2"/>
    </row>
    <row r="571" spans="8:8" ht="15.75" customHeight="1" x14ac:dyDescent="0.3">
      <c r="H571" s="2"/>
    </row>
    <row r="572" spans="8:8" ht="15.75" customHeight="1" x14ac:dyDescent="0.3">
      <c r="H572" s="2"/>
    </row>
    <row r="573" spans="8:8" ht="15.75" customHeight="1" x14ac:dyDescent="0.3">
      <c r="H573" s="2"/>
    </row>
    <row r="574" spans="8:8" ht="15.75" customHeight="1" x14ac:dyDescent="0.3">
      <c r="H574" s="2"/>
    </row>
    <row r="575" spans="8:8" ht="15.75" customHeight="1" x14ac:dyDescent="0.3">
      <c r="H575" s="2"/>
    </row>
    <row r="576" spans="8:8" ht="15.75" customHeight="1" x14ac:dyDescent="0.3">
      <c r="H576" s="2"/>
    </row>
    <row r="577" spans="8:8" ht="15.75" customHeight="1" x14ac:dyDescent="0.3">
      <c r="H577" s="2"/>
    </row>
    <row r="578" spans="8:8" ht="15.75" customHeight="1" x14ac:dyDescent="0.3">
      <c r="H578" s="2"/>
    </row>
    <row r="579" spans="8:8" ht="15.75" customHeight="1" x14ac:dyDescent="0.3">
      <c r="H579" s="2"/>
    </row>
    <row r="580" spans="8:8" ht="15.75" customHeight="1" x14ac:dyDescent="0.3">
      <c r="H580" s="2"/>
    </row>
    <row r="581" spans="8:8" ht="15.75" customHeight="1" x14ac:dyDescent="0.3">
      <c r="H581" s="2"/>
    </row>
    <row r="582" spans="8:8" ht="15.75" customHeight="1" x14ac:dyDescent="0.3">
      <c r="H582" s="2"/>
    </row>
    <row r="583" spans="8:8" ht="15.75" customHeight="1" x14ac:dyDescent="0.3">
      <c r="H583" s="2"/>
    </row>
    <row r="584" spans="8:8" ht="15.75" customHeight="1" x14ac:dyDescent="0.3">
      <c r="H584" s="2"/>
    </row>
    <row r="585" spans="8:8" ht="15.75" customHeight="1" x14ac:dyDescent="0.3">
      <c r="H585" s="2"/>
    </row>
    <row r="586" spans="8:8" ht="15.75" customHeight="1" x14ac:dyDescent="0.3">
      <c r="H586" s="2"/>
    </row>
    <row r="587" spans="8:8" ht="15.75" customHeight="1" x14ac:dyDescent="0.3">
      <c r="H587" s="2"/>
    </row>
    <row r="588" spans="8:8" ht="15.75" customHeight="1" x14ac:dyDescent="0.3">
      <c r="H588" s="2"/>
    </row>
    <row r="589" spans="8:8" ht="15.75" customHeight="1" x14ac:dyDescent="0.3">
      <c r="H589" s="2"/>
    </row>
    <row r="590" spans="8:8" ht="15.75" customHeight="1" x14ac:dyDescent="0.3">
      <c r="H590" s="2"/>
    </row>
    <row r="591" spans="8:8" ht="15.75" customHeight="1" x14ac:dyDescent="0.3">
      <c r="H591" s="2"/>
    </row>
    <row r="592" spans="8:8" ht="15.75" customHeight="1" x14ac:dyDescent="0.3">
      <c r="H592" s="2"/>
    </row>
    <row r="593" spans="8:8" ht="15.75" customHeight="1" x14ac:dyDescent="0.3">
      <c r="H593" s="2"/>
    </row>
    <row r="594" spans="8:8" ht="15.75" customHeight="1" x14ac:dyDescent="0.3">
      <c r="H594" s="2"/>
    </row>
    <row r="595" spans="8:8" ht="15.75" customHeight="1" x14ac:dyDescent="0.3">
      <c r="H595" s="2"/>
    </row>
    <row r="596" spans="8:8" ht="15.75" customHeight="1" x14ac:dyDescent="0.3">
      <c r="H596" s="2"/>
    </row>
    <row r="597" spans="8:8" ht="15.75" customHeight="1" x14ac:dyDescent="0.3">
      <c r="H597" s="2"/>
    </row>
    <row r="598" spans="8:8" ht="15.75" customHeight="1" x14ac:dyDescent="0.3">
      <c r="H598" s="2"/>
    </row>
    <row r="599" spans="8:8" ht="15.75" customHeight="1" x14ac:dyDescent="0.3">
      <c r="H599" s="2"/>
    </row>
    <row r="600" spans="8:8" ht="15.75" customHeight="1" x14ac:dyDescent="0.3">
      <c r="H600" s="2"/>
    </row>
    <row r="601" spans="8:8" ht="15.75" customHeight="1" x14ac:dyDescent="0.3">
      <c r="H601" s="2"/>
    </row>
    <row r="602" spans="8:8" ht="15.75" customHeight="1" x14ac:dyDescent="0.3">
      <c r="H602" s="2"/>
    </row>
    <row r="603" spans="8:8" ht="15.75" customHeight="1" x14ac:dyDescent="0.3">
      <c r="H603" s="2"/>
    </row>
    <row r="604" spans="8:8" ht="15.75" customHeight="1" x14ac:dyDescent="0.3">
      <c r="H604" s="2"/>
    </row>
    <row r="605" spans="8:8" ht="15.75" customHeight="1" x14ac:dyDescent="0.3">
      <c r="H605" s="2"/>
    </row>
    <row r="606" spans="8:8" ht="15.75" customHeight="1" x14ac:dyDescent="0.3">
      <c r="H606" s="2"/>
    </row>
    <row r="607" spans="8:8" ht="15.75" customHeight="1" x14ac:dyDescent="0.3">
      <c r="H607" s="2"/>
    </row>
    <row r="608" spans="8:8" ht="15.75" customHeight="1" x14ac:dyDescent="0.3">
      <c r="H608" s="2"/>
    </row>
    <row r="609" spans="8:8" ht="15.75" customHeight="1" x14ac:dyDescent="0.3">
      <c r="H609" s="2"/>
    </row>
    <row r="610" spans="8:8" ht="15.75" customHeight="1" x14ac:dyDescent="0.3">
      <c r="H610" s="2"/>
    </row>
    <row r="611" spans="8:8" ht="15.75" customHeight="1" x14ac:dyDescent="0.3">
      <c r="H611" s="2"/>
    </row>
    <row r="612" spans="8:8" ht="15.75" customHeight="1" x14ac:dyDescent="0.3">
      <c r="H612" s="2"/>
    </row>
    <row r="613" spans="8:8" ht="15.75" customHeight="1" x14ac:dyDescent="0.3">
      <c r="H613" s="2"/>
    </row>
    <row r="614" spans="8:8" ht="15.75" customHeight="1" x14ac:dyDescent="0.3">
      <c r="H614" s="2"/>
    </row>
    <row r="615" spans="8:8" ht="15.75" customHeight="1" x14ac:dyDescent="0.3">
      <c r="H615" s="2"/>
    </row>
    <row r="616" spans="8:8" ht="15.75" customHeight="1" x14ac:dyDescent="0.3">
      <c r="H616" s="2"/>
    </row>
    <row r="617" spans="8:8" ht="15.75" customHeight="1" x14ac:dyDescent="0.3">
      <c r="H617" s="2"/>
    </row>
    <row r="618" spans="8:8" ht="15.75" customHeight="1" x14ac:dyDescent="0.3">
      <c r="H618" s="2"/>
    </row>
    <row r="619" spans="8:8" ht="15.75" customHeight="1" x14ac:dyDescent="0.3">
      <c r="H619" s="2"/>
    </row>
    <row r="620" spans="8:8" ht="15.75" customHeight="1" x14ac:dyDescent="0.3">
      <c r="H620" s="2"/>
    </row>
    <row r="621" spans="8:8" ht="15.75" customHeight="1" x14ac:dyDescent="0.3">
      <c r="H621" s="2"/>
    </row>
    <row r="622" spans="8:8" ht="15.75" customHeight="1" x14ac:dyDescent="0.3">
      <c r="H622" s="2"/>
    </row>
    <row r="623" spans="8:8" ht="15.75" customHeight="1" x14ac:dyDescent="0.3">
      <c r="H623" s="2"/>
    </row>
    <row r="624" spans="8:8" ht="15.75" customHeight="1" x14ac:dyDescent="0.3">
      <c r="H624" s="2"/>
    </row>
    <row r="625" spans="8:8" ht="15.75" customHeight="1" x14ac:dyDescent="0.3">
      <c r="H625" s="2"/>
    </row>
    <row r="626" spans="8:8" ht="15.75" customHeight="1" x14ac:dyDescent="0.3">
      <c r="H626" s="2"/>
    </row>
    <row r="627" spans="8:8" ht="15.75" customHeight="1" x14ac:dyDescent="0.3">
      <c r="H627" s="2"/>
    </row>
    <row r="628" spans="8:8" ht="15.75" customHeight="1" x14ac:dyDescent="0.3">
      <c r="H628" s="2"/>
    </row>
    <row r="629" spans="8:8" ht="15.75" customHeight="1" x14ac:dyDescent="0.3">
      <c r="H629" s="2"/>
    </row>
    <row r="630" spans="8:8" ht="15.75" customHeight="1" x14ac:dyDescent="0.3">
      <c r="H630" s="2"/>
    </row>
    <row r="631" spans="8:8" ht="15.75" customHeight="1" x14ac:dyDescent="0.3">
      <c r="H631" s="2"/>
    </row>
    <row r="632" spans="8:8" ht="15.75" customHeight="1" x14ac:dyDescent="0.3">
      <c r="H632" s="2"/>
    </row>
    <row r="633" spans="8:8" ht="15.75" customHeight="1" x14ac:dyDescent="0.3">
      <c r="H633" s="2"/>
    </row>
    <row r="634" spans="8:8" ht="15.75" customHeight="1" x14ac:dyDescent="0.3">
      <c r="H634" s="2"/>
    </row>
    <row r="635" spans="8:8" ht="15.75" customHeight="1" x14ac:dyDescent="0.3">
      <c r="H635" s="2"/>
    </row>
    <row r="636" spans="8:8" ht="15.75" customHeight="1" x14ac:dyDescent="0.3">
      <c r="H636" s="2"/>
    </row>
    <row r="637" spans="8:8" ht="15.75" customHeight="1" x14ac:dyDescent="0.3">
      <c r="H637" s="2"/>
    </row>
    <row r="638" spans="8:8" ht="15.75" customHeight="1" x14ac:dyDescent="0.3">
      <c r="H638" s="2"/>
    </row>
    <row r="639" spans="8:8" ht="15.75" customHeight="1" x14ac:dyDescent="0.3">
      <c r="H639" s="2"/>
    </row>
    <row r="640" spans="8:8" ht="15.75" customHeight="1" x14ac:dyDescent="0.3">
      <c r="H640" s="2"/>
    </row>
    <row r="641" spans="8:8" ht="15.75" customHeight="1" x14ac:dyDescent="0.3">
      <c r="H641" s="2"/>
    </row>
    <row r="642" spans="8:8" ht="15.75" customHeight="1" x14ac:dyDescent="0.3">
      <c r="H642" s="2"/>
    </row>
    <row r="643" spans="8:8" ht="15.75" customHeight="1" x14ac:dyDescent="0.3">
      <c r="H643" s="2"/>
    </row>
    <row r="644" spans="8:8" ht="15.75" customHeight="1" x14ac:dyDescent="0.3">
      <c r="H644" s="2"/>
    </row>
    <row r="645" spans="8:8" ht="15.75" customHeight="1" x14ac:dyDescent="0.3">
      <c r="H645" s="2"/>
    </row>
    <row r="646" spans="8:8" ht="15.75" customHeight="1" x14ac:dyDescent="0.3">
      <c r="H646" s="2"/>
    </row>
    <row r="647" spans="8:8" ht="15.75" customHeight="1" x14ac:dyDescent="0.3">
      <c r="H647" s="2"/>
    </row>
    <row r="648" spans="8:8" ht="15.75" customHeight="1" x14ac:dyDescent="0.3">
      <c r="H648" s="2"/>
    </row>
    <row r="649" spans="8:8" ht="15.75" customHeight="1" x14ac:dyDescent="0.3">
      <c r="H649" s="2"/>
    </row>
    <row r="650" spans="8:8" ht="15.75" customHeight="1" x14ac:dyDescent="0.3">
      <c r="H650" s="2"/>
    </row>
    <row r="651" spans="8:8" ht="15.75" customHeight="1" x14ac:dyDescent="0.3">
      <c r="H651" s="2"/>
    </row>
    <row r="652" spans="8:8" ht="15.75" customHeight="1" x14ac:dyDescent="0.3">
      <c r="H652" s="2"/>
    </row>
    <row r="653" spans="8:8" ht="15.75" customHeight="1" x14ac:dyDescent="0.3">
      <c r="H653" s="2"/>
    </row>
    <row r="654" spans="8:8" ht="15.75" customHeight="1" x14ac:dyDescent="0.3">
      <c r="H654" s="2"/>
    </row>
    <row r="655" spans="8:8" ht="15.75" customHeight="1" x14ac:dyDescent="0.3">
      <c r="H655" s="2"/>
    </row>
    <row r="656" spans="8:8" ht="15.75" customHeight="1" x14ac:dyDescent="0.3">
      <c r="H656" s="2"/>
    </row>
    <row r="657" spans="8:8" ht="15.75" customHeight="1" x14ac:dyDescent="0.3">
      <c r="H657" s="2"/>
    </row>
    <row r="658" spans="8:8" ht="15.75" customHeight="1" x14ac:dyDescent="0.3">
      <c r="H658" s="2"/>
    </row>
    <row r="659" spans="8:8" ht="15.75" customHeight="1" x14ac:dyDescent="0.3">
      <c r="H659" s="2"/>
    </row>
    <row r="660" spans="8:8" ht="15.75" customHeight="1" x14ac:dyDescent="0.3">
      <c r="H660" s="2"/>
    </row>
    <row r="661" spans="8:8" ht="15.75" customHeight="1" x14ac:dyDescent="0.3">
      <c r="H661" s="2"/>
    </row>
    <row r="662" spans="8:8" ht="15.75" customHeight="1" x14ac:dyDescent="0.3">
      <c r="H662" s="2"/>
    </row>
    <row r="663" spans="8:8" ht="15.75" customHeight="1" x14ac:dyDescent="0.3">
      <c r="H663" s="2"/>
    </row>
    <row r="664" spans="8:8" ht="15.75" customHeight="1" x14ac:dyDescent="0.3">
      <c r="H664" s="2"/>
    </row>
    <row r="665" spans="8:8" ht="15.75" customHeight="1" x14ac:dyDescent="0.3">
      <c r="H665" s="2"/>
    </row>
    <row r="666" spans="8:8" ht="15.75" customHeight="1" x14ac:dyDescent="0.3">
      <c r="H666" s="2"/>
    </row>
    <row r="667" spans="8:8" ht="15.75" customHeight="1" x14ac:dyDescent="0.3">
      <c r="H667" s="2"/>
    </row>
    <row r="668" spans="8:8" ht="15.75" customHeight="1" x14ac:dyDescent="0.3">
      <c r="H668" s="2"/>
    </row>
    <row r="669" spans="8:8" ht="15.75" customHeight="1" x14ac:dyDescent="0.3">
      <c r="H669" s="2"/>
    </row>
    <row r="670" spans="8:8" ht="15.75" customHeight="1" x14ac:dyDescent="0.3">
      <c r="H670" s="2"/>
    </row>
    <row r="671" spans="8:8" ht="15.75" customHeight="1" x14ac:dyDescent="0.3">
      <c r="H671" s="2"/>
    </row>
    <row r="672" spans="8:8" ht="15.75" customHeight="1" x14ac:dyDescent="0.3">
      <c r="H672" s="2"/>
    </row>
    <row r="673" spans="8:8" ht="15.75" customHeight="1" x14ac:dyDescent="0.3">
      <c r="H673" s="2"/>
    </row>
    <row r="674" spans="8:8" ht="15.75" customHeight="1" x14ac:dyDescent="0.3">
      <c r="H674" s="2"/>
    </row>
    <row r="675" spans="8:8" ht="15.75" customHeight="1" x14ac:dyDescent="0.3">
      <c r="H675" s="2"/>
    </row>
    <row r="676" spans="8:8" ht="15.75" customHeight="1" x14ac:dyDescent="0.3">
      <c r="H676" s="2"/>
    </row>
    <row r="677" spans="8:8" ht="15.75" customHeight="1" x14ac:dyDescent="0.3">
      <c r="H677" s="2"/>
    </row>
    <row r="678" spans="8:8" ht="15.75" customHeight="1" x14ac:dyDescent="0.3">
      <c r="H678" s="2"/>
    </row>
    <row r="679" spans="8:8" ht="15.75" customHeight="1" x14ac:dyDescent="0.3">
      <c r="H679" s="2"/>
    </row>
    <row r="680" spans="8:8" ht="15.75" customHeight="1" x14ac:dyDescent="0.3">
      <c r="H680" s="2"/>
    </row>
    <row r="681" spans="8:8" ht="15.75" customHeight="1" x14ac:dyDescent="0.3">
      <c r="H681" s="2"/>
    </row>
    <row r="682" spans="8:8" ht="15.75" customHeight="1" x14ac:dyDescent="0.3">
      <c r="H682" s="2"/>
    </row>
    <row r="683" spans="8:8" ht="15.75" customHeight="1" x14ac:dyDescent="0.3">
      <c r="H683" s="2"/>
    </row>
    <row r="684" spans="8:8" ht="15.75" customHeight="1" x14ac:dyDescent="0.3">
      <c r="H684" s="2"/>
    </row>
    <row r="685" spans="8:8" ht="15.75" customHeight="1" x14ac:dyDescent="0.3">
      <c r="H685" s="2"/>
    </row>
    <row r="686" spans="8:8" ht="15.75" customHeight="1" x14ac:dyDescent="0.3">
      <c r="H686" s="2"/>
    </row>
    <row r="687" spans="8:8" ht="15.75" customHeight="1" x14ac:dyDescent="0.3">
      <c r="H687" s="2"/>
    </row>
    <row r="688" spans="8:8" ht="15.75" customHeight="1" x14ac:dyDescent="0.3">
      <c r="H688" s="2"/>
    </row>
    <row r="689" spans="8:8" ht="15.75" customHeight="1" x14ac:dyDescent="0.3">
      <c r="H689" s="2"/>
    </row>
    <row r="690" spans="8:8" ht="15.75" customHeight="1" x14ac:dyDescent="0.3">
      <c r="H690" s="2"/>
    </row>
    <row r="691" spans="8:8" ht="15.75" customHeight="1" x14ac:dyDescent="0.3">
      <c r="H691" s="2"/>
    </row>
    <row r="692" spans="8:8" ht="15.75" customHeight="1" x14ac:dyDescent="0.3">
      <c r="H692" s="2"/>
    </row>
    <row r="693" spans="8:8" ht="15.75" customHeight="1" x14ac:dyDescent="0.3">
      <c r="H693" s="2"/>
    </row>
    <row r="694" spans="8:8" ht="15.75" customHeight="1" x14ac:dyDescent="0.3">
      <c r="H694" s="2"/>
    </row>
    <row r="695" spans="8:8" ht="15.75" customHeight="1" x14ac:dyDescent="0.3">
      <c r="H695" s="2"/>
    </row>
    <row r="696" spans="8:8" ht="15.75" customHeight="1" x14ac:dyDescent="0.3">
      <c r="H696" s="2"/>
    </row>
    <row r="697" spans="8:8" ht="15.75" customHeight="1" x14ac:dyDescent="0.3">
      <c r="H697" s="2"/>
    </row>
    <row r="698" spans="8:8" ht="15.75" customHeight="1" x14ac:dyDescent="0.3">
      <c r="H698" s="2"/>
    </row>
    <row r="699" spans="8:8" ht="15.75" customHeight="1" x14ac:dyDescent="0.3">
      <c r="H699" s="2"/>
    </row>
    <row r="700" spans="8:8" ht="15.75" customHeight="1" x14ac:dyDescent="0.3">
      <c r="H700" s="2"/>
    </row>
    <row r="701" spans="8:8" ht="15.75" customHeight="1" x14ac:dyDescent="0.3">
      <c r="H701" s="2"/>
    </row>
    <row r="702" spans="8:8" ht="15.75" customHeight="1" x14ac:dyDescent="0.3">
      <c r="H702" s="2"/>
    </row>
    <row r="703" spans="8:8" ht="15.75" customHeight="1" x14ac:dyDescent="0.3">
      <c r="H703" s="2"/>
    </row>
    <row r="704" spans="8:8" ht="15.75" customHeight="1" x14ac:dyDescent="0.3">
      <c r="H704" s="2"/>
    </row>
    <row r="705" spans="8:8" ht="15.75" customHeight="1" x14ac:dyDescent="0.3">
      <c r="H705" s="2"/>
    </row>
    <row r="706" spans="8:8" ht="15.75" customHeight="1" x14ac:dyDescent="0.3">
      <c r="H706" s="2"/>
    </row>
    <row r="707" spans="8:8" ht="15.75" customHeight="1" x14ac:dyDescent="0.3">
      <c r="H707" s="2"/>
    </row>
    <row r="708" spans="8:8" ht="15.75" customHeight="1" x14ac:dyDescent="0.3">
      <c r="H708" s="2"/>
    </row>
    <row r="709" spans="8:8" ht="15.75" customHeight="1" x14ac:dyDescent="0.3">
      <c r="H709" s="2"/>
    </row>
    <row r="710" spans="8:8" ht="15.75" customHeight="1" x14ac:dyDescent="0.3">
      <c r="H710" s="2"/>
    </row>
    <row r="711" spans="8:8" ht="15.75" customHeight="1" x14ac:dyDescent="0.3">
      <c r="H711" s="2"/>
    </row>
    <row r="712" spans="8:8" ht="15.75" customHeight="1" x14ac:dyDescent="0.3">
      <c r="H712" s="2"/>
    </row>
    <row r="713" spans="8:8" ht="15.75" customHeight="1" x14ac:dyDescent="0.3">
      <c r="H713" s="2"/>
    </row>
    <row r="714" spans="8:8" ht="15.75" customHeight="1" x14ac:dyDescent="0.3">
      <c r="H714" s="2"/>
    </row>
    <row r="715" spans="8:8" ht="15.75" customHeight="1" x14ac:dyDescent="0.3">
      <c r="H715" s="2"/>
    </row>
    <row r="716" spans="8:8" ht="15.75" customHeight="1" x14ac:dyDescent="0.3">
      <c r="H716" s="2"/>
    </row>
    <row r="717" spans="8:8" ht="15.75" customHeight="1" x14ac:dyDescent="0.3">
      <c r="H717" s="2"/>
    </row>
    <row r="718" spans="8:8" ht="15.75" customHeight="1" x14ac:dyDescent="0.3">
      <c r="H718" s="2"/>
    </row>
    <row r="719" spans="8:8" ht="15.75" customHeight="1" x14ac:dyDescent="0.3">
      <c r="H719" s="2"/>
    </row>
    <row r="720" spans="8:8" ht="15.75" customHeight="1" x14ac:dyDescent="0.3">
      <c r="H720" s="2"/>
    </row>
    <row r="721" spans="8:8" ht="15.75" customHeight="1" x14ac:dyDescent="0.3">
      <c r="H721" s="2"/>
    </row>
    <row r="722" spans="8:8" ht="15.75" customHeight="1" x14ac:dyDescent="0.3">
      <c r="H722" s="2"/>
    </row>
    <row r="723" spans="8:8" ht="15.75" customHeight="1" x14ac:dyDescent="0.3">
      <c r="H723" s="2"/>
    </row>
    <row r="724" spans="8:8" ht="15.75" customHeight="1" x14ac:dyDescent="0.3">
      <c r="H724" s="2"/>
    </row>
    <row r="725" spans="8:8" ht="15.75" customHeight="1" x14ac:dyDescent="0.3">
      <c r="H725" s="2"/>
    </row>
    <row r="726" spans="8:8" ht="15.75" customHeight="1" x14ac:dyDescent="0.3">
      <c r="H726" s="2"/>
    </row>
    <row r="727" spans="8:8" ht="15.75" customHeight="1" x14ac:dyDescent="0.3">
      <c r="H727" s="2"/>
    </row>
    <row r="728" spans="8:8" ht="15.75" customHeight="1" x14ac:dyDescent="0.3">
      <c r="H728" s="2"/>
    </row>
    <row r="729" spans="8:8" ht="15.75" customHeight="1" x14ac:dyDescent="0.3">
      <c r="H729" s="2"/>
    </row>
    <row r="730" spans="8:8" ht="15.75" customHeight="1" x14ac:dyDescent="0.3">
      <c r="H730" s="2"/>
    </row>
    <row r="731" spans="8:8" ht="15.75" customHeight="1" x14ac:dyDescent="0.3">
      <c r="H731" s="2"/>
    </row>
    <row r="732" spans="8:8" ht="15.75" customHeight="1" x14ac:dyDescent="0.3">
      <c r="H732" s="2"/>
    </row>
    <row r="733" spans="8:8" ht="15.75" customHeight="1" x14ac:dyDescent="0.3">
      <c r="H733" s="2"/>
    </row>
    <row r="734" spans="8:8" ht="15.75" customHeight="1" x14ac:dyDescent="0.3">
      <c r="H734" s="2"/>
    </row>
    <row r="735" spans="8:8" ht="15.75" customHeight="1" x14ac:dyDescent="0.3">
      <c r="H735" s="2"/>
    </row>
    <row r="736" spans="8:8" ht="15.75" customHeight="1" x14ac:dyDescent="0.3">
      <c r="H736" s="2"/>
    </row>
    <row r="737" spans="8:8" ht="15.75" customHeight="1" x14ac:dyDescent="0.3">
      <c r="H737" s="2"/>
    </row>
    <row r="738" spans="8:8" ht="15.75" customHeight="1" x14ac:dyDescent="0.3">
      <c r="H738" s="2"/>
    </row>
    <row r="739" spans="8:8" ht="15.75" customHeight="1" x14ac:dyDescent="0.3">
      <c r="H739" s="2"/>
    </row>
    <row r="740" spans="8:8" ht="15.75" customHeight="1" x14ac:dyDescent="0.3">
      <c r="H740" s="2"/>
    </row>
    <row r="741" spans="8:8" ht="15.75" customHeight="1" x14ac:dyDescent="0.3">
      <c r="H741" s="2"/>
    </row>
    <row r="742" spans="8:8" ht="15.75" customHeight="1" x14ac:dyDescent="0.3">
      <c r="H742" s="2"/>
    </row>
    <row r="743" spans="8:8" ht="15.75" customHeight="1" x14ac:dyDescent="0.3">
      <c r="H743" s="2"/>
    </row>
    <row r="744" spans="8:8" ht="15.75" customHeight="1" x14ac:dyDescent="0.3">
      <c r="H744" s="2"/>
    </row>
    <row r="745" spans="8:8" ht="15.75" customHeight="1" x14ac:dyDescent="0.3">
      <c r="H745" s="2"/>
    </row>
    <row r="746" spans="8:8" ht="15.75" customHeight="1" x14ac:dyDescent="0.3">
      <c r="H746" s="2"/>
    </row>
    <row r="747" spans="8:8" ht="15.75" customHeight="1" x14ac:dyDescent="0.3">
      <c r="H747" s="2"/>
    </row>
    <row r="748" spans="8:8" ht="15.75" customHeight="1" x14ac:dyDescent="0.3">
      <c r="H748" s="2"/>
    </row>
    <row r="749" spans="8:8" ht="15.75" customHeight="1" x14ac:dyDescent="0.3">
      <c r="H749" s="2"/>
    </row>
    <row r="750" spans="8:8" ht="15.75" customHeight="1" x14ac:dyDescent="0.3">
      <c r="H750" s="2"/>
    </row>
    <row r="751" spans="8:8" ht="15.75" customHeight="1" x14ac:dyDescent="0.3">
      <c r="H751" s="2"/>
    </row>
    <row r="752" spans="8:8" ht="15.75" customHeight="1" x14ac:dyDescent="0.3">
      <c r="H752" s="2"/>
    </row>
    <row r="753" spans="8:8" ht="15.75" customHeight="1" x14ac:dyDescent="0.3">
      <c r="H753" s="2"/>
    </row>
    <row r="754" spans="8:8" ht="15.75" customHeight="1" x14ac:dyDescent="0.3">
      <c r="H754" s="2"/>
    </row>
    <row r="755" spans="8:8" ht="15.75" customHeight="1" x14ac:dyDescent="0.3">
      <c r="H755" s="2"/>
    </row>
    <row r="756" spans="8:8" ht="15.75" customHeight="1" x14ac:dyDescent="0.3">
      <c r="H756" s="2"/>
    </row>
    <row r="757" spans="8:8" ht="15.75" customHeight="1" x14ac:dyDescent="0.3">
      <c r="H757" s="2"/>
    </row>
    <row r="758" spans="8:8" ht="15.75" customHeight="1" x14ac:dyDescent="0.3">
      <c r="H758" s="2"/>
    </row>
    <row r="759" spans="8:8" ht="15.75" customHeight="1" x14ac:dyDescent="0.3">
      <c r="H759" s="2"/>
    </row>
    <row r="760" spans="8:8" ht="15.75" customHeight="1" x14ac:dyDescent="0.3">
      <c r="H760" s="2"/>
    </row>
    <row r="761" spans="8:8" ht="15.75" customHeight="1" x14ac:dyDescent="0.3">
      <c r="H761" s="2"/>
    </row>
    <row r="762" spans="8:8" ht="15.75" customHeight="1" x14ac:dyDescent="0.3">
      <c r="H762" s="2"/>
    </row>
    <row r="763" spans="8:8" ht="15.75" customHeight="1" x14ac:dyDescent="0.3">
      <c r="H763" s="2"/>
    </row>
    <row r="764" spans="8:8" ht="15.75" customHeight="1" x14ac:dyDescent="0.3">
      <c r="H764" s="2"/>
    </row>
    <row r="765" spans="8:8" ht="15.75" customHeight="1" x14ac:dyDescent="0.3">
      <c r="H765" s="2"/>
    </row>
    <row r="766" spans="8:8" ht="15.75" customHeight="1" x14ac:dyDescent="0.3">
      <c r="H766" s="2"/>
    </row>
    <row r="767" spans="8:8" ht="15.75" customHeight="1" x14ac:dyDescent="0.3">
      <c r="H767" s="2"/>
    </row>
    <row r="768" spans="8:8" ht="15.75" customHeight="1" x14ac:dyDescent="0.3">
      <c r="H768" s="2"/>
    </row>
    <row r="769" spans="8:8" ht="15.75" customHeight="1" x14ac:dyDescent="0.3">
      <c r="H769" s="2"/>
    </row>
    <row r="770" spans="8:8" ht="15.75" customHeight="1" x14ac:dyDescent="0.3">
      <c r="H770" s="2"/>
    </row>
    <row r="771" spans="8:8" ht="15.75" customHeight="1" x14ac:dyDescent="0.3">
      <c r="H771" s="2"/>
    </row>
    <row r="772" spans="8:8" ht="15.75" customHeight="1" x14ac:dyDescent="0.3">
      <c r="H772" s="2"/>
    </row>
    <row r="773" spans="8:8" ht="15.75" customHeight="1" x14ac:dyDescent="0.3">
      <c r="H773" s="2"/>
    </row>
    <row r="774" spans="8:8" ht="15.75" customHeight="1" x14ac:dyDescent="0.3">
      <c r="H774" s="2"/>
    </row>
    <row r="775" spans="8:8" ht="15.75" customHeight="1" x14ac:dyDescent="0.3">
      <c r="H775" s="2"/>
    </row>
    <row r="776" spans="8:8" ht="15.75" customHeight="1" x14ac:dyDescent="0.3">
      <c r="H776" s="2"/>
    </row>
    <row r="777" spans="8:8" ht="15.75" customHeight="1" x14ac:dyDescent="0.3">
      <c r="H777" s="2"/>
    </row>
    <row r="778" spans="8:8" ht="15.75" customHeight="1" x14ac:dyDescent="0.3">
      <c r="H778" s="2"/>
    </row>
    <row r="779" spans="8:8" ht="15.75" customHeight="1" x14ac:dyDescent="0.3">
      <c r="H779" s="2"/>
    </row>
    <row r="780" spans="8:8" ht="15.75" customHeight="1" x14ac:dyDescent="0.3">
      <c r="H780" s="2"/>
    </row>
    <row r="781" spans="8:8" ht="15.75" customHeight="1" x14ac:dyDescent="0.3">
      <c r="H781" s="2"/>
    </row>
    <row r="782" spans="8:8" ht="15.75" customHeight="1" x14ac:dyDescent="0.3">
      <c r="H782" s="2"/>
    </row>
    <row r="783" spans="8:8" ht="15.75" customHeight="1" x14ac:dyDescent="0.3">
      <c r="H783" s="2"/>
    </row>
    <row r="784" spans="8:8" ht="15.75" customHeight="1" x14ac:dyDescent="0.3">
      <c r="H784" s="2"/>
    </row>
    <row r="785" spans="8:8" ht="15.75" customHeight="1" x14ac:dyDescent="0.3">
      <c r="H785" s="2"/>
    </row>
    <row r="786" spans="8:8" ht="15.75" customHeight="1" x14ac:dyDescent="0.3">
      <c r="H786" s="2"/>
    </row>
    <row r="787" spans="8:8" ht="15.75" customHeight="1" x14ac:dyDescent="0.3">
      <c r="H787" s="2"/>
    </row>
    <row r="788" spans="8:8" ht="15.75" customHeight="1" x14ac:dyDescent="0.3">
      <c r="H788" s="2"/>
    </row>
    <row r="789" spans="8:8" ht="15.75" customHeight="1" x14ac:dyDescent="0.3">
      <c r="H789" s="2"/>
    </row>
    <row r="790" spans="8:8" ht="15.75" customHeight="1" x14ac:dyDescent="0.3">
      <c r="H790" s="2"/>
    </row>
    <row r="791" spans="8:8" ht="15.75" customHeight="1" x14ac:dyDescent="0.3">
      <c r="H791" s="2"/>
    </row>
    <row r="792" spans="8:8" ht="15.75" customHeight="1" x14ac:dyDescent="0.3">
      <c r="H792" s="2"/>
    </row>
    <row r="793" spans="8:8" ht="15.75" customHeight="1" x14ac:dyDescent="0.3">
      <c r="H793" s="2"/>
    </row>
    <row r="794" spans="8:8" ht="15.75" customHeight="1" x14ac:dyDescent="0.3">
      <c r="H794" s="2"/>
    </row>
    <row r="795" spans="8:8" ht="15.75" customHeight="1" x14ac:dyDescent="0.3">
      <c r="H795" s="2"/>
    </row>
    <row r="796" spans="8:8" ht="15.75" customHeight="1" x14ac:dyDescent="0.3">
      <c r="H796" s="2"/>
    </row>
    <row r="797" spans="8:8" ht="15.75" customHeight="1" x14ac:dyDescent="0.3">
      <c r="H797" s="2"/>
    </row>
    <row r="798" spans="8:8" ht="15.75" customHeight="1" x14ac:dyDescent="0.3">
      <c r="H798" s="2"/>
    </row>
    <row r="799" spans="8:8" ht="15.75" customHeight="1" x14ac:dyDescent="0.3">
      <c r="H799" s="2"/>
    </row>
    <row r="800" spans="8:8" ht="15.75" customHeight="1" x14ac:dyDescent="0.3">
      <c r="H800" s="2"/>
    </row>
    <row r="801" spans="8:8" ht="15.75" customHeight="1" x14ac:dyDescent="0.3">
      <c r="H801" s="2"/>
    </row>
    <row r="802" spans="8:8" ht="15.75" customHeight="1" x14ac:dyDescent="0.3">
      <c r="H802" s="2"/>
    </row>
    <row r="803" spans="8:8" ht="15.75" customHeight="1" x14ac:dyDescent="0.3">
      <c r="H803" s="2"/>
    </row>
    <row r="804" spans="8:8" ht="15.75" customHeight="1" x14ac:dyDescent="0.3">
      <c r="H804" s="2"/>
    </row>
    <row r="805" spans="8:8" ht="15.75" customHeight="1" x14ac:dyDescent="0.3">
      <c r="H805" s="2"/>
    </row>
    <row r="806" spans="8:8" ht="15.75" customHeight="1" x14ac:dyDescent="0.3">
      <c r="H806" s="2"/>
    </row>
    <row r="807" spans="8:8" ht="15.75" customHeight="1" x14ac:dyDescent="0.3">
      <c r="H807" s="2"/>
    </row>
    <row r="808" spans="8:8" ht="15.75" customHeight="1" x14ac:dyDescent="0.3">
      <c r="H808" s="2"/>
    </row>
    <row r="809" spans="8:8" ht="15.75" customHeight="1" x14ac:dyDescent="0.3">
      <c r="H809" s="2"/>
    </row>
    <row r="810" spans="8:8" ht="15.75" customHeight="1" x14ac:dyDescent="0.3">
      <c r="H810" s="2"/>
    </row>
    <row r="811" spans="8:8" ht="15.75" customHeight="1" x14ac:dyDescent="0.3">
      <c r="H811" s="2"/>
    </row>
    <row r="812" spans="8:8" ht="15.75" customHeight="1" x14ac:dyDescent="0.3">
      <c r="H812" s="2"/>
    </row>
    <row r="813" spans="8:8" ht="15.75" customHeight="1" x14ac:dyDescent="0.3">
      <c r="H813" s="2"/>
    </row>
    <row r="814" spans="8:8" ht="15.75" customHeight="1" x14ac:dyDescent="0.3">
      <c r="H814" s="2"/>
    </row>
    <row r="815" spans="8:8" ht="15.75" customHeight="1" x14ac:dyDescent="0.3">
      <c r="H815" s="2"/>
    </row>
    <row r="816" spans="8:8" ht="15.75" customHeight="1" x14ac:dyDescent="0.3">
      <c r="H816" s="2"/>
    </row>
    <row r="817" spans="8:8" ht="15.75" customHeight="1" x14ac:dyDescent="0.3">
      <c r="H817" s="2"/>
    </row>
    <row r="818" spans="8:8" ht="15.75" customHeight="1" x14ac:dyDescent="0.3">
      <c r="H818" s="2"/>
    </row>
    <row r="819" spans="8:8" ht="15.75" customHeight="1" x14ac:dyDescent="0.3">
      <c r="H819" s="2"/>
    </row>
    <row r="820" spans="8:8" ht="15.75" customHeight="1" x14ac:dyDescent="0.3">
      <c r="H820" s="2"/>
    </row>
    <row r="821" spans="8:8" ht="15.75" customHeight="1" x14ac:dyDescent="0.3">
      <c r="H821" s="2"/>
    </row>
    <row r="822" spans="8:8" ht="15.75" customHeight="1" x14ac:dyDescent="0.3">
      <c r="H822" s="2"/>
    </row>
    <row r="823" spans="8:8" ht="15.75" customHeight="1" x14ac:dyDescent="0.3">
      <c r="H823" s="2"/>
    </row>
    <row r="824" spans="8:8" ht="15.75" customHeight="1" x14ac:dyDescent="0.3">
      <c r="H824" s="2"/>
    </row>
    <row r="825" spans="8:8" ht="15.75" customHeight="1" x14ac:dyDescent="0.3">
      <c r="H825" s="2"/>
    </row>
    <row r="826" spans="8:8" ht="15.75" customHeight="1" x14ac:dyDescent="0.3">
      <c r="H826" s="2"/>
    </row>
    <row r="827" spans="8:8" ht="15.75" customHeight="1" x14ac:dyDescent="0.3">
      <c r="H827" s="2"/>
    </row>
    <row r="828" spans="8:8" ht="15.75" customHeight="1" x14ac:dyDescent="0.3">
      <c r="H828" s="2"/>
    </row>
    <row r="829" spans="8:8" ht="15.75" customHeight="1" x14ac:dyDescent="0.3">
      <c r="H829" s="2"/>
    </row>
    <row r="830" spans="8:8" ht="15.75" customHeight="1" x14ac:dyDescent="0.3">
      <c r="H830" s="2"/>
    </row>
    <row r="831" spans="8:8" ht="15.75" customHeight="1" x14ac:dyDescent="0.3">
      <c r="H831" s="2"/>
    </row>
    <row r="832" spans="8:8" ht="15.75" customHeight="1" x14ac:dyDescent="0.3">
      <c r="H832" s="2"/>
    </row>
    <row r="833" spans="8:8" ht="15.75" customHeight="1" x14ac:dyDescent="0.3">
      <c r="H833" s="2"/>
    </row>
    <row r="834" spans="8:8" ht="15.75" customHeight="1" x14ac:dyDescent="0.3">
      <c r="H834" s="2"/>
    </row>
    <row r="835" spans="8:8" ht="15.75" customHeight="1" x14ac:dyDescent="0.3">
      <c r="H835" s="2"/>
    </row>
    <row r="836" spans="8:8" ht="15.75" customHeight="1" x14ac:dyDescent="0.3">
      <c r="H836" s="2"/>
    </row>
    <row r="837" spans="8:8" ht="15.75" customHeight="1" x14ac:dyDescent="0.3">
      <c r="H837" s="2"/>
    </row>
    <row r="838" spans="8:8" ht="15.75" customHeight="1" x14ac:dyDescent="0.3">
      <c r="H838" s="2"/>
    </row>
    <row r="839" spans="8:8" ht="15.75" customHeight="1" x14ac:dyDescent="0.3">
      <c r="H839" s="2"/>
    </row>
    <row r="840" spans="8:8" ht="15.75" customHeight="1" x14ac:dyDescent="0.3">
      <c r="H840" s="2"/>
    </row>
    <row r="841" spans="8:8" ht="15.75" customHeight="1" x14ac:dyDescent="0.3">
      <c r="H841" s="2"/>
    </row>
    <row r="842" spans="8:8" ht="15.75" customHeight="1" x14ac:dyDescent="0.3">
      <c r="H842" s="2"/>
    </row>
    <row r="843" spans="8:8" ht="15.75" customHeight="1" x14ac:dyDescent="0.3">
      <c r="H843" s="2"/>
    </row>
    <row r="844" spans="8:8" ht="15.75" customHeight="1" x14ac:dyDescent="0.3">
      <c r="H844" s="2"/>
    </row>
    <row r="845" spans="8:8" ht="15.75" customHeight="1" x14ac:dyDescent="0.3">
      <c r="H845" s="2"/>
    </row>
    <row r="846" spans="8:8" ht="15.75" customHeight="1" x14ac:dyDescent="0.3">
      <c r="H846" s="2"/>
    </row>
    <row r="847" spans="8:8" ht="15.75" customHeight="1" x14ac:dyDescent="0.3">
      <c r="H847" s="2"/>
    </row>
    <row r="848" spans="8:8" ht="15.75" customHeight="1" x14ac:dyDescent="0.3">
      <c r="H848" s="2"/>
    </row>
    <row r="849" spans="8:8" ht="15.75" customHeight="1" x14ac:dyDescent="0.3">
      <c r="H849" s="2"/>
    </row>
    <row r="850" spans="8:8" ht="15.75" customHeight="1" x14ac:dyDescent="0.3">
      <c r="H850" s="2"/>
    </row>
    <row r="851" spans="8:8" ht="15.75" customHeight="1" x14ac:dyDescent="0.3">
      <c r="H851" s="2"/>
    </row>
    <row r="852" spans="8:8" ht="15.75" customHeight="1" x14ac:dyDescent="0.3">
      <c r="H852" s="2"/>
    </row>
    <row r="853" spans="8:8" ht="15.75" customHeight="1" x14ac:dyDescent="0.3">
      <c r="H853" s="2"/>
    </row>
    <row r="854" spans="8:8" ht="15.75" customHeight="1" x14ac:dyDescent="0.3">
      <c r="H854" s="2"/>
    </row>
    <row r="855" spans="8:8" ht="15.75" customHeight="1" x14ac:dyDescent="0.3">
      <c r="H855" s="2"/>
    </row>
    <row r="856" spans="8:8" ht="15.75" customHeight="1" x14ac:dyDescent="0.3">
      <c r="H856" s="2"/>
    </row>
    <row r="857" spans="8:8" ht="15.75" customHeight="1" x14ac:dyDescent="0.3">
      <c r="H857" s="2"/>
    </row>
    <row r="858" spans="8:8" ht="15.75" customHeight="1" x14ac:dyDescent="0.3">
      <c r="H858" s="2"/>
    </row>
    <row r="859" spans="8:8" ht="15.75" customHeight="1" x14ac:dyDescent="0.3">
      <c r="H859" s="2"/>
    </row>
    <row r="860" spans="8:8" ht="15.75" customHeight="1" x14ac:dyDescent="0.3">
      <c r="H860" s="2"/>
    </row>
    <row r="861" spans="8:8" ht="15.75" customHeight="1" x14ac:dyDescent="0.3">
      <c r="H861" s="2"/>
    </row>
    <row r="862" spans="8:8" ht="15.75" customHeight="1" x14ac:dyDescent="0.3">
      <c r="H862" s="2"/>
    </row>
    <row r="863" spans="8:8" ht="15.75" customHeight="1" x14ac:dyDescent="0.3">
      <c r="H863" s="2"/>
    </row>
    <row r="864" spans="8:8" ht="15.75" customHeight="1" x14ac:dyDescent="0.3">
      <c r="H864" s="2"/>
    </row>
    <row r="865" spans="8:8" ht="15.75" customHeight="1" x14ac:dyDescent="0.3">
      <c r="H865" s="2"/>
    </row>
    <row r="866" spans="8:8" ht="15.75" customHeight="1" x14ac:dyDescent="0.3">
      <c r="H866" s="2"/>
    </row>
    <row r="867" spans="8:8" ht="15.75" customHeight="1" x14ac:dyDescent="0.3">
      <c r="H867" s="2"/>
    </row>
    <row r="868" spans="8:8" ht="15.75" customHeight="1" x14ac:dyDescent="0.3">
      <c r="H868" s="2"/>
    </row>
    <row r="869" spans="8:8" ht="15.75" customHeight="1" x14ac:dyDescent="0.3">
      <c r="H869" s="2"/>
    </row>
    <row r="870" spans="8:8" ht="15.75" customHeight="1" x14ac:dyDescent="0.3">
      <c r="H870" s="2"/>
    </row>
    <row r="871" spans="8:8" ht="15.75" customHeight="1" x14ac:dyDescent="0.3">
      <c r="H871" s="2"/>
    </row>
    <row r="872" spans="8:8" ht="15.75" customHeight="1" x14ac:dyDescent="0.3">
      <c r="H872" s="2"/>
    </row>
    <row r="873" spans="8:8" ht="15.75" customHeight="1" x14ac:dyDescent="0.3">
      <c r="H873" s="2"/>
    </row>
    <row r="874" spans="8:8" ht="15.75" customHeight="1" x14ac:dyDescent="0.3">
      <c r="H874" s="2"/>
    </row>
    <row r="875" spans="8:8" ht="15.75" customHeight="1" x14ac:dyDescent="0.3">
      <c r="H875" s="2"/>
    </row>
    <row r="876" spans="8:8" ht="15.75" customHeight="1" x14ac:dyDescent="0.3">
      <c r="H876" s="2"/>
    </row>
    <row r="877" spans="8:8" ht="15.75" customHeight="1" x14ac:dyDescent="0.3">
      <c r="H877" s="2"/>
    </row>
    <row r="878" spans="8:8" ht="15.75" customHeight="1" x14ac:dyDescent="0.3">
      <c r="H878" s="2"/>
    </row>
    <row r="879" spans="8:8" ht="15.75" customHeight="1" x14ac:dyDescent="0.3">
      <c r="H879" s="2"/>
    </row>
    <row r="880" spans="8:8" ht="15.75" customHeight="1" x14ac:dyDescent="0.3">
      <c r="H880" s="2"/>
    </row>
    <row r="881" spans="8:8" ht="15.75" customHeight="1" x14ac:dyDescent="0.3">
      <c r="H881" s="2"/>
    </row>
    <row r="882" spans="8:8" ht="15.75" customHeight="1" x14ac:dyDescent="0.3">
      <c r="H882" s="2"/>
    </row>
    <row r="883" spans="8:8" ht="15.75" customHeight="1" x14ac:dyDescent="0.3">
      <c r="H883" s="2"/>
    </row>
    <row r="884" spans="8:8" ht="15.75" customHeight="1" x14ac:dyDescent="0.3">
      <c r="H884" s="2"/>
    </row>
    <row r="885" spans="8:8" ht="15.75" customHeight="1" x14ac:dyDescent="0.3">
      <c r="H885" s="2"/>
    </row>
    <row r="886" spans="8:8" ht="15.75" customHeight="1" x14ac:dyDescent="0.3">
      <c r="H886" s="2"/>
    </row>
    <row r="887" spans="8:8" ht="15.75" customHeight="1" x14ac:dyDescent="0.3">
      <c r="H887" s="2"/>
    </row>
    <row r="888" spans="8:8" ht="15.75" customHeight="1" x14ac:dyDescent="0.3">
      <c r="H888" s="2"/>
    </row>
    <row r="889" spans="8:8" ht="15.75" customHeight="1" x14ac:dyDescent="0.3">
      <c r="H889" s="2"/>
    </row>
    <row r="890" spans="8:8" ht="15.75" customHeight="1" x14ac:dyDescent="0.3">
      <c r="H890" s="2"/>
    </row>
    <row r="891" spans="8:8" ht="15.75" customHeight="1" x14ac:dyDescent="0.3">
      <c r="H891" s="2"/>
    </row>
    <row r="892" spans="8:8" ht="15.75" customHeight="1" x14ac:dyDescent="0.3">
      <c r="H892" s="2"/>
    </row>
    <row r="893" spans="8:8" ht="15.75" customHeight="1" x14ac:dyDescent="0.3">
      <c r="H893" s="2"/>
    </row>
    <row r="894" spans="8:8" ht="15.75" customHeight="1" x14ac:dyDescent="0.3">
      <c r="H894" s="2"/>
    </row>
    <row r="895" spans="8:8" ht="15.75" customHeight="1" x14ac:dyDescent="0.3">
      <c r="H895" s="2"/>
    </row>
    <row r="896" spans="8:8" ht="15.75" customHeight="1" x14ac:dyDescent="0.3">
      <c r="H896" s="2"/>
    </row>
    <row r="897" spans="8:8" ht="15.75" customHeight="1" x14ac:dyDescent="0.3">
      <c r="H897" s="2"/>
    </row>
    <row r="898" spans="8:8" ht="15.75" customHeight="1" x14ac:dyDescent="0.3">
      <c r="H898" s="2"/>
    </row>
    <row r="899" spans="8:8" ht="15.75" customHeight="1" x14ac:dyDescent="0.3">
      <c r="H899" s="2"/>
    </row>
    <row r="900" spans="8:8" ht="15.75" customHeight="1" x14ac:dyDescent="0.3">
      <c r="H900" s="2"/>
    </row>
    <row r="901" spans="8:8" ht="15.75" customHeight="1" x14ac:dyDescent="0.3">
      <c r="H901" s="2"/>
    </row>
    <row r="902" spans="8:8" ht="15.75" customHeight="1" x14ac:dyDescent="0.3">
      <c r="H902" s="2"/>
    </row>
    <row r="903" spans="8:8" ht="15.75" customHeight="1" x14ac:dyDescent="0.3">
      <c r="H903" s="2"/>
    </row>
    <row r="904" spans="8:8" ht="15.75" customHeight="1" x14ac:dyDescent="0.3">
      <c r="H904" s="2"/>
    </row>
    <row r="905" spans="8:8" ht="15.75" customHeight="1" x14ac:dyDescent="0.3">
      <c r="H905" s="2"/>
    </row>
    <row r="906" spans="8:8" ht="15.75" customHeight="1" x14ac:dyDescent="0.3">
      <c r="H906" s="2"/>
    </row>
    <row r="907" spans="8:8" ht="15.75" customHeight="1" x14ac:dyDescent="0.3">
      <c r="H907" s="2"/>
    </row>
    <row r="908" spans="8:8" ht="15.75" customHeight="1" x14ac:dyDescent="0.3">
      <c r="H908" s="2"/>
    </row>
    <row r="909" spans="8:8" ht="15.75" customHeight="1" x14ac:dyDescent="0.3">
      <c r="H909" s="2"/>
    </row>
    <row r="910" spans="8:8" ht="15.75" customHeight="1" x14ac:dyDescent="0.3">
      <c r="H910" s="2"/>
    </row>
    <row r="911" spans="8:8" ht="15.75" customHeight="1" x14ac:dyDescent="0.3">
      <c r="H911" s="2"/>
    </row>
    <row r="912" spans="8:8" ht="15.75" customHeight="1" x14ac:dyDescent="0.3">
      <c r="H912" s="2"/>
    </row>
    <row r="913" spans="8:8" ht="15.75" customHeight="1" x14ac:dyDescent="0.3">
      <c r="H913" s="2"/>
    </row>
    <row r="914" spans="8:8" ht="15.75" customHeight="1" x14ac:dyDescent="0.3">
      <c r="H914" s="2"/>
    </row>
    <row r="915" spans="8:8" ht="15.75" customHeight="1" x14ac:dyDescent="0.3">
      <c r="H915" s="2"/>
    </row>
    <row r="916" spans="8:8" ht="15.75" customHeight="1" x14ac:dyDescent="0.3">
      <c r="H916" s="2"/>
    </row>
    <row r="917" spans="8:8" ht="15.75" customHeight="1" x14ac:dyDescent="0.3">
      <c r="H917" s="2"/>
    </row>
    <row r="918" spans="8:8" ht="15.75" customHeight="1" x14ac:dyDescent="0.3">
      <c r="H918" s="2"/>
    </row>
    <row r="919" spans="8:8" ht="15.75" customHeight="1" x14ac:dyDescent="0.3">
      <c r="H919" s="2"/>
    </row>
    <row r="920" spans="8:8" ht="15.75" customHeight="1" x14ac:dyDescent="0.3">
      <c r="H920" s="2"/>
    </row>
    <row r="921" spans="8:8" ht="15.75" customHeight="1" x14ac:dyDescent="0.3">
      <c r="H921" s="2"/>
    </row>
    <row r="922" spans="8:8" ht="15.75" customHeight="1" x14ac:dyDescent="0.3">
      <c r="H922" s="2"/>
    </row>
    <row r="923" spans="8:8" ht="15.75" customHeight="1" x14ac:dyDescent="0.3">
      <c r="H923" s="2"/>
    </row>
    <row r="924" spans="8:8" ht="15.75" customHeight="1" x14ac:dyDescent="0.3">
      <c r="H924" s="2"/>
    </row>
    <row r="925" spans="8:8" ht="15.75" customHeight="1" x14ac:dyDescent="0.3">
      <c r="H925" s="2"/>
    </row>
    <row r="926" spans="8:8" ht="15.75" customHeight="1" x14ac:dyDescent="0.3">
      <c r="H926" s="2"/>
    </row>
    <row r="927" spans="8:8" ht="15.75" customHeight="1" x14ac:dyDescent="0.3">
      <c r="H927" s="2"/>
    </row>
    <row r="928" spans="8:8" ht="15.75" customHeight="1" x14ac:dyDescent="0.3">
      <c r="H928" s="2"/>
    </row>
    <row r="929" spans="8:8" ht="15.75" customHeight="1" x14ac:dyDescent="0.3">
      <c r="H929" s="2"/>
    </row>
    <row r="930" spans="8:8" ht="15.75" customHeight="1" x14ac:dyDescent="0.3">
      <c r="H930" s="2"/>
    </row>
    <row r="931" spans="8:8" ht="15.75" customHeight="1" x14ac:dyDescent="0.3">
      <c r="H931" s="2"/>
    </row>
    <row r="932" spans="8:8" ht="15.75" customHeight="1" x14ac:dyDescent="0.3">
      <c r="H932" s="2"/>
    </row>
    <row r="933" spans="8:8" ht="15.75" customHeight="1" x14ac:dyDescent="0.3">
      <c r="H933" s="2"/>
    </row>
    <row r="934" spans="8:8" ht="15.75" customHeight="1" x14ac:dyDescent="0.3">
      <c r="H934" s="2"/>
    </row>
    <row r="935" spans="8:8" ht="15.75" customHeight="1" x14ac:dyDescent="0.3">
      <c r="H935" s="2"/>
    </row>
    <row r="936" spans="8:8" ht="15.75" customHeight="1" x14ac:dyDescent="0.3">
      <c r="H936" s="2"/>
    </row>
    <row r="937" spans="8:8" ht="15.75" customHeight="1" x14ac:dyDescent="0.3">
      <c r="H937" s="2"/>
    </row>
    <row r="938" spans="8:8" ht="15.75" customHeight="1" x14ac:dyDescent="0.3">
      <c r="H938" s="2"/>
    </row>
    <row r="939" spans="8:8" ht="15.75" customHeight="1" x14ac:dyDescent="0.3">
      <c r="H939" s="2"/>
    </row>
    <row r="940" spans="8:8" ht="15.75" customHeight="1" x14ac:dyDescent="0.3">
      <c r="H940" s="2"/>
    </row>
    <row r="941" spans="8:8" ht="15.75" customHeight="1" x14ac:dyDescent="0.3">
      <c r="H941" s="2"/>
    </row>
    <row r="942" spans="8:8" ht="15.75" customHeight="1" x14ac:dyDescent="0.3">
      <c r="H942" s="2"/>
    </row>
    <row r="943" spans="8:8" ht="15.75" customHeight="1" x14ac:dyDescent="0.3">
      <c r="H943" s="2"/>
    </row>
    <row r="944" spans="8:8" ht="15.75" customHeight="1" x14ac:dyDescent="0.3">
      <c r="H944" s="2"/>
    </row>
    <row r="945" spans="8:8" ht="15.75" customHeight="1" x14ac:dyDescent="0.3">
      <c r="H945" s="2"/>
    </row>
    <row r="946" spans="8:8" ht="15.75" customHeight="1" x14ac:dyDescent="0.3">
      <c r="H946" s="2"/>
    </row>
    <row r="947" spans="8:8" ht="15.75" customHeight="1" x14ac:dyDescent="0.3">
      <c r="H947" s="2"/>
    </row>
    <row r="948" spans="8:8" ht="15.75" customHeight="1" x14ac:dyDescent="0.3">
      <c r="H948" s="2"/>
    </row>
    <row r="949" spans="8:8" ht="15.75" customHeight="1" x14ac:dyDescent="0.3">
      <c r="H949" s="2"/>
    </row>
    <row r="950" spans="8:8" ht="15.75" customHeight="1" x14ac:dyDescent="0.3">
      <c r="H950" s="2"/>
    </row>
    <row r="951" spans="8:8" ht="15.75" customHeight="1" x14ac:dyDescent="0.3">
      <c r="H951" s="2"/>
    </row>
    <row r="952" spans="8:8" ht="15.75" customHeight="1" x14ac:dyDescent="0.3">
      <c r="H952" s="2"/>
    </row>
    <row r="953" spans="8:8" ht="15.75" customHeight="1" x14ac:dyDescent="0.3">
      <c r="H953" s="2"/>
    </row>
    <row r="954" spans="8:8" ht="15.75" customHeight="1" x14ac:dyDescent="0.3">
      <c r="H954" s="2"/>
    </row>
    <row r="955" spans="8:8" ht="15.75" customHeight="1" x14ac:dyDescent="0.3">
      <c r="H955" s="2"/>
    </row>
    <row r="956" spans="8:8" ht="15.75" customHeight="1" x14ac:dyDescent="0.3">
      <c r="H956" s="2"/>
    </row>
    <row r="957" spans="8:8" ht="15.75" customHeight="1" x14ac:dyDescent="0.3">
      <c r="H957" s="2"/>
    </row>
    <row r="958" spans="8:8" ht="15.75" customHeight="1" x14ac:dyDescent="0.3">
      <c r="H958" s="2"/>
    </row>
    <row r="959" spans="8:8" ht="15.75" customHeight="1" x14ac:dyDescent="0.3">
      <c r="H959" s="2"/>
    </row>
    <row r="960" spans="8:8" ht="15.75" customHeight="1" x14ac:dyDescent="0.3">
      <c r="H960" s="2"/>
    </row>
    <row r="961" spans="8:8" ht="15.75" customHeight="1" x14ac:dyDescent="0.3">
      <c r="H961" s="2"/>
    </row>
    <row r="962" spans="8:8" ht="15.75" customHeight="1" x14ac:dyDescent="0.3">
      <c r="H962" s="2"/>
    </row>
    <row r="963" spans="8:8" ht="15.75" customHeight="1" x14ac:dyDescent="0.3">
      <c r="H963" s="2"/>
    </row>
    <row r="964" spans="8:8" ht="15.75" customHeight="1" x14ac:dyDescent="0.3">
      <c r="H964" s="2"/>
    </row>
    <row r="965" spans="8:8" ht="15.75" customHeight="1" x14ac:dyDescent="0.3">
      <c r="H965" s="2"/>
    </row>
    <row r="966" spans="8:8" ht="15.75" customHeight="1" x14ac:dyDescent="0.3">
      <c r="H966" s="2"/>
    </row>
    <row r="967" spans="8:8" ht="15.75" customHeight="1" x14ac:dyDescent="0.3">
      <c r="H967" s="2"/>
    </row>
    <row r="968" spans="8:8" ht="15.75" customHeight="1" x14ac:dyDescent="0.3">
      <c r="H968" s="2"/>
    </row>
    <row r="969" spans="8:8" ht="15.75" customHeight="1" x14ac:dyDescent="0.3">
      <c r="H969" s="2"/>
    </row>
    <row r="970" spans="8:8" ht="15.75" customHeight="1" x14ac:dyDescent="0.3">
      <c r="H970" s="2"/>
    </row>
    <row r="971" spans="8:8" ht="15.75" customHeight="1" x14ac:dyDescent="0.3">
      <c r="H971" s="2"/>
    </row>
    <row r="972" spans="8:8" ht="15.75" customHeight="1" x14ac:dyDescent="0.3">
      <c r="H972" s="2"/>
    </row>
    <row r="973" spans="8:8" ht="15.75" customHeight="1" x14ac:dyDescent="0.3">
      <c r="H973" s="2"/>
    </row>
    <row r="974" spans="8:8" ht="15.75" customHeight="1" x14ac:dyDescent="0.3">
      <c r="H974" s="2"/>
    </row>
    <row r="975" spans="8:8" ht="15.75" customHeight="1" x14ac:dyDescent="0.3">
      <c r="H975" s="2"/>
    </row>
    <row r="976" spans="8:8" ht="15.75" customHeight="1" x14ac:dyDescent="0.3">
      <c r="H976" s="2"/>
    </row>
    <row r="977" spans="8:8" ht="15.75" customHeight="1" x14ac:dyDescent="0.3">
      <c r="H977" s="2"/>
    </row>
    <row r="978" spans="8:8" ht="15.75" customHeight="1" x14ac:dyDescent="0.3">
      <c r="H978" s="2"/>
    </row>
    <row r="979" spans="8:8" ht="15.75" customHeight="1" x14ac:dyDescent="0.3">
      <c r="H979" s="2"/>
    </row>
    <row r="980" spans="8:8" ht="15.75" customHeight="1" x14ac:dyDescent="0.3">
      <c r="H980" s="2"/>
    </row>
    <row r="981" spans="8:8" ht="15.75" customHeight="1" x14ac:dyDescent="0.3">
      <c r="H981" s="2"/>
    </row>
    <row r="982" spans="8:8" ht="15.75" customHeight="1" x14ac:dyDescent="0.3">
      <c r="H982" s="2"/>
    </row>
    <row r="983" spans="8:8" ht="15.75" customHeight="1" x14ac:dyDescent="0.3">
      <c r="H983" s="2"/>
    </row>
    <row r="984" spans="8:8" ht="15.75" customHeight="1" x14ac:dyDescent="0.3">
      <c r="H984" s="2"/>
    </row>
    <row r="985" spans="8:8" ht="15.75" customHeight="1" x14ac:dyDescent="0.3">
      <c r="H985" s="2"/>
    </row>
    <row r="986" spans="8:8" ht="15.75" customHeight="1" x14ac:dyDescent="0.3">
      <c r="H986" s="2"/>
    </row>
    <row r="987" spans="8:8" ht="15.75" customHeight="1" x14ac:dyDescent="0.3">
      <c r="H987" s="2"/>
    </row>
    <row r="988" spans="8:8" ht="15.75" customHeight="1" x14ac:dyDescent="0.3">
      <c r="H988" s="2"/>
    </row>
    <row r="989" spans="8:8" ht="15.75" customHeight="1" x14ac:dyDescent="0.3">
      <c r="H989" s="2"/>
    </row>
    <row r="990" spans="8:8" ht="15.75" customHeight="1" x14ac:dyDescent="0.3">
      <c r="H990" s="2"/>
    </row>
    <row r="991" spans="8:8" ht="15.75" customHeight="1" x14ac:dyDescent="0.3">
      <c r="H991" s="2"/>
    </row>
    <row r="992" spans="8:8" ht="15.75" customHeight="1" x14ac:dyDescent="0.3">
      <c r="H992" s="2"/>
    </row>
    <row r="993" spans="8:8" ht="15.75" customHeight="1" x14ac:dyDescent="0.3">
      <c r="H993" s="2"/>
    </row>
    <row r="994" spans="8:8" ht="15.75" customHeight="1" x14ac:dyDescent="0.3">
      <c r="H994" s="2"/>
    </row>
    <row r="995" spans="8:8" ht="15.75" customHeight="1" x14ac:dyDescent="0.3">
      <c r="H995" s="2"/>
    </row>
    <row r="996" spans="8:8" ht="15.75" customHeight="1" x14ac:dyDescent="0.3">
      <c r="H996" s="2"/>
    </row>
    <row r="997" spans="8:8" ht="15.75" customHeight="1" x14ac:dyDescent="0.3">
      <c r="H997" s="2"/>
    </row>
    <row r="998" spans="8:8" ht="15.75" customHeight="1" x14ac:dyDescent="0.3">
      <c r="H998" s="2"/>
    </row>
    <row r="999" spans="8:8" ht="15.75" customHeight="1" x14ac:dyDescent="0.3">
      <c r="H999" s="2"/>
    </row>
    <row r="1000" spans="8:8" ht="15.75" customHeight="1" x14ac:dyDescent="0.3">
      <c r="H1000" s="2"/>
    </row>
    <row r="1001" spans="8:8" ht="15.75" customHeight="1" x14ac:dyDescent="0.3">
      <c r="H1001" s="2"/>
    </row>
    <row r="1002" spans="8:8" ht="15.75" customHeight="1" x14ac:dyDescent="0.3">
      <c r="H1002" s="2"/>
    </row>
    <row r="1003" spans="8:8" ht="15.75" customHeight="1" x14ac:dyDescent="0.3">
      <c r="H1003" s="2"/>
    </row>
    <row r="1004" spans="8:8" ht="15.75" customHeight="1" x14ac:dyDescent="0.3">
      <c r="H1004" s="2"/>
    </row>
    <row r="1005" spans="8:8" ht="15.75" customHeight="1" x14ac:dyDescent="0.3">
      <c r="H1005" s="2"/>
    </row>
    <row r="1006" spans="8:8" ht="15.75" customHeight="1" x14ac:dyDescent="0.3">
      <c r="H1006" s="2"/>
    </row>
    <row r="1007" spans="8:8" ht="15.75" customHeight="1" x14ac:dyDescent="0.3">
      <c r="H1007" s="2"/>
    </row>
    <row r="1008" spans="8:8" ht="15.75" customHeight="1" x14ac:dyDescent="0.3">
      <c r="H1008" s="2"/>
    </row>
    <row r="1009" spans="8:8" ht="15.75" customHeight="1" x14ac:dyDescent="0.3">
      <c r="H1009" s="2"/>
    </row>
    <row r="1010" spans="8:8" ht="15.75" customHeight="1" x14ac:dyDescent="0.3">
      <c r="H1010" s="2"/>
    </row>
    <row r="1011" spans="8:8" ht="15.75" customHeight="1" x14ac:dyDescent="0.3">
      <c r="H1011" s="2"/>
    </row>
    <row r="1012" spans="8:8" ht="15.75" customHeight="1" x14ac:dyDescent="0.3">
      <c r="H1012" s="2"/>
    </row>
    <row r="1013" spans="8:8" ht="15.75" customHeight="1" x14ac:dyDescent="0.3">
      <c r="H1013" s="2"/>
    </row>
    <row r="1014" spans="8:8" ht="15.75" customHeight="1" x14ac:dyDescent="0.3">
      <c r="H1014" s="2"/>
    </row>
    <row r="1015" spans="8:8" ht="15.75" customHeight="1" x14ac:dyDescent="0.3">
      <c r="H1015" s="2"/>
    </row>
    <row r="1016" spans="8:8" ht="15.75" customHeight="1" x14ac:dyDescent="0.3">
      <c r="H1016" s="2"/>
    </row>
    <row r="1017" spans="8:8" ht="15.75" customHeight="1" x14ac:dyDescent="0.3">
      <c r="H1017" s="2"/>
    </row>
    <row r="1018" spans="8:8" ht="15.75" customHeight="1" x14ac:dyDescent="0.3">
      <c r="H1018" s="2"/>
    </row>
    <row r="1019" spans="8:8" ht="15.75" customHeight="1" x14ac:dyDescent="0.3">
      <c r="H1019" s="2"/>
    </row>
    <row r="1020" spans="8:8" ht="15.75" customHeight="1" x14ac:dyDescent="0.3">
      <c r="H1020" s="2"/>
    </row>
    <row r="1021" spans="8:8" ht="15.75" customHeight="1" x14ac:dyDescent="0.3">
      <c r="H1021" s="2"/>
    </row>
    <row r="1022" spans="8:8" ht="15.75" customHeight="1" x14ac:dyDescent="0.3">
      <c r="H1022" s="2"/>
    </row>
    <row r="1023" spans="8:8" ht="15.75" customHeight="1" x14ac:dyDescent="0.3">
      <c r="H1023" s="2"/>
    </row>
    <row r="1024" spans="8:8" ht="15.75" customHeight="1" x14ac:dyDescent="0.3">
      <c r="H1024" s="2"/>
    </row>
    <row r="1025" spans="8:8" ht="15.75" customHeight="1" x14ac:dyDescent="0.3">
      <c r="H1025" s="2"/>
    </row>
    <row r="1026" spans="8:8" ht="15.75" customHeight="1" x14ac:dyDescent="0.3">
      <c r="H1026" s="2"/>
    </row>
    <row r="1027" spans="8:8" ht="15.75" customHeight="1" x14ac:dyDescent="0.3">
      <c r="H1027" s="2"/>
    </row>
    <row r="1028" spans="8:8" ht="15.75" customHeight="1" x14ac:dyDescent="0.3">
      <c r="H1028" s="2"/>
    </row>
    <row r="1029" spans="8:8" ht="15.75" customHeight="1" x14ac:dyDescent="0.3">
      <c r="H1029" s="2"/>
    </row>
    <row r="1030" spans="8:8" ht="15.75" customHeight="1" x14ac:dyDescent="0.3">
      <c r="H1030" s="2"/>
    </row>
    <row r="1031" spans="8:8" ht="15.75" customHeight="1" x14ac:dyDescent="0.3">
      <c r="H1031" s="2"/>
    </row>
    <row r="1032" spans="8:8" ht="15.75" customHeight="1" x14ac:dyDescent="0.3">
      <c r="H1032" s="2"/>
    </row>
    <row r="1033" spans="8:8" ht="15.75" customHeight="1" x14ac:dyDescent="0.3">
      <c r="H1033" s="2"/>
    </row>
    <row r="1034" spans="8:8" ht="15.75" customHeight="1" x14ac:dyDescent="0.3">
      <c r="H1034" s="2"/>
    </row>
    <row r="1035" spans="8:8" ht="15.75" customHeight="1" x14ac:dyDescent="0.3">
      <c r="H1035" s="2"/>
    </row>
    <row r="1036" spans="8:8" ht="15.75" customHeight="1" x14ac:dyDescent="0.3">
      <c r="H1036" s="2"/>
    </row>
    <row r="1037" spans="8:8" ht="15.75" customHeight="1" x14ac:dyDescent="0.3">
      <c r="H1037" s="2"/>
    </row>
    <row r="1038" spans="8:8" ht="15.75" customHeight="1" x14ac:dyDescent="0.3">
      <c r="H1038" s="2"/>
    </row>
    <row r="1039" spans="8:8" ht="15.75" customHeight="1" x14ac:dyDescent="0.3">
      <c r="H1039" s="2"/>
    </row>
    <row r="1040" spans="8:8" ht="15.75" customHeight="1" x14ac:dyDescent="0.3">
      <c r="H1040" s="2"/>
    </row>
    <row r="1041" spans="8:8" ht="15.75" customHeight="1" x14ac:dyDescent="0.3">
      <c r="H1041" s="2"/>
    </row>
    <row r="1042" spans="8:8" ht="15.75" customHeight="1" x14ac:dyDescent="0.3">
      <c r="H1042" s="2"/>
    </row>
    <row r="1043" spans="8:8" ht="15.75" customHeight="1" x14ac:dyDescent="0.3">
      <c r="H1043" s="2"/>
    </row>
    <row r="1044" spans="8:8" ht="15.75" customHeight="1" x14ac:dyDescent="0.3">
      <c r="H1044" s="2"/>
    </row>
    <row r="1045" spans="8:8" ht="15.75" customHeight="1" x14ac:dyDescent="0.3">
      <c r="H1045" s="2"/>
    </row>
    <row r="1046" spans="8:8" ht="15.75" customHeight="1" x14ac:dyDescent="0.3">
      <c r="H1046" s="2"/>
    </row>
    <row r="1047" spans="8:8" ht="15.75" customHeight="1" x14ac:dyDescent="0.3">
      <c r="H1047" s="2"/>
    </row>
    <row r="1048" spans="8:8" ht="15.75" customHeight="1" x14ac:dyDescent="0.3">
      <c r="H1048" s="2"/>
    </row>
    <row r="1049" spans="8:8" ht="15.75" customHeight="1" x14ac:dyDescent="0.3">
      <c r="H1049" s="2"/>
    </row>
    <row r="1050" spans="8:8" ht="15.75" customHeight="1" x14ac:dyDescent="0.3">
      <c r="H1050" s="2"/>
    </row>
    <row r="1051" spans="8:8" ht="15.75" customHeight="1" x14ac:dyDescent="0.3">
      <c r="H1051" s="2"/>
    </row>
    <row r="1052" spans="8:8" ht="15.75" customHeight="1" x14ac:dyDescent="0.3">
      <c r="H1052" s="2"/>
    </row>
    <row r="1053" spans="8:8" ht="15.75" customHeight="1" x14ac:dyDescent="0.3">
      <c r="H1053" s="2"/>
    </row>
    <row r="1054" spans="8:8" ht="15.75" customHeight="1" x14ac:dyDescent="0.3">
      <c r="H1054" s="2"/>
    </row>
    <row r="1055" spans="8:8" ht="15.75" customHeight="1" x14ac:dyDescent="0.3">
      <c r="H1055" s="2"/>
    </row>
    <row r="1056" spans="8:8" ht="15.75" customHeight="1" x14ac:dyDescent="0.3">
      <c r="H1056" s="2"/>
    </row>
    <row r="1057" spans="8:8" ht="15.75" customHeight="1" x14ac:dyDescent="0.3">
      <c r="H1057" s="2"/>
    </row>
    <row r="1058" spans="8:8" ht="15.75" customHeight="1" x14ac:dyDescent="0.3">
      <c r="H1058" s="2"/>
    </row>
    <row r="1059" spans="8:8" ht="15.75" customHeight="1" x14ac:dyDescent="0.3">
      <c r="H1059" s="2"/>
    </row>
    <row r="1060" spans="8:8" ht="15.75" customHeight="1" x14ac:dyDescent="0.3">
      <c r="H1060" s="2"/>
    </row>
    <row r="1061" spans="8:8" ht="15.75" customHeight="1" x14ac:dyDescent="0.3">
      <c r="H1061" s="2"/>
    </row>
    <row r="1062" spans="8:8" ht="15.75" customHeight="1" x14ac:dyDescent="0.3">
      <c r="H1062" s="2"/>
    </row>
    <row r="1063" spans="8:8" ht="15.75" customHeight="1" x14ac:dyDescent="0.3">
      <c r="H1063" s="2"/>
    </row>
    <row r="1064" spans="8:8" ht="15.75" customHeight="1" x14ac:dyDescent="0.3">
      <c r="H1064" s="2"/>
    </row>
    <row r="1065" spans="8:8" ht="15.75" customHeight="1" x14ac:dyDescent="0.3">
      <c r="H1065" s="2"/>
    </row>
    <row r="1066" spans="8:8" ht="15.75" customHeight="1" x14ac:dyDescent="0.3">
      <c r="H1066" s="2"/>
    </row>
    <row r="1067" spans="8:8" ht="15.75" customHeight="1" x14ac:dyDescent="0.3">
      <c r="H1067" s="2"/>
    </row>
    <row r="1068" spans="8:8" ht="15.75" customHeight="1" x14ac:dyDescent="0.3">
      <c r="H1068" s="2"/>
    </row>
    <row r="1069" spans="8:8" ht="15.75" customHeight="1" x14ac:dyDescent="0.3">
      <c r="H1069" s="2"/>
    </row>
    <row r="1070" spans="8:8" ht="15.75" customHeight="1" x14ac:dyDescent="0.3">
      <c r="H1070" s="2"/>
    </row>
    <row r="1071" spans="8:8" ht="15.75" customHeight="1" x14ac:dyDescent="0.3">
      <c r="H1071" s="2"/>
    </row>
    <row r="1072" spans="8:8" ht="15.75" customHeight="1" x14ac:dyDescent="0.3">
      <c r="H1072" s="2"/>
    </row>
    <row r="1073" spans="8:8" ht="15.75" customHeight="1" x14ac:dyDescent="0.3">
      <c r="H1073" s="2"/>
    </row>
    <row r="1074" spans="8:8" ht="15.75" customHeight="1" x14ac:dyDescent="0.3">
      <c r="H1074" s="2"/>
    </row>
    <row r="1075" spans="8:8" ht="15.75" customHeight="1" x14ac:dyDescent="0.3">
      <c r="H1075" s="2"/>
    </row>
    <row r="1076" spans="8:8" ht="15.75" customHeight="1" x14ac:dyDescent="0.3">
      <c r="H1076" s="2"/>
    </row>
    <row r="1077" spans="8:8" ht="15.75" customHeight="1" x14ac:dyDescent="0.3">
      <c r="H1077" s="2"/>
    </row>
    <row r="1078" spans="8:8" ht="15.75" customHeight="1" x14ac:dyDescent="0.3">
      <c r="H1078" s="2"/>
    </row>
    <row r="1079" spans="8:8" ht="15.75" customHeight="1" x14ac:dyDescent="0.3">
      <c r="H1079" s="2"/>
    </row>
    <row r="1080" spans="8:8" ht="15.75" customHeight="1" x14ac:dyDescent="0.3">
      <c r="H1080" s="2"/>
    </row>
    <row r="1081" spans="8:8" ht="15.75" customHeight="1" x14ac:dyDescent="0.3">
      <c r="H1081" s="2"/>
    </row>
  </sheetData>
  <mergeCells count="2">
    <mergeCell ref="A1:G1"/>
    <mergeCell ref="A2:G2"/>
  </mergeCells>
  <conditionalFormatting sqref="A4">
    <cfRule type="notContainsBlanks" dxfId="5" priority="1">
      <formula>LEN(TRIM(A4))&gt;0</formula>
    </cfRule>
  </conditionalFormatting>
  <pageMargins left="0.7" right="0.7" top="0.75" bottom="0.75" header="0" footer="0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workbookViewId="0">
      <pane xSplit="1" ySplit="1" topLeftCell="Q16" activePane="bottomRight" state="frozen"/>
      <selection pane="topRight" activeCell="B1" sqref="B1"/>
      <selection pane="bottomLeft" activeCell="A2" sqref="A2"/>
      <selection pane="bottomRight" activeCell="AF25" sqref="AF25"/>
    </sheetView>
  </sheetViews>
  <sheetFormatPr baseColWidth="10" defaultColWidth="14.44140625" defaultRowHeight="15" customHeight="1" x14ac:dyDescent="0.3"/>
  <cols>
    <col min="1" max="1" width="17.33203125" customWidth="1"/>
    <col min="2" max="8" width="11.44140625" customWidth="1"/>
    <col min="9" max="9" width="12.33203125" customWidth="1"/>
    <col min="10" max="33" width="11.44140625" customWidth="1"/>
  </cols>
  <sheetData>
    <row r="1" spans="1:32" ht="14.4" x14ac:dyDescent="0.3">
      <c r="A1" s="359" t="s">
        <v>0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</row>
    <row r="2" spans="1:32" ht="14.4" x14ac:dyDescent="0.3">
      <c r="A2" s="359" t="s">
        <v>64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</row>
    <row r="3" spans="1:32" ht="14.4" x14ac:dyDescent="0.3">
      <c r="A3" s="359" t="s">
        <v>65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  <c r="AA3" s="358"/>
      <c r="AB3" s="358"/>
      <c r="AC3" s="358"/>
      <c r="AD3" s="358"/>
      <c r="AE3" s="358"/>
      <c r="AF3" s="358"/>
    </row>
    <row r="4" spans="1:32" ht="14.4" x14ac:dyDescent="0.3">
      <c r="A4" s="360" t="s">
        <v>66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  <c r="AA4" s="358"/>
      <c r="AB4" s="358"/>
      <c r="AC4" s="358"/>
      <c r="AD4" s="358"/>
      <c r="AE4" s="358"/>
      <c r="AF4" s="358"/>
    </row>
    <row r="5" spans="1:32" ht="14.4" x14ac:dyDescent="0.3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8"/>
    </row>
    <row r="6" spans="1:32" ht="15.6" x14ac:dyDescent="0.3">
      <c r="A6" s="30" t="s">
        <v>67</v>
      </c>
      <c r="B6" s="31">
        <v>46113</v>
      </c>
      <c r="C6" s="31">
        <v>46114</v>
      </c>
      <c r="D6" s="31">
        <v>46115</v>
      </c>
      <c r="E6" s="31">
        <v>46116</v>
      </c>
      <c r="F6" s="31">
        <v>46117</v>
      </c>
      <c r="G6" s="31">
        <v>46118</v>
      </c>
      <c r="H6" s="31">
        <v>46119</v>
      </c>
      <c r="I6" s="31">
        <v>46120</v>
      </c>
      <c r="J6" s="31">
        <v>46121</v>
      </c>
      <c r="K6" s="31">
        <v>46122</v>
      </c>
      <c r="L6" s="31">
        <v>46123</v>
      </c>
      <c r="M6" s="31">
        <v>46124</v>
      </c>
      <c r="N6" s="31">
        <v>46125</v>
      </c>
      <c r="O6" s="31">
        <v>46126</v>
      </c>
      <c r="P6" s="31">
        <v>46127</v>
      </c>
      <c r="Q6" s="31">
        <v>46128</v>
      </c>
      <c r="R6" s="31">
        <v>46129</v>
      </c>
      <c r="S6" s="31">
        <v>46130</v>
      </c>
      <c r="T6" s="31">
        <v>46131</v>
      </c>
      <c r="U6" s="31">
        <v>46132</v>
      </c>
      <c r="V6" s="31">
        <v>46133</v>
      </c>
      <c r="W6" s="31">
        <v>46134</v>
      </c>
      <c r="X6" s="31">
        <v>46135</v>
      </c>
      <c r="Y6" s="31">
        <v>46136</v>
      </c>
      <c r="Z6" s="31">
        <v>46137</v>
      </c>
      <c r="AA6" s="31">
        <v>46138</v>
      </c>
      <c r="AB6" s="31">
        <v>46139</v>
      </c>
      <c r="AC6" s="31">
        <v>46140</v>
      </c>
      <c r="AD6" s="31">
        <v>46141</v>
      </c>
      <c r="AE6" s="31">
        <v>46142</v>
      </c>
      <c r="AF6" s="32" t="s">
        <v>68</v>
      </c>
    </row>
    <row r="7" spans="1:32" ht="15.6" x14ac:dyDescent="0.3">
      <c r="A7" s="33" t="s">
        <v>69</v>
      </c>
      <c r="B7" s="34">
        <v>16</v>
      </c>
      <c r="C7" s="35">
        <v>16</v>
      </c>
      <c r="D7" s="35">
        <v>17</v>
      </c>
      <c r="E7" s="34">
        <v>15</v>
      </c>
      <c r="F7" s="34">
        <v>15</v>
      </c>
      <c r="G7" s="35">
        <v>15</v>
      </c>
      <c r="H7" s="35">
        <v>15</v>
      </c>
      <c r="I7" s="35">
        <v>20</v>
      </c>
      <c r="J7" s="35">
        <v>20</v>
      </c>
      <c r="K7" s="35">
        <v>20</v>
      </c>
      <c r="L7" s="35">
        <v>15</v>
      </c>
      <c r="M7" s="35">
        <v>15</v>
      </c>
      <c r="N7" s="35">
        <v>15</v>
      </c>
      <c r="O7" s="35">
        <v>15</v>
      </c>
      <c r="P7" s="35">
        <v>16</v>
      </c>
      <c r="Q7" s="35">
        <v>16</v>
      </c>
      <c r="R7" s="35">
        <v>15</v>
      </c>
      <c r="S7" s="35">
        <v>16</v>
      </c>
      <c r="T7" s="35">
        <v>15</v>
      </c>
      <c r="U7" s="35">
        <v>16</v>
      </c>
      <c r="V7" s="35">
        <v>15</v>
      </c>
      <c r="W7" s="35">
        <v>16</v>
      </c>
      <c r="X7" s="35">
        <v>16</v>
      </c>
      <c r="Y7" s="35">
        <v>16</v>
      </c>
      <c r="Z7" s="35">
        <v>15</v>
      </c>
      <c r="AA7" s="35">
        <v>15</v>
      </c>
      <c r="AB7" s="35">
        <v>15</v>
      </c>
      <c r="AC7" s="35">
        <v>15</v>
      </c>
      <c r="AD7" s="35">
        <v>16</v>
      </c>
      <c r="AE7" s="35">
        <v>16</v>
      </c>
      <c r="AF7" s="36">
        <f>SUM(B7:AE7)</f>
        <v>478</v>
      </c>
    </row>
    <row r="8" spans="1:32" ht="15.6" x14ac:dyDescent="0.3">
      <c r="A8" s="33" t="s">
        <v>70</v>
      </c>
      <c r="B8" s="34">
        <v>31</v>
      </c>
      <c r="C8" s="35">
        <v>31</v>
      </c>
      <c r="D8" s="35">
        <v>31</v>
      </c>
      <c r="E8" s="34">
        <v>28</v>
      </c>
      <c r="F8" s="34">
        <v>28</v>
      </c>
      <c r="G8" s="35">
        <v>28</v>
      </c>
      <c r="H8" s="35">
        <v>28</v>
      </c>
      <c r="I8" s="35">
        <v>33</v>
      </c>
      <c r="J8" s="35">
        <v>33</v>
      </c>
      <c r="K8" s="35">
        <v>33</v>
      </c>
      <c r="L8" s="35">
        <v>24</v>
      </c>
      <c r="M8" s="35">
        <v>24</v>
      </c>
      <c r="N8" s="35">
        <v>24</v>
      </c>
      <c r="O8" s="35">
        <v>24</v>
      </c>
      <c r="P8" s="35">
        <v>33</v>
      </c>
      <c r="Q8" s="35">
        <v>33</v>
      </c>
      <c r="R8" s="35">
        <v>33</v>
      </c>
      <c r="S8" s="35">
        <v>27</v>
      </c>
      <c r="T8" s="35">
        <v>27</v>
      </c>
      <c r="U8" s="35">
        <v>27</v>
      </c>
      <c r="V8" s="35">
        <v>25</v>
      </c>
      <c r="W8" s="35">
        <v>33</v>
      </c>
      <c r="X8" s="35">
        <v>32</v>
      </c>
      <c r="Y8" s="35">
        <v>32</v>
      </c>
      <c r="Z8" s="35">
        <v>25</v>
      </c>
      <c r="AA8" s="35">
        <v>25</v>
      </c>
      <c r="AB8" s="35">
        <v>25</v>
      </c>
      <c r="AC8" s="35">
        <v>25</v>
      </c>
      <c r="AD8" s="35">
        <v>36</v>
      </c>
      <c r="AE8" s="35">
        <v>34</v>
      </c>
      <c r="AF8" s="36">
        <f t="shared" ref="AF8:AF40" si="0">SUM(B8:AE8)</f>
        <v>872</v>
      </c>
    </row>
    <row r="9" spans="1:32" ht="15.6" x14ac:dyDescent="0.3">
      <c r="A9" s="33" t="s">
        <v>15</v>
      </c>
      <c r="B9" s="34">
        <v>1.3</v>
      </c>
      <c r="C9" s="35">
        <v>1.3</v>
      </c>
      <c r="D9" s="35">
        <v>1.3</v>
      </c>
      <c r="E9" s="34">
        <v>0.6</v>
      </c>
      <c r="F9" s="34">
        <v>0.7</v>
      </c>
      <c r="G9" s="35">
        <v>0.7</v>
      </c>
      <c r="H9" s="35">
        <v>0.6</v>
      </c>
      <c r="I9" s="35">
        <v>0.9</v>
      </c>
      <c r="J9" s="35">
        <v>0.9</v>
      </c>
      <c r="K9" s="35">
        <v>0.9</v>
      </c>
      <c r="L9" s="35">
        <v>0.6</v>
      </c>
      <c r="M9" s="35">
        <v>0.6</v>
      </c>
      <c r="N9" s="35">
        <v>0.6</v>
      </c>
      <c r="O9" s="35">
        <v>0.6</v>
      </c>
      <c r="P9" s="35">
        <v>0.61</v>
      </c>
      <c r="Q9" s="35">
        <v>0.6</v>
      </c>
      <c r="R9" s="35">
        <v>0.64</v>
      </c>
      <c r="S9" s="35">
        <v>0.5</v>
      </c>
      <c r="T9" s="35">
        <v>0.55000000000000004</v>
      </c>
      <c r="U9" s="35">
        <v>0.5</v>
      </c>
      <c r="V9" s="35">
        <v>0.5</v>
      </c>
      <c r="W9" s="35">
        <v>0.7</v>
      </c>
      <c r="X9" s="35">
        <v>0.7</v>
      </c>
      <c r="Y9" s="35">
        <v>0.7</v>
      </c>
      <c r="Z9" s="35">
        <v>0.4</v>
      </c>
      <c r="AA9" s="35">
        <v>0.4</v>
      </c>
      <c r="AB9" s="35">
        <v>0.45</v>
      </c>
      <c r="AC9" s="35">
        <v>0.6</v>
      </c>
      <c r="AD9" s="35">
        <v>0.7</v>
      </c>
      <c r="AE9" s="35">
        <v>0.7</v>
      </c>
      <c r="AF9" s="36">
        <f t="shared" si="0"/>
        <v>20.849999999999994</v>
      </c>
    </row>
    <row r="10" spans="1:32" ht="15.6" x14ac:dyDescent="0.3">
      <c r="A10" s="33" t="s">
        <v>71</v>
      </c>
      <c r="B10" s="34"/>
      <c r="C10" s="35"/>
      <c r="D10" s="35"/>
      <c r="E10" s="34"/>
      <c r="F10" s="34"/>
      <c r="G10" s="35"/>
      <c r="H10" s="35"/>
      <c r="I10" s="35"/>
      <c r="J10" s="35"/>
      <c r="K10" s="35">
        <v>4</v>
      </c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>
        <v>4</v>
      </c>
      <c r="AE10" s="35"/>
      <c r="AF10" s="36">
        <f>SUM(B10:AE10)</f>
        <v>8</v>
      </c>
    </row>
    <row r="11" spans="1:32" ht="15.6" x14ac:dyDescent="0.3">
      <c r="A11" s="33" t="s">
        <v>16</v>
      </c>
      <c r="B11" s="34">
        <v>3</v>
      </c>
      <c r="C11" s="35">
        <v>3</v>
      </c>
      <c r="D11" s="35">
        <v>2.9</v>
      </c>
      <c r="E11" s="34">
        <v>3</v>
      </c>
      <c r="F11" s="34">
        <v>3</v>
      </c>
      <c r="G11" s="35">
        <v>3</v>
      </c>
      <c r="H11" s="35">
        <v>2.85</v>
      </c>
      <c r="I11" s="35">
        <v>4</v>
      </c>
      <c r="J11" s="35">
        <v>4</v>
      </c>
      <c r="K11" s="35">
        <v>3</v>
      </c>
      <c r="L11" s="35">
        <v>3.5</v>
      </c>
      <c r="M11" s="35">
        <v>3</v>
      </c>
      <c r="N11" s="35">
        <v>3</v>
      </c>
      <c r="O11" s="35">
        <v>3.7</v>
      </c>
      <c r="P11" s="35">
        <v>3.6</v>
      </c>
      <c r="Q11" s="35">
        <v>3.5</v>
      </c>
      <c r="R11" s="35">
        <v>3</v>
      </c>
      <c r="S11" s="35">
        <v>3.2</v>
      </c>
      <c r="T11" s="35">
        <v>3.2</v>
      </c>
      <c r="U11" s="35">
        <v>3.2</v>
      </c>
      <c r="V11" s="35">
        <v>3.2</v>
      </c>
      <c r="W11" s="35">
        <v>2.1</v>
      </c>
      <c r="X11" s="35">
        <v>4</v>
      </c>
      <c r="Y11" s="35">
        <v>4</v>
      </c>
      <c r="Z11" s="35">
        <v>3.7</v>
      </c>
      <c r="AA11" s="35">
        <v>3</v>
      </c>
      <c r="AB11" s="35">
        <v>3</v>
      </c>
      <c r="AC11" s="35">
        <v>2</v>
      </c>
      <c r="AD11" s="35">
        <v>3.9</v>
      </c>
      <c r="AE11" s="35">
        <v>3</v>
      </c>
      <c r="AF11" s="36">
        <f t="shared" si="0"/>
        <v>96.550000000000011</v>
      </c>
    </row>
    <row r="12" spans="1:32" ht="15.6" x14ac:dyDescent="0.3">
      <c r="A12" s="33" t="s">
        <v>62</v>
      </c>
      <c r="B12" s="34">
        <v>0.7</v>
      </c>
      <c r="C12" s="35">
        <v>0.7</v>
      </c>
      <c r="D12" s="35">
        <v>0.7</v>
      </c>
      <c r="E12" s="34">
        <v>0.6</v>
      </c>
      <c r="F12" s="34">
        <v>0.7</v>
      </c>
      <c r="G12" s="35">
        <v>0.4</v>
      </c>
      <c r="H12" s="35">
        <v>0.4</v>
      </c>
      <c r="I12" s="35">
        <v>0.65</v>
      </c>
      <c r="J12" s="35">
        <v>0.7</v>
      </c>
      <c r="K12" s="35">
        <v>0.7</v>
      </c>
      <c r="L12" s="35">
        <v>0.7</v>
      </c>
      <c r="M12" s="35">
        <v>0.7</v>
      </c>
      <c r="N12" s="35">
        <v>0.7</v>
      </c>
      <c r="O12" s="35">
        <v>0.8</v>
      </c>
      <c r="P12" s="35">
        <v>0.7</v>
      </c>
      <c r="Q12" s="35">
        <v>0.7</v>
      </c>
      <c r="R12" s="35">
        <v>0.8</v>
      </c>
      <c r="S12" s="35">
        <v>2.5</v>
      </c>
      <c r="T12" s="35">
        <v>2.1</v>
      </c>
      <c r="U12" s="35">
        <v>2.4</v>
      </c>
      <c r="V12" s="35">
        <v>2.1</v>
      </c>
      <c r="W12" s="35">
        <v>0.7</v>
      </c>
      <c r="X12" s="35">
        <v>0.7</v>
      </c>
      <c r="Y12" s="35">
        <v>0.7</v>
      </c>
      <c r="Z12" s="35">
        <v>0.7</v>
      </c>
      <c r="AA12" s="35">
        <v>0.7</v>
      </c>
      <c r="AB12" s="35">
        <v>0.7</v>
      </c>
      <c r="AC12" s="35">
        <v>0.7</v>
      </c>
      <c r="AD12" s="35">
        <v>0.7</v>
      </c>
      <c r="AE12" s="35">
        <v>0.7</v>
      </c>
      <c r="AF12" s="36">
        <f t="shared" si="0"/>
        <v>26.749999999999993</v>
      </c>
    </row>
    <row r="13" spans="1:32" ht="15.6" x14ac:dyDescent="0.3">
      <c r="A13" s="33" t="s">
        <v>17</v>
      </c>
      <c r="B13" s="34">
        <v>2</v>
      </c>
      <c r="C13" s="35">
        <v>2</v>
      </c>
      <c r="D13" s="35">
        <v>1.95</v>
      </c>
      <c r="E13" s="34">
        <v>2.8</v>
      </c>
      <c r="F13" s="34">
        <v>2</v>
      </c>
      <c r="G13" s="35">
        <v>2</v>
      </c>
      <c r="H13" s="35">
        <v>2</v>
      </c>
      <c r="I13" s="37">
        <v>2.2999999999999998</v>
      </c>
      <c r="J13" s="35">
        <v>2</v>
      </c>
      <c r="K13" s="35">
        <v>2</v>
      </c>
      <c r="L13" s="35">
        <v>2</v>
      </c>
      <c r="M13" s="35">
        <v>2</v>
      </c>
      <c r="N13" s="35">
        <v>2</v>
      </c>
      <c r="O13" s="35">
        <v>2</v>
      </c>
      <c r="P13" s="35">
        <v>1.4</v>
      </c>
      <c r="Q13" s="35">
        <v>1.6</v>
      </c>
      <c r="R13" s="35">
        <v>2.95</v>
      </c>
      <c r="S13" s="35">
        <v>2.5</v>
      </c>
      <c r="T13" s="35">
        <v>2.1</v>
      </c>
      <c r="U13" s="35">
        <v>2.4</v>
      </c>
      <c r="V13" s="35">
        <v>2.1</v>
      </c>
      <c r="W13" s="35">
        <v>2</v>
      </c>
      <c r="X13" s="35">
        <v>2</v>
      </c>
      <c r="Y13" s="35">
        <v>2</v>
      </c>
      <c r="Z13" s="35">
        <v>3.3</v>
      </c>
      <c r="AA13" s="35">
        <v>2</v>
      </c>
      <c r="AB13" s="35">
        <v>2</v>
      </c>
      <c r="AC13" s="35">
        <v>2</v>
      </c>
      <c r="AD13" s="35">
        <v>2.2999999999999998</v>
      </c>
      <c r="AE13" s="35">
        <v>2</v>
      </c>
      <c r="AF13" s="36">
        <f t="shared" si="0"/>
        <v>63.699999999999996</v>
      </c>
    </row>
    <row r="14" spans="1:32" ht="15.6" x14ac:dyDescent="0.3">
      <c r="A14" s="33" t="s">
        <v>37</v>
      </c>
      <c r="B14" s="34">
        <v>1</v>
      </c>
      <c r="C14" s="35">
        <v>1</v>
      </c>
      <c r="D14" s="35">
        <v>0.6</v>
      </c>
      <c r="E14" s="34">
        <v>0.6</v>
      </c>
      <c r="F14" s="34">
        <v>0.6</v>
      </c>
      <c r="G14" s="35">
        <v>0.7</v>
      </c>
      <c r="H14" s="35">
        <v>0.6</v>
      </c>
      <c r="I14" s="37">
        <v>1.1000000000000001</v>
      </c>
      <c r="J14" s="35">
        <v>1</v>
      </c>
      <c r="K14" s="35">
        <v>1</v>
      </c>
      <c r="L14" s="35">
        <v>0.7</v>
      </c>
      <c r="M14" s="35">
        <v>0.7</v>
      </c>
      <c r="N14" s="35">
        <v>0.7</v>
      </c>
      <c r="O14" s="35">
        <v>0.9</v>
      </c>
      <c r="P14" s="35">
        <v>1.05</v>
      </c>
      <c r="Q14" s="35">
        <v>1.05</v>
      </c>
      <c r="R14" s="35">
        <v>1.05</v>
      </c>
      <c r="S14" s="35">
        <v>0.45</v>
      </c>
      <c r="T14" s="35">
        <v>0.55000000000000004</v>
      </c>
      <c r="U14" s="35">
        <v>0.8</v>
      </c>
      <c r="V14" s="35">
        <v>1.25</v>
      </c>
      <c r="W14" s="35">
        <v>1.3</v>
      </c>
      <c r="X14" s="35">
        <v>1</v>
      </c>
      <c r="Y14" s="35">
        <v>1</v>
      </c>
      <c r="Z14" s="35">
        <v>0.8</v>
      </c>
      <c r="AA14" s="35">
        <v>0.8</v>
      </c>
      <c r="AB14" s="35">
        <v>0.7</v>
      </c>
      <c r="AC14" s="35">
        <v>0.8</v>
      </c>
      <c r="AD14" s="35">
        <v>1.05</v>
      </c>
      <c r="AE14" s="35">
        <v>1</v>
      </c>
      <c r="AF14" s="36">
        <f t="shared" si="0"/>
        <v>25.85</v>
      </c>
    </row>
    <row r="15" spans="1:32" ht="15.6" x14ac:dyDescent="0.3">
      <c r="A15" s="33" t="s">
        <v>18</v>
      </c>
      <c r="B15" s="34">
        <v>2</v>
      </c>
      <c r="C15" s="35">
        <v>2</v>
      </c>
      <c r="D15" s="35">
        <v>2.35</v>
      </c>
      <c r="E15" s="34">
        <v>2</v>
      </c>
      <c r="F15" s="34">
        <v>2</v>
      </c>
      <c r="G15" s="35">
        <v>2</v>
      </c>
      <c r="H15" s="35">
        <v>2</v>
      </c>
      <c r="I15" s="35">
        <v>3</v>
      </c>
      <c r="J15" s="35">
        <v>2</v>
      </c>
      <c r="K15" s="35">
        <v>2.4</v>
      </c>
      <c r="L15" s="35">
        <v>2</v>
      </c>
      <c r="M15" s="35">
        <v>2</v>
      </c>
      <c r="N15" s="35">
        <v>2</v>
      </c>
      <c r="O15" s="35">
        <v>2</v>
      </c>
      <c r="P15" s="35">
        <v>2</v>
      </c>
      <c r="Q15" s="35">
        <v>2.0499999999999998</v>
      </c>
      <c r="R15" s="35">
        <v>2</v>
      </c>
      <c r="S15" s="35">
        <v>2.4</v>
      </c>
      <c r="T15" s="35">
        <v>2.2999999999999998</v>
      </c>
      <c r="U15" s="35">
        <v>2.5</v>
      </c>
      <c r="V15" s="35">
        <v>1.85</v>
      </c>
      <c r="W15" s="35">
        <v>2.15</v>
      </c>
      <c r="X15" s="35">
        <v>2</v>
      </c>
      <c r="Y15" s="35">
        <v>2</v>
      </c>
      <c r="Z15" s="35">
        <v>3</v>
      </c>
      <c r="AA15" s="35">
        <v>2</v>
      </c>
      <c r="AB15" s="35">
        <v>2</v>
      </c>
      <c r="AC15" s="35">
        <v>2.95</v>
      </c>
      <c r="AD15" s="35">
        <v>2</v>
      </c>
      <c r="AE15" s="35">
        <v>2</v>
      </c>
      <c r="AF15" s="36">
        <f t="shared" si="0"/>
        <v>64.949999999999989</v>
      </c>
    </row>
    <row r="16" spans="1:32" ht="15.6" x14ac:dyDescent="0.3">
      <c r="A16" s="33" t="s">
        <v>19</v>
      </c>
      <c r="B16" s="34">
        <v>0.4</v>
      </c>
      <c r="C16" s="35">
        <v>0.4</v>
      </c>
      <c r="D16" s="35">
        <v>0.4</v>
      </c>
      <c r="E16" s="34">
        <v>0.35</v>
      </c>
      <c r="F16" s="34">
        <v>0.3</v>
      </c>
      <c r="G16" s="35">
        <v>0.3</v>
      </c>
      <c r="H16" s="35">
        <v>0.3</v>
      </c>
      <c r="I16" s="35">
        <v>0.5</v>
      </c>
      <c r="J16" s="35">
        <v>0.5</v>
      </c>
      <c r="K16" s="35">
        <v>0.5</v>
      </c>
      <c r="L16" s="35">
        <v>0.5</v>
      </c>
      <c r="M16" s="35">
        <v>0.4</v>
      </c>
      <c r="N16" s="35">
        <v>0.4</v>
      </c>
      <c r="O16" s="35">
        <v>0.5</v>
      </c>
      <c r="P16" s="35">
        <v>0.5</v>
      </c>
      <c r="Q16" s="35">
        <v>0.4</v>
      </c>
      <c r="R16" s="35">
        <v>0.35</v>
      </c>
      <c r="S16" s="35">
        <v>0.25</v>
      </c>
      <c r="T16" s="35">
        <v>0.25</v>
      </c>
      <c r="U16" s="35">
        <v>0.5</v>
      </c>
      <c r="V16" s="35">
        <v>0.5</v>
      </c>
      <c r="W16" s="35">
        <v>0.4</v>
      </c>
      <c r="X16" s="35">
        <v>0.4</v>
      </c>
      <c r="Y16" s="35">
        <v>0.2</v>
      </c>
      <c r="Z16" s="35">
        <v>0.5</v>
      </c>
      <c r="AA16" s="35">
        <v>0.5</v>
      </c>
      <c r="AB16" s="35">
        <v>0.25</v>
      </c>
      <c r="AC16" s="35">
        <v>0.3</v>
      </c>
      <c r="AD16" s="35">
        <v>0.40500000000000003</v>
      </c>
      <c r="AE16" s="35">
        <v>0.4</v>
      </c>
      <c r="AF16" s="36">
        <f t="shared" si="0"/>
        <v>11.855</v>
      </c>
    </row>
    <row r="17" spans="1:32" ht="15.6" x14ac:dyDescent="0.3">
      <c r="A17" s="33" t="s">
        <v>72</v>
      </c>
      <c r="B17" s="34">
        <v>4</v>
      </c>
      <c r="C17" s="35">
        <v>4</v>
      </c>
      <c r="D17" s="35">
        <v>4</v>
      </c>
      <c r="E17" s="34">
        <v>3</v>
      </c>
      <c r="F17" s="34">
        <v>3</v>
      </c>
      <c r="G17" s="35">
        <v>3</v>
      </c>
      <c r="H17" s="35">
        <v>3</v>
      </c>
      <c r="I17" s="35">
        <v>5</v>
      </c>
      <c r="J17" s="35">
        <v>5</v>
      </c>
      <c r="K17" s="35">
        <v>4</v>
      </c>
      <c r="L17" s="35">
        <v>4</v>
      </c>
      <c r="M17" s="35">
        <v>4</v>
      </c>
      <c r="N17" s="35">
        <v>4</v>
      </c>
      <c r="O17" s="35">
        <v>4</v>
      </c>
      <c r="P17" s="35">
        <v>4</v>
      </c>
      <c r="Q17" s="35">
        <v>4</v>
      </c>
      <c r="R17" s="35">
        <v>4</v>
      </c>
      <c r="S17" s="35">
        <v>4</v>
      </c>
      <c r="T17" s="35">
        <v>4</v>
      </c>
      <c r="U17" s="35">
        <v>4</v>
      </c>
      <c r="V17" s="35">
        <v>4</v>
      </c>
      <c r="W17" s="35">
        <v>4</v>
      </c>
      <c r="X17" s="35">
        <v>4</v>
      </c>
      <c r="Y17" s="35">
        <v>4</v>
      </c>
      <c r="Z17" s="35">
        <v>4</v>
      </c>
      <c r="AA17" s="35">
        <v>4</v>
      </c>
      <c r="AB17" s="35">
        <v>4</v>
      </c>
      <c r="AC17" s="35">
        <v>3</v>
      </c>
      <c r="AD17" s="35">
        <v>4</v>
      </c>
      <c r="AE17" s="35">
        <v>4</v>
      </c>
      <c r="AF17" s="36">
        <f t="shared" si="0"/>
        <v>117</v>
      </c>
    </row>
    <row r="18" spans="1:32" ht="15.6" x14ac:dyDescent="0.3">
      <c r="A18" s="33" t="s">
        <v>21</v>
      </c>
      <c r="B18" s="34">
        <v>4</v>
      </c>
      <c r="C18" s="35">
        <v>4</v>
      </c>
      <c r="D18" s="35">
        <v>4</v>
      </c>
      <c r="E18" s="34">
        <v>4</v>
      </c>
      <c r="F18" s="34">
        <v>4</v>
      </c>
      <c r="G18" s="35">
        <v>3</v>
      </c>
      <c r="H18" s="35">
        <v>3</v>
      </c>
      <c r="I18" s="35">
        <v>4</v>
      </c>
      <c r="J18" s="35">
        <v>4</v>
      </c>
      <c r="K18" s="35">
        <v>4</v>
      </c>
      <c r="L18" s="35">
        <v>4</v>
      </c>
      <c r="M18" s="35">
        <v>4</v>
      </c>
      <c r="N18" s="35">
        <v>3</v>
      </c>
      <c r="O18" s="35">
        <v>3</v>
      </c>
      <c r="P18" s="35">
        <v>4</v>
      </c>
      <c r="Q18" s="35">
        <v>4</v>
      </c>
      <c r="R18" s="35">
        <v>4</v>
      </c>
      <c r="S18" s="35">
        <v>4</v>
      </c>
      <c r="T18" s="35">
        <v>3</v>
      </c>
      <c r="U18" s="35">
        <v>3</v>
      </c>
      <c r="V18" s="35">
        <v>4</v>
      </c>
      <c r="W18" s="35">
        <v>4</v>
      </c>
      <c r="X18" s="35">
        <v>4</v>
      </c>
      <c r="Y18" s="35">
        <v>4</v>
      </c>
      <c r="Z18" s="35">
        <v>4</v>
      </c>
      <c r="AA18" s="35">
        <v>4</v>
      </c>
      <c r="AB18" s="35">
        <v>4</v>
      </c>
      <c r="AC18" s="35">
        <v>2</v>
      </c>
      <c r="AD18" s="35">
        <v>4</v>
      </c>
      <c r="AE18" s="35">
        <v>4</v>
      </c>
      <c r="AF18" s="36">
        <f t="shared" si="0"/>
        <v>112</v>
      </c>
    </row>
    <row r="19" spans="1:32" ht="15.6" x14ac:dyDescent="0.3">
      <c r="A19" s="33" t="s">
        <v>22</v>
      </c>
      <c r="B19" s="34">
        <v>9</v>
      </c>
      <c r="C19" s="35">
        <v>9</v>
      </c>
      <c r="D19" s="35">
        <v>8</v>
      </c>
      <c r="E19" s="34">
        <v>9</v>
      </c>
      <c r="F19" s="34">
        <v>9</v>
      </c>
      <c r="G19" s="35">
        <v>8</v>
      </c>
      <c r="H19" s="35">
        <v>8</v>
      </c>
      <c r="I19" s="35">
        <v>13</v>
      </c>
      <c r="J19" s="35">
        <v>13</v>
      </c>
      <c r="K19" s="35">
        <v>13</v>
      </c>
      <c r="L19" s="35">
        <v>10</v>
      </c>
      <c r="M19" s="35">
        <v>9</v>
      </c>
      <c r="N19" s="35">
        <v>9</v>
      </c>
      <c r="O19" s="35">
        <v>9</v>
      </c>
      <c r="P19" s="35">
        <v>10</v>
      </c>
      <c r="Q19" s="35">
        <v>8</v>
      </c>
      <c r="R19" s="35">
        <v>10</v>
      </c>
      <c r="S19" s="35">
        <v>9</v>
      </c>
      <c r="T19" s="35">
        <v>9</v>
      </c>
      <c r="U19" s="35">
        <v>8</v>
      </c>
      <c r="V19" s="35">
        <v>13</v>
      </c>
      <c r="W19" s="35">
        <v>10</v>
      </c>
      <c r="X19" s="35">
        <v>10</v>
      </c>
      <c r="Y19" s="35">
        <v>9</v>
      </c>
      <c r="Z19" s="35">
        <v>10</v>
      </c>
      <c r="AA19" s="35">
        <v>10</v>
      </c>
      <c r="AB19" s="35">
        <v>9</v>
      </c>
      <c r="AC19" s="35">
        <v>9</v>
      </c>
      <c r="AD19" s="35">
        <v>10</v>
      </c>
      <c r="AE19" s="35">
        <v>9</v>
      </c>
      <c r="AF19" s="36">
        <f t="shared" si="0"/>
        <v>289</v>
      </c>
    </row>
    <row r="20" spans="1:32" ht="15.6" x14ac:dyDescent="0.3">
      <c r="A20" s="33" t="s">
        <v>23</v>
      </c>
      <c r="B20" s="34">
        <v>33</v>
      </c>
      <c r="C20" s="35">
        <v>33</v>
      </c>
      <c r="D20" s="35">
        <v>32</v>
      </c>
      <c r="E20" s="34">
        <v>33</v>
      </c>
      <c r="F20" s="34">
        <v>32</v>
      </c>
      <c r="G20" s="35">
        <v>32</v>
      </c>
      <c r="H20" s="35">
        <v>32</v>
      </c>
      <c r="I20" s="35">
        <v>33</v>
      </c>
      <c r="J20" s="35">
        <v>32</v>
      </c>
      <c r="K20" s="35">
        <v>32</v>
      </c>
      <c r="L20" s="35">
        <v>36</v>
      </c>
      <c r="M20" s="35">
        <v>35</v>
      </c>
      <c r="N20" s="35">
        <v>35</v>
      </c>
      <c r="O20" s="35">
        <v>35</v>
      </c>
      <c r="P20" s="35">
        <v>32</v>
      </c>
      <c r="Q20" s="35">
        <v>32</v>
      </c>
      <c r="R20" s="35">
        <v>32</v>
      </c>
      <c r="S20" s="35">
        <v>34</v>
      </c>
      <c r="T20" s="35">
        <v>34</v>
      </c>
      <c r="U20" s="35">
        <v>33</v>
      </c>
      <c r="V20" s="35">
        <v>29</v>
      </c>
      <c r="W20" s="35">
        <v>33</v>
      </c>
      <c r="X20" s="35">
        <v>32</v>
      </c>
      <c r="Y20" s="35">
        <v>33</v>
      </c>
      <c r="Z20" s="35">
        <v>32</v>
      </c>
      <c r="AA20" s="35">
        <v>31</v>
      </c>
      <c r="AB20" s="35">
        <v>31</v>
      </c>
      <c r="AC20" s="35">
        <v>31</v>
      </c>
      <c r="AD20" s="35">
        <v>31</v>
      </c>
      <c r="AE20" s="35">
        <v>31</v>
      </c>
      <c r="AF20" s="36">
        <f t="shared" si="0"/>
        <v>976</v>
      </c>
    </row>
    <row r="21" spans="1:32" ht="15.75" customHeight="1" x14ac:dyDescent="0.3">
      <c r="A21" s="33" t="s">
        <v>24</v>
      </c>
      <c r="B21" s="34">
        <v>0.5</v>
      </c>
      <c r="C21" s="35">
        <v>0.5</v>
      </c>
      <c r="D21" s="35">
        <v>0.65</v>
      </c>
      <c r="E21" s="34">
        <v>0.6</v>
      </c>
      <c r="F21" s="34">
        <v>0.5</v>
      </c>
      <c r="G21" s="35">
        <v>0.5</v>
      </c>
      <c r="H21" s="35">
        <v>0.5</v>
      </c>
      <c r="I21" s="35">
        <v>0.5</v>
      </c>
      <c r="J21" s="35">
        <v>0.5</v>
      </c>
      <c r="K21" s="35">
        <v>0.5</v>
      </c>
      <c r="L21" s="35">
        <v>0.5</v>
      </c>
      <c r="M21" s="35">
        <v>0.5</v>
      </c>
      <c r="N21" s="35">
        <v>0.25</v>
      </c>
      <c r="O21" s="35">
        <v>0.25</v>
      </c>
      <c r="P21" s="35">
        <v>0.55000000000000004</v>
      </c>
      <c r="Q21" s="35">
        <v>0.55000000000000004</v>
      </c>
      <c r="R21" s="35">
        <v>0.55000000000000004</v>
      </c>
      <c r="S21" s="35">
        <v>0.5</v>
      </c>
      <c r="T21" s="35">
        <v>0.5</v>
      </c>
      <c r="U21" s="35">
        <v>0.5</v>
      </c>
      <c r="V21" s="35">
        <v>0.5</v>
      </c>
      <c r="W21" s="35">
        <v>0.5</v>
      </c>
      <c r="X21" s="35">
        <v>0.5</v>
      </c>
      <c r="Y21" s="35">
        <v>0.5</v>
      </c>
      <c r="Z21" s="35">
        <v>0.45</v>
      </c>
      <c r="AA21" s="35">
        <v>0.45</v>
      </c>
      <c r="AB21" s="35">
        <v>0.45</v>
      </c>
      <c r="AC21" s="35">
        <v>0.45</v>
      </c>
      <c r="AD21" s="35">
        <v>0.4</v>
      </c>
      <c r="AE21" s="35">
        <v>0.4</v>
      </c>
      <c r="AF21" s="36">
        <f t="shared" si="0"/>
        <v>14.499999999999998</v>
      </c>
    </row>
    <row r="22" spans="1:32" ht="15.75" customHeight="1" x14ac:dyDescent="0.3">
      <c r="A22" s="33" t="s">
        <v>25</v>
      </c>
      <c r="B22" s="34">
        <v>2</v>
      </c>
      <c r="C22" s="35">
        <v>1</v>
      </c>
      <c r="D22" s="35">
        <v>1.85</v>
      </c>
      <c r="E22" s="34">
        <v>1.7</v>
      </c>
      <c r="F22" s="34">
        <v>1</v>
      </c>
      <c r="G22" s="35">
        <v>1</v>
      </c>
      <c r="H22" s="35">
        <v>1</v>
      </c>
      <c r="I22" s="35">
        <v>2</v>
      </c>
      <c r="J22" s="35">
        <v>1</v>
      </c>
      <c r="K22" s="35">
        <v>1.5</v>
      </c>
      <c r="L22" s="35">
        <v>1.3</v>
      </c>
      <c r="M22" s="35">
        <v>1.3</v>
      </c>
      <c r="N22" s="35">
        <v>1.3</v>
      </c>
      <c r="O22" s="35">
        <v>1</v>
      </c>
      <c r="P22" s="35">
        <v>1.6</v>
      </c>
      <c r="Q22" s="35">
        <v>1.585</v>
      </c>
      <c r="R22" s="35">
        <v>1.5649999999999999</v>
      </c>
      <c r="S22" s="35">
        <v>1.9</v>
      </c>
      <c r="T22" s="35">
        <v>1</v>
      </c>
      <c r="U22" s="35">
        <v>1</v>
      </c>
      <c r="V22" s="35">
        <v>1</v>
      </c>
      <c r="W22" s="35">
        <v>1.5</v>
      </c>
      <c r="X22" s="35">
        <v>1</v>
      </c>
      <c r="Y22" s="35">
        <v>2</v>
      </c>
      <c r="Z22" s="35">
        <v>1.2</v>
      </c>
      <c r="AA22" s="35">
        <v>1.2</v>
      </c>
      <c r="AB22" s="35">
        <v>1.2</v>
      </c>
      <c r="AC22" s="35">
        <v>1.1499999999999999</v>
      </c>
      <c r="AD22" s="35">
        <v>2</v>
      </c>
      <c r="AE22" s="35">
        <v>2.35</v>
      </c>
      <c r="AF22" s="36">
        <f t="shared" si="0"/>
        <v>42.200000000000017</v>
      </c>
    </row>
    <row r="23" spans="1:32" ht="15.75" customHeight="1" x14ac:dyDescent="0.3">
      <c r="A23" s="33" t="s">
        <v>73</v>
      </c>
      <c r="B23" s="34">
        <v>36</v>
      </c>
      <c r="C23" s="35">
        <v>36</v>
      </c>
      <c r="D23" s="35">
        <v>36</v>
      </c>
      <c r="E23" s="34">
        <v>36</v>
      </c>
      <c r="F23" s="34">
        <v>36</v>
      </c>
      <c r="G23" s="35">
        <v>36</v>
      </c>
      <c r="H23" s="35">
        <v>36</v>
      </c>
      <c r="I23" s="35">
        <v>36</v>
      </c>
      <c r="J23" s="35">
        <v>36</v>
      </c>
      <c r="K23" s="35">
        <v>36</v>
      </c>
      <c r="L23" s="35">
        <v>40</v>
      </c>
      <c r="M23" s="35">
        <v>40</v>
      </c>
      <c r="N23" s="35">
        <v>41</v>
      </c>
      <c r="O23" s="35">
        <v>40</v>
      </c>
      <c r="P23" s="35">
        <v>40</v>
      </c>
      <c r="Q23" s="35">
        <v>60</v>
      </c>
      <c r="R23" s="35">
        <v>40</v>
      </c>
      <c r="S23" s="35">
        <v>40</v>
      </c>
      <c r="T23" s="35">
        <v>40</v>
      </c>
      <c r="U23" s="35">
        <v>40</v>
      </c>
      <c r="V23" s="35">
        <v>42</v>
      </c>
      <c r="W23" s="35">
        <v>39</v>
      </c>
      <c r="X23" s="35">
        <v>39</v>
      </c>
      <c r="Y23" s="35">
        <v>39</v>
      </c>
      <c r="Z23" s="35">
        <v>40</v>
      </c>
      <c r="AA23" s="35">
        <v>40</v>
      </c>
      <c r="AB23" s="35">
        <v>40</v>
      </c>
      <c r="AC23" s="35">
        <v>40</v>
      </c>
      <c r="AD23" s="35">
        <v>38</v>
      </c>
      <c r="AE23" s="35">
        <v>37</v>
      </c>
      <c r="AF23" s="36">
        <f t="shared" si="0"/>
        <v>1175</v>
      </c>
    </row>
    <row r="24" spans="1:32" ht="15.75" customHeight="1" x14ac:dyDescent="0.3">
      <c r="A24" s="33" t="s">
        <v>38</v>
      </c>
      <c r="B24" s="34">
        <v>1</v>
      </c>
      <c r="C24" s="35">
        <v>1</v>
      </c>
      <c r="D24" s="35">
        <v>0.55000000000000004</v>
      </c>
      <c r="E24" s="34">
        <v>0.75</v>
      </c>
      <c r="F24" s="34">
        <v>0.7</v>
      </c>
      <c r="G24" s="35">
        <v>0.7</v>
      </c>
      <c r="H24" s="35">
        <v>0.7</v>
      </c>
      <c r="I24" s="35">
        <v>1</v>
      </c>
      <c r="J24" s="35">
        <v>1</v>
      </c>
      <c r="K24" s="35">
        <v>1</v>
      </c>
      <c r="L24" s="35">
        <v>1.2</v>
      </c>
      <c r="M24" s="35">
        <v>0.8</v>
      </c>
      <c r="N24" s="35">
        <v>0.8</v>
      </c>
      <c r="O24" s="35">
        <v>0.8</v>
      </c>
      <c r="P24" s="35">
        <v>1.05</v>
      </c>
      <c r="Q24" s="35">
        <v>1</v>
      </c>
      <c r="R24" s="35">
        <v>1.1000000000000001</v>
      </c>
      <c r="S24" s="35">
        <v>0.7</v>
      </c>
      <c r="T24" s="35">
        <v>0.6</v>
      </c>
      <c r="U24" s="35">
        <v>0.7</v>
      </c>
      <c r="V24" s="35">
        <v>1.1499999999999999</v>
      </c>
      <c r="W24" s="35">
        <v>1.3</v>
      </c>
      <c r="X24" s="35">
        <v>1</v>
      </c>
      <c r="Y24" s="35">
        <v>1</v>
      </c>
      <c r="Z24" s="35">
        <v>0.8</v>
      </c>
      <c r="AA24" s="35">
        <v>0.8</v>
      </c>
      <c r="AB24" s="35">
        <v>0.8</v>
      </c>
      <c r="AC24" s="35">
        <v>0.7</v>
      </c>
      <c r="AD24" s="35">
        <v>1.1499999999999999</v>
      </c>
      <c r="AE24" s="35">
        <v>1</v>
      </c>
      <c r="AF24" s="36">
        <f t="shared" si="0"/>
        <v>26.85</v>
      </c>
    </row>
    <row r="25" spans="1:32" ht="15.75" customHeight="1" x14ac:dyDescent="0.3">
      <c r="A25" s="33" t="s">
        <v>74</v>
      </c>
      <c r="B25" s="34">
        <v>15</v>
      </c>
      <c r="C25" s="35">
        <v>15</v>
      </c>
      <c r="D25" s="35"/>
      <c r="E25" s="34">
        <v>19</v>
      </c>
      <c r="F25" s="34">
        <v>20</v>
      </c>
      <c r="G25" s="35">
        <v>20</v>
      </c>
      <c r="H25" s="35">
        <v>20</v>
      </c>
      <c r="I25" s="38">
        <v>16.95</v>
      </c>
      <c r="J25" s="35">
        <v>16</v>
      </c>
      <c r="K25" s="35">
        <v>16</v>
      </c>
      <c r="L25" s="35">
        <v>16</v>
      </c>
      <c r="M25" s="35">
        <v>16</v>
      </c>
      <c r="N25" s="35">
        <v>16</v>
      </c>
      <c r="O25" s="35">
        <v>16</v>
      </c>
      <c r="P25" s="35">
        <v>16.7</v>
      </c>
      <c r="Q25" s="35">
        <v>16.8</v>
      </c>
      <c r="R25" s="35">
        <v>15.72</v>
      </c>
      <c r="S25" s="35">
        <v>16.100000000000001</v>
      </c>
      <c r="T25" s="35">
        <v>16</v>
      </c>
      <c r="U25" s="35">
        <v>16</v>
      </c>
      <c r="V25" s="35">
        <v>16</v>
      </c>
      <c r="W25" s="35">
        <v>17.149999999999999</v>
      </c>
      <c r="X25" s="35">
        <v>16</v>
      </c>
      <c r="Y25" s="35">
        <v>16</v>
      </c>
      <c r="Z25" s="35">
        <v>16.100000000000001</v>
      </c>
      <c r="AA25" s="35">
        <v>16</v>
      </c>
      <c r="AB25" s="35">
        <v>16</v>
      </c>
      <c r="AC25" s="35">
        <v>16</v>
      </c>
      <c r="AD25" s="35">
        <v>16.55</v>
      </c>
      <c r="AE25" s="35">
        <v>16</v>
      </c>
      <c r="AF25" s="36">
        <f t="shared" si="0"/>
        <v>481.07000000000005</v>
      </c>
    </row>
    <row r="26" spans="1:32" ht="15.75" customHeight="1" x14ac:dyDescent="0.3">
      <c r="A26" s="33" t="s">
        <v>28</v>
      </c>
      <c r="B26" s="34">
        <v>5</v>
      </c>
      <c r="C26" s="35">
        <v>5</v>
      </c>
      <c r="D26" s="35">
        <v>4.8</v>
      </c>
      <c r="E26" s="34">
        <v>5.9</v>
      </c>
      <c r="F26" s="34">
        <v>5.6</v>
      </c>
      <c r="G26" s="35">
        <v>5.7</v>
      </c>
      <c r="H26" s="35">
        <v>4.6500000000000004</v>
      </c>
      <c r="I26" s="37">
        <v>16.95</v>
      </c>
      <c r="J26" s="35">
        <v>0.6</v>
      </c>
      <c r="K26" s="35">
        <v>6</v>
      </c>
      <c r="L26" s="35">
        <v>6</v>
      </c>
      <c r="M26" s="35">
        <v>6</v>
      </c>
      <c r="N26" s="35">
        <v>5</v>
      </c>
      <c r="O26" s="35">
        <v>5.5</v>
      </c>
      <c r="P26" s="35">
        <v>5.55</v>
      </c>
      <c r="Q26" s="35">
        <v>5</v>
      </c>
      <c r="R26" s="35">
        <v>5</v>
      </c>
      <c r="S26" s="35">
        <v>5.9</v>
      </c>
      <c r="T26" s="35">
        <v>5.6</v>
      </c>
      <c r="U26" s="35">
        <v>5.8</v>
      </c>
      <c r="V26" s="35">
        <v>6.5</v>
      </c>
      <c r="W26" s="35">
        <v>5</v>
      </c>
      <c r="X26" s="35">
        <v>5</v>
      </c>
      <c r="Y26" s="35">
        <v>4.5</v>
      </c>
      <c r="Z26" s="35">
        <v>6</v>
      </c>
      <c r="AA26" s="35">
        <v>5.9</v>
      </c>
      <c r="AB26" s="35">
        <v>6</v>
      </c>
      <c r="AC26" s="35">
        <v>7.95</v>
      </c>
      <c r="AD26" s="35">
        <v>5.85</v>
      </c>
      <c r="AE26" s="35">
        <v>5</v>
      </c>
      <c r="AF26" s="36">
        <f t="shared" si="0"/>
        <v>173.25</v>
      </c>
    </row>
    <row r="27" spans="1:32" ht="15.75" customHeight="1" x14ac:dyDescent="0.3">
      <c r="A27" s="33" t="s">
        <v>75</v>
      </c>
      <c r="B27" s="34">
        <v>1</v>
      </c>
      <c r="C27" s="35"/>
      <c r="D27" s="35">
        <v>1</v>
      </c>
      <c r="E27" s="34">
        <v>1</v>
      </c>
      <c r="F27" s="34"/>
      <c r="G27" s="35">
        <v>1</v>
      </c>
      <c r="H27" s="35"/>
      <c r="I27" s="35">
        <v>1</v>
      </c>
      <c r="J27" s="35"/>
      <c r="K27" s="35">
        <v>1</v>
      </c>
      <c r="L27" s="35"/>
      <c r="M27" s="35"/>
      <c r="N27" s="35"/>
      <c r="O27" s="35"/>
      <c r="P27" s="35"/>
      <c r="Q27" s="35">
        <v>1</v>
      </c>
      <c r="R27" s="35"/>
      <c r="S27" s="35"/>
      <c r="T27" s="35"/>
      <c r="U27" s="35">
        <v>1</v>
      </c>
      <c r="V27" s="35"/>
      <c r="W27" s="35"/>
      <c r="X27" s="35">
        <v>1</v>
      </c>
      <c r="Y27" s="35"/>
      <c r="Z27" s="35">
        <v>1</v>
      </c>
      <c r="AA27" s="35"/>
      <c r="AB27" s="35">
        <v>1</v>
      </c>
      <c r="AC27" s="35"/>
      <c r="AD27" s="35"/>
      <c r="AE27" s="35">
        <v>1</v>
      </c>
      <c r="AF27" s="36">
        <f t="shared" si="0"/>
        <v>12</v>
      </c>
    </row>
    <row r="28" spans="1:32" ht="15.75" customHeight="1" x14ac:dyDescent="0.3">
      <c r="A28" s="33" t="s">
        <v>29</v>
      </c>
      <c r="B28" s="34">
        <v>5</v>
      </c>
      <c r="C28" s="35">
        <v>5</v>
      </c>
      <c r="D28" s="35">
        <v>7.45</v>
      </c>
      <c r="E28" s="35">
        <v>6.1</v>
      </c>
      <c r="F28" s="35">
        <v>5.9</v>
      </c>
      <c r="G28" s="35">
        <v>5.9</v>
      </c>
      <c r="H28" s="35">
        <v>6.05</v>
      </c>
      <c r="I28" s="37">
        <v>6.2</v>
      </c>
      <c r="J28" s="35">
        <v>6</v>
      </c>
      <c r="K28" s="35">
        <v>6</v>
      </c>
      <c r="L28" s="35">
        <v>6</v>
      </c>
      <c r="M28" s="35">
        <v>6</v>
      </c>
      <c r="N28" s="35">
        <v>6</v>
      </c>
      <c r="O28" s="35">
        <v>5.8</v>
      </c>
      <c r="P28" s="35">
        <v>6</v>
      </c>
      <c r="Q28" s="35">
        <v>6</v>
      </c>
      <c r="R28" s="35">
        <v>6</v>
      </c>
      <c r="S28" s="35">
        <v>5.4</v>
      </c>
      <c r="T28" s="35">
        <v>5.6</v>
      </c>
      <c r="U28" s="35">
        <v>5.4</v>
      </c>
      <c r="V28" s="35">
        <v>7.5</v>
      </c>
      <c r="W28" s="35">
        <v>5.9</v>
      </c>
      <c r="X28" s="35">
        <v>6</v>
      </c>
      <c r="Y28" s="35">
        <v>6.05</v>
      </c>
      <c r="Z28" s="35">
        <v>6.65</v>
      </c>
      <c r="AA28" s="35">
        <v>6</v>
      </c>
      <c r="AB28" s="35">
        <v>6</v>
      </c>
      <c r="AC28" s="35">
        <v>6</v>
      </c>
      <c r="AD28" s="35">
        <v>6</v>
      </c>
      <c r="AE28" s="35">
        <v>6</v>
      </c>
      <c r="AF28" s="36">
        <f t="shared" si="0"/>
        <v>179.9</v>
      </c>
    </row>
    <row r="29" spans="1:32" ht="15.75" customHeight="1" x14ac:dyDescent="0.3">
      <c r="A29" s="33" t="s">
        <v>30</v>
      </c>
      <c r="B29" s="34">
        <v>0.5</v>
      </c>
      <c r="C29" s="35">
        <v>0.5</v>
      </c>
      <c r="D29" s="35">
        <v>0.75</v>
      </c>
      <c r="E29" s="35">
        <v>0.5</v>
      </c>
      <c r="F29" s="35">
        <v>0.5</v>
      </c>
      <c r="G29" s="35">
        <v>0.5</v>
      </c>
      <c r="H29" s="35">
        <v>0.5</v>
      </c>
      <c r="I29" s="35">
        <v>0.8</v>
      </c>
      <c r="J29" s="35">
        <v>0.6</v>
      </c>
      <c r="K29" s="35">
        <v>0.65</v>
      </c>
      <c r="L29" s="35">
        <v>0.5</v>
      </c>
      <c r="M29" s="35">
        <v>0.6</v>
      </c>
      <c r="N29" s="35">
        <v>0.5</v>
      </c>
      <c r="O29" s="35">
        <v>0.5</v>
      </c>
      <c r="P29" s="35">
        <v>0.59</v>
      </c>
      <c r="Q29" s="35">
        <v>0.58299999999999996</v>
      </c>
      <c r="R29" s="35">
        <v>0.57699999999999996</v>
      </c>
      <c r="S29" s="35">
        <v>0.505</v>
      </c>
      <c r="T29" s="35">
        <v>0.5</v>
      </c>
      <c r="U29" s="35">
        <v>0.5</v>
      </c>
      <c r="V29" s="35">
        <v>0.5</v>
      </c>
      <c r="W29" s="35">
        <v>0.5</v>
      </c>
      <c r="X29" s="35">
        <v>0.5</v>
      </c>
      <c r="Y29" s="35">
        <v>0.45</v>
      </c>
      <c r="Z29" s="35">
        <v>0.5</v>
      </c>
      <c r="AA29" s="35">
        <v>0.5</v>
      </c>
      <c r="AB29" s="35">
        <v>0.5</v>
      </c>
      <c r="AC29" s="35">
        <v>0.6</v>
      </c>
      <c r="AD29" s="35">
        <v>0.4</v>
      </c>
      <c r="AE29" s="35">
        <v>0.3</v>
      </c>
      <c r="AF29" s="36">
        <f t="shared" si="0"/>
        <v>15.905000000000001</v>
      </c>
    </row>
    <row r="30" spans="1:32" ht="15.75" customHeight="1" x14ac:dyDescent="0.3">
      <c r="A30" s="33" t="s">
        <v>76</v>
      </c>
      <c r="B30" s="34">
        <v>1</v>
      </c>
      <c r="C30" s="35">
        <v>1</v>
      </c>
      <c r="D30" s="35">
        <v>1</v>
      </c>
      <c r="E30" s="35">
        <v>1</v>
      </c>
      <c r="F30" s="35">
        <v>1</v>
      </c>
      <c r="G30" s="35">
        <v>1</v>
      </c>
      <c r="H30" s="35">
        <v>1</v>
      </c>
      <c r="I30" s="35">
        <v>1</v>
      </c>
      <c r="J30" s="35">
        <v>1</v>
      </c>
      <c r="K30" s="35">
        <v>1</v>
      </c>
      <c r="L30" s="35">
        <v>1</v>
      </c>
      <c r="M30" s="35">
        <v>1</v>
      </c>
      <c r="N30" s="35">
        <v>1</v>
      </c>
      <c r="O30" s="35">
        <v>1</v>
      </c>
      <c r="P30" s="35">
        <v>1</v>
      </c>
      <c r="Q30" s="35">
        <v>1</v>
      </c>
      <c r="R30" s="35">
        <v>1</v>
      </c>
      <c r="S30" s="35">
        <v>1</v>
      </c>
      <c r="T30" s="35">
        <v>1</v>
      </c>
      <c r="U30" s="35">
        <v>1</v>
      </c>
      <c r="V30" s="35">
        <v>1</v>
      </c>
      <c r="W30" s="35">
        <v>1</v>
      </c>
      <c r="X30" s="35">
        <v>1</v>
      </c>
      <c r="Y30" s="35">
        <v>1</v>
      </c>
      <c r="Z30" s="35">
        <v>1</v>
      </c>
      <c r="AA30" s="35">
        <v>1</v>
      </c>
      <c r="AB30" s="35">
        <v>1</v>
      </c>
      <c r="AC30" s="35">
        <v>1</v>
      </c>
      <c r="AD30" s="35">
        <v>1</v>
      </c>
      <c r="AE30" s="35">
        <v>1</v>
      </c>
      <c r="AF30" s="36">
        <f t="shared" si="0"/>
        <v>30</v>
      </c>
    </row>
    <row r="31" spans="1:32" ht="15.75" customHeight="1" x14ac:dyDescent="0.3">
      <c r="A31" s="33" t="s">
        <v>77</v>
      </c>
      <c r="B31" s="34">
        <v>1</v>
      </c>
      <c r="C31" s="35">
        <v>1</v>
      </c>
      <c r="D31" s="35">
        <v>1</v>
      </c>
      <c r="E31" s="35">
        <v>1</v>
      </c>
      <c r="F31" s="35">
        <v>1</v>
      </c>
      <c r="G31" s="35">
        <v>1</v>
      </c>
      <c r="H31" s="35">
        <v>1</v>
      </c>
      <c r="I31" s="35">
        <v>1</v>
      </c>
      <c r="J31" s="35">
        <v>1</v>
      </c>
      <c r="K31" s="35">
        <v>1</v>
      </c>
      <c r="L31" s="35">
        <v>1</v>
      </c>
      <c r="M31" s="35">
        <v>1</v>
      </c>
      <c r="N31" s="35">
        <v>1</v>
      </c>
      <c r="O31" s="35">
        <v>1</v>
      </c>
      <c r="P31" s="35">
        <v>1</v>
      </c>
      <c r="Q31" s="35">
        <v>1</v>
      </c>
      <c r="R31" s="35">
        <v>1</v>
      </c>
      <c r="S31" s="35">
        <v>1</v>
      </c>
      <c r="T31" s="35">
        <v>1</v>
      </c>
      <c r="U31" s="35">
        <v>1</v>
      </c>
      <c r="V31" s="35">
        <v>1</v>
      </c>
      <c r="W31" s="35">
        <v>1</v>
      </c>
      <c r="X31" s="35">
        <v>1</v>
      </c>
      <c r="Y31" s="35">
        <v>1</v>
      </c>
      <c r="Z31" s="35">
        <v>1</v>
      </c>
      <c r="AA31" s="35">
        <v>1</v>
      </c>
      <c r="AB31" s="35">
        <v>1</v>
      </c>
      <c r="AC31" s="35">
        <v>1</v>
      </c>
      <c r="AD31" s="35">
        <v>1</v>
      </c>
      <c r="AE31" s="35">
        <v>1</v>
      </c>
      <c r="AF31" s="36">
        <f t="shared" si="0"/>
        <v>30</v>
      </c>
    </row>
    <row r="32" spans="1:32" ht="15.75" customHeight="1" x14ac:dyDescent="0.3">
      <c r="A32" s="33" t="s">
        <v>31</v>
      </c>
      <c r="B32" s="34">
        <v>4</v>
      </c>
      <c r="C32" s="35">
        <v>4</v>
      </c>
      <c r="D32" s="35">
        <v>3.65</v>
      </c>
      <c r="E32" s="35">
        <v>3.9</v>
      </c>
      <c r="F32" s="35">
        <v>3.7</v>
      </c>
      <c r="G32" s="35">
        <v>3.6</v>
      </c>
      <c r="H32" s="35">
        <v>3.25</v>
      </c>
      <c r="I32" s="35">
        <v>5</v>
      </c>
      <c r="J32" s="35">
        <v>4</v>
      </c>
      <c r="K32" s="35">
        <v>4.95</v>
      </c>
      <c r="L32" s="35">
        <v>4.95</v>
      </c>
      <c r="M32" s="35">
        <v>4</v>
      </c>
      <c r="N32" s="35">
        <v>4</v>
      </c>
      <c r="O32" s="35">
        <v>4</v>
      </c>
      <c r="P32" s="35">
        <v>3.9</v>
      </c>
      <c r="Q32" s="35">
        <v>3.8</v>
      </c>
      <c r="R32" s="35">
        <v>3.9</v>
      </c>
      <c r="S32" s="35">
        <v>4.0999999999999996</v>
      </c>
      <c r="T32" s="35">
        <v>4.5</v>
      </c>
      <c r="U32" s="35">
        <v>4.4000000000000004</v>
      </c>
      <c r="V32" s="35">
        <v>4.8499999999999996</v>
      </c>
      <c r="W32" s="35">
        <v>4.0999999999999996</v>
      </c>
      <c r="X32" s="35">
        <v>4</v>
      </c>
      <c r="Y32" s="35">
        <v>3.25</v>
      </c>
      <c r="Z32" s="35">
        <v>4.0999999999999996</v>
      </c>
      <c r="AA32" s="35">
        <v>4.0999999999999996</v>
      </c>
      <c r="AB32" s="35">
        <v>4.0999999999999996</v>
      </c>
      <c r="AC32" s="35">
        <v>5.4</v>
      </c>
      <c r="AD32" s="35">
        <v>4.3</v>
      </c>
      <c r="AE32" s="35">
        <v>4</v>
      </c>
      <c r="AF32" s="36">
        <f t="shared" si="0"/>
        <v>123.79999999999998</v>
      </c>
    </row>
    <row r="33" spans="1:32" ht="15.75" customHeight="1" x14ac:dyDescent="0.3">
      <c r="A33" s="33" t="s">
        <v>78</v>
      </c>
      <c r="B33" s="34">
        <v>0.7</v>
      </c>
      <c r="C33" s="35">
        <v>0.7</v>
      </c>
      <c r="D33" s="35">
        <v>0.7</v>
      </c>
      <c r="E33" s="35">
        <v>0.4</v>
      </c>
      <c r="F33" s="35">
        <v>0.3</v>
      </c>
      <c r="G33" s="35">
        <v>0.3</v>
      </c>
      <c r="H33" s="35">
        <v>0.3</v>
      </c>
      <c r="I33" s="35">
        <v>0.7</v>
      </c>
      <c r="J33" s="35">
        <v>0.6</v>
      </c>
      <c r="K33" s="35">
        <v>0.5</v>
      </c>
      <c r="L33" s="35"/>
      <c r="M33" s="35"/>
      <c r="N33" s="35"/>
      <c r="O33" s="35"/>
      <c r="P33" s="35">
        <v>0.7</v>
      </c>
      <c r="Q33" s="35">
        <v>0.7</v>
      </c>
      <c r="R33" s="35">
        <v>0.7</v>
      </c>
      <c r="S33" s="35">
        <v>0.7</v>
      </c>
      <c r="T33" s="35">
        <v>0.7</v>
      </c>
      <c r="U33" s="35">
        <v>0.7</v>
      </c>
      <c r="V33" s="35">
        <v>0.7</v>
      </c>
      <c r="W33" s="35">
        <v>0.7</v>
      </c>
      <c r="X33" s="35">
        <v>0.6</v>
      </c>
      <c r="Y33" s="35">
        <v>0.7</v>
      </c>
      <c r="Z33" s="35">
        <v>0.7</v>
      </c>
      <c r="AA33" s="35">
        <v>0.6</v>
      </c>
      <c r="AB33" s="35">
        <v>0.7</v>
      </c>
      <c r="AC33" s="35">
        <v>0.6</v>
      </c>
      <c r="AD33" s="35">
        <v>0.7</v>
      </c>
      <c r="AE33" s="35">
        <v>0.7</v>
      </c>
      <c r="AF33" s="36">
        <f t="shared" si="0"/>
        <v>16.099999999999994</v>
      </c>
    </row>
    <row r="34" spans="1:32" ht="15.75" customHeight="1" x14ac:dyDescent="0.3">
      <c r="A34" s="33" t="s">
        <v>32</v>
      </c>
      <c r="B34" s="34">
        <v>1</v>
      </c>
      <c r="C34" s="35">
        <v>1</v>
      </c>
      <c r="D34" s="35">
        <v>1</v>
      </c>
      <c r="E34" s="35">
        <v>1</v>
      </c>
      <c r="F34" s="35">
        <v>1</v>
      </c>
      <c r="G34" s="35">
        <v>1</v>
      </c>
      <c r="H34" s="35">
        <v>1</v>
      </c>
      <c r="I34" s="35">
        <v>2</v>
      </c>
      <c r="J34" s="35">
        <v>1</v>
      </c>
      <c r="K34" s="35">
        <v>1</v>
      </c>
      <c r="L34" s="35">
        <v>1</v>
      </c>
      <c r="M34" s="35">
        <v>1</v>
      </c>
      <c r="N34" s="35">
        <v>1</v>
      </c>
      <c r="O34" s="35">
        <v>1</v>
      </c>
      <c r="P34" s="35">
        <v>1</v>
      </c>
      <c r="Q34" s="35">
        <v>1</v>
      </c>
      <c r="R34" s="35">
        <v>1</v>
      </c>
      <c r="S34" s="35">
        <v>1</v>
      </c>
      <c r="T34" s="35">
        <v>1</v>
      </c>
      <c r="U34" s="35">
        <v>1</v>
      </c>
      <c r="V34" s="35">
        <v>1</v>
      </c>
      <c r="W34" s="35">
        <v>1</v>
      </c>
      <c r="X34" s="35">
        <v>1</v>
      </c>
      <c r="Y34" s="35">
        <v>1</v>
      </c>
      <c r="Z34" s="35">
        <v>1</v>
      </c>
      <c r="AA34" s="35">
        <v>1</v>
      </c>
      <c r="AB34" s="35">
        <v>1</v>
      </c>
      <c r="AC34" s="35">
        <v>1</v>
      </c>
      <c r="AD34" s="35">
        <v>1</v>
      </c>
      <c r="AE34" s="35">
        <v>1</v>
      </c>
      <c r="AF34" s="36">
        <f t="shared" si="0"/>
        <v>31</v>
      </c>
    </row>
    <row r="35" spans="1:32" ht="15.75" customHeight="1" x14ac:dyDescent="0.3">
      <c r="A35" s="33" t="s">
        <v>33</v>
      </c>
      <c r="B35" s="34">
        <v>8</v>
      </c>
      <c r="C35" s="35">
        <v>8</v>
      </c>
      <c r="D35" s="35">
        <v>7</v>
      </c>
      <c r="E35" s="35">
        <v>8</v>
      </c>
      <c r="F35" s="35">
        <v>8</v>
      </c>
      <c r="G35" s="35">
        <v>8</v>
      </c>
      <c r="H35" s="35">
        <v>8</v>
      </c>
      <c r="I35" s="35">
        <v>8</v>
      </c>
      <c r="J35" s="35">
        <v>8</v>
      </c>
      <c r="K35" s="35">
        <v>7.2</v>
      </c>
      <c r="L35" s="35">
        <v>8</v>
      </c>
      <c r="M35" s="35">
        <v>8</v>
      </c>
      <c r="N35" s="35">
        <v>8</v>
      </c>
      <c r="O35" s="35">
        <v>8</v>
      </c>
      <c r="P35" s="35">
        <v>8</v>
      </c>
      <c r="Q35" s="35">
        <v>8</v>
      </c>
      <c r="R35" s="35">
        <v>8</v>
      </c>
      <c r="S35" s="35">
        <v>8</v>
      </c>
      <c r="T35" s="35">
        <v>8</v>
      </c>
      <c r="U35" s="35">
        <v>8</v>
      </c>
      <c r="V35" s="35">
        <v>8</v>
      </c>
      <c r="W35" s="35">
        <v>8.35</v>
      </c>
      <c r="X35" s="35">
        <v>8</v>
      </c>
      <c r="Y35" s="35">
        <v>8</v>
      </c>
      <c r="Z35" s="35">
        <v>6.35</v>
      </c>
      <c r="AA35" s="35">
        <v>5</v>
      </c>
      <c r="AB35" s="35">
        <v>5</v>
      </c>
      <c r="AC35" s="35">
        <v>5</v>
      </c>
      <c r="AD35" s="35">
        <v>8.9</v>
      </c>
      <c r="AE35" s="35">
        <v>8</v>
      </c>
      <c r="AF35" s="36">
        <f t="shared" si="0"/>
        <v>228.79999999999998</v>
      </c>
    </row>
    <row r="36" spans="1:32" ht="15.75" customHeight="1" x14ac:dyDescent="0.3">
      <c r="A36" s="33" t="s">
        <v>34</v>
      </c>
      <c r="B36" s="34">
        <v>13.5</v>
      </c>
      <c r="C36" s="35">
        <v>13.5</v>
      </c>
      <c r="D36" s="35">
        <v>12.35</v>
      </c>
      <c r="E36" s="35">
        <v>13.4</v>
      </c>
      <c r="F36" s="35">
        <v>13.5</v>
      </c>
      <c r="G36" s="35">
        <v>13.9</v>
      </c>
      <c r="H36" s="35">
        <v>12.2</v>
      </c>
      <c r="I36" s="39">
        <v>15</v>
      </c>
      <c r="J36" s="35">
        <v>15</v>
      </c>
      <c r="K36" s="35">
        <v>14.2</v>
      </c>
      <c r="L36" s="35">
        <v>15</v>
      </c>
      <c r="M36" s="35">
        <v>15</v>
      </c>
      <c r="N36" s="35">
        <v>15</v>
      </c>
      <c r="O36" s="35">
        <v>14.9</v>
      </c>
      <c r="P36" s="35">
        <v>15</v>
      </c>
      <c r="Q36" s="35">
        <v>15</v>
      </c>
      <c r="R36" s="35">
        <v>13.25</v>
      </c>
      <c r="S36" s="35">
        <v>13.2</v>
      </c>
      <c r="T36" s="35">
        <v>13.5</v>
      </c>
      <c r="U36" s="35">
        <v>13.2</v>
      </c>
      <c r="V36" s="35">
        <v>13.3</v>
      </c>
      <c r="W36" s="35">
        <v>15.2</v>
      </c>
      <c r="X36" s="35">
        <v>15</v>
      </c>
      <c r="Y36" s="35">
        <v>15</v>
      </c>
      <c r="Z36" s="35">
        <v>12.65</v>
      </c>
      <c r="AA36" s="35">
        <v>14</v>
      </c>
      <c r="AB36" s="35">
        <v>14</v>
      </c>
      <c r="AC36" s="35">
        <v>14</v>
      </c>
      <c r="AD36" s="35">
        <v>15.7</v>
      </c>
      <c r="AE36" s="35">
        <v>14</v>
      </c>
      <c r="AF36" s="36">
        <f t="shared" si="0"/>
        <v>422.44999999999993</v>
      </c>
    </row>
    <row r="37" spans="1:32" ht="15.75" customHeight="1" x14ac:dyDescent="0.3">
      <c r="A37" s="33" t="s">
        <v>35</v>
      </c>
      <c r="B37" s="34">
        <v>4</v>
      </c>
      <c r="C37" s="35">
        <v>3</v>
      </c>
      <c r="D37" s="35">
        <v>3</v>
      </c>
      <c r="E37" s="35">
        <v>3.9</v>
      </c>
      <c r="F37" s="35">
        <v>3.6</v>
      </c>
      <c r="G37" s="35">
        <v>3.7</v>
      </c>
      <c r="H37" s="35">
        <v>2.35</v>
      </c>
      <c r="I37" s="35">
        <v>4</v>
      </c>
      <c r="J37" s="35">
        <v>4</v>
      </c>
      <c r="K37" s="35">
        <v>3.65</v>
      </c>
      <c r="L37" s="35">
        <v>4.3</v>
      </c>
      <c r="M37" s="35">
        <v>3</v>
      </c>
      <c r="N37" s="35">
        <v>3</v>
      </c>
      <c r="O37" s="35">
        <v>3</v>
      </c>
      <c r="P37" s="35">
        <v>3.8</v>
      </c>
      <c r="Q37" s="35">
        <v>3.9</v>
      </c>
      <c r="R37" s="35">
        <v>3.7</v>
      </c>
      <c r="S37" s="35">
        <v>3.5</v>
      </c>
      <c r="T37" s="35">
        <v>3.5</v>
      </c>
      <c r="U37" s="35">
        <v>3.5</v>
      </c>
      <c r="V37" s="35">
        <v>3.6</v>
      </c>
      <c r="W37" s="35">
        <v>4.0999999999999996</v>
      </c>
      <c r="X37" s="35">
        <v>4.2</v>
      </c>
      <c r="Y37" s="35">
        <v>3.4</v>
      </c>
      <c r="Z37" s="35">
        <v>4</v>
      </c>
      <c r="AA37" s="35">
        <v>4</v>
      </c>
      <c r="AB37" s="35">
        <v>4</v>
      </c>
      <c r="AC37" s="35">
        <v>2.25</v>
      </c>
      <c r="AD37" s="35">
        <v>5</v>
      </c>
      <c r="AE37" s="35">
        <v>3.7</v>
      </c>
      <c r="AF37" s="36">
        <f t="shared" si="0"/>
        <v>108.65</v>
      </c>
    </row>
    <row r="38" spans="1:32" ht="15.75" customHeight="1" x14ac:dyDescent="0.3">
      <c r="A38" s="33" t="s">
        <v>79</v>
      </c>
      <c r="B38" s="34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6">
        <f t="shared" si="0"/>
        <v>0</v>
      </c>
    </row>
    <row r="39" spans="1:32" ht="15.75" customHeight="1" x14ac:dyDescent="0.3">
      <c r="A39" s="33" t="s">
        <v>80</v>
      </c>
      <c r="B39" s="34"/>
      <c r="C39" s="35">
        <v>1</v>
      </c>
      <c r="D39" s="35"/>
      <c r="E39" s="35"/>
      <c r="F39" s="35"/>
      <c r="G39" s="35">
        <v>1</v>
      </c>
      <c r="H39" s="35"/>
      <c r="I39" s="35"/>
      <c r="J39" s="35"/>
      <c r="K39" s="35">
        <v>1</v>
      </c>
      <c r="L39" s="35"/>
      <c r="M39" s="35"/>
      <c r="N39" s="35">
        <v>1</v>
      </c>
      <c r="O39" s="35"/>
      <c r="P39" s="35"/>
      <c r="Q39" s="35">
        <v>1</v>
      </c>
      <c r="R39" s="35"/>
      <c r="S39" s="35"/>
      <c r="T39" s="35">
        <v>1</v>
      </c>
      <c r="U39" s="35"/>
      <c r="V39" s="35"/>
      <c r="W39" s="35"/>
      <c r="X39" s="35"/>
      <c r="Y39" s="35"/>
      <c r="Z39" s="35">
        <v>1</v>
      </c>
      <c r="AA39" s="35"/>
      <c r="AB39" s="35"/>
      <c r="AC39" s="35"/>
      <c r="AD39" s="35"/>
      <c r="AE39" s="35">
        <v>1</v>
      </c>
      <c r="AF39" s="36">
        <f t="shared" si="0"/>
        <v>8</v>
      </c>
    </row>
    <row r="40" spans="1:32" ht="15.75" customHeight="1" x14ac:dyDescent="0.3">
      <c r="A40" s="40" t="s">
        <v>81</v>
      </c>
      <c r="B40" s="34">
        <v>35</v>
      </c>
      <c r="C40" s="35">
        <v>35</v>
      </c>
      <c r="D40" s="35">
        <v>35.9</v>
      </c>
      <c r="E40" s="35">
        <v>37.9</v>
      </c>
      <c r="F40" s="35">
        <v>37.6</v>
      </c>
      <c r="G40" s="35">
        <v>36.1</v>
      </c>
      <c r="H40" s="35">
        <v>37.799999999999997</v>
      </c>
      <c r="I40" s="37">
        <v>39.299999999999997</v>
      </c>
      <c r="J40" s="35">
        <v>38</v>
      </c>
      <c r="K40" s="35">
        <v>38</v>
      </c>
      <c r="L40" s="35">
        <v>38</v>
      </c>
      <c r="M40" s="35">
        <v>38</v>
      </c>
      <c r="N40" s="35">
        <v>38</v>
      </c>
      <c r="O40" s="35">
        <v>36.200000000000003</v>
      </c>
      <c r="P40" s="35">
        <v>38</v>
      </c>
      <c r="Q40" s="35">
        <v>37</v>
      </c>
      <c r="R40" s="35">
        <v>39.799999999999997</v>
      </c>
      <c r="S40" s="35">
        <v>36.4</v>
      </c>
      <c r="T40" s="35">
        <v>36.1</v>
      </c>
      <c r="U40" s="35">
        <v>34.200000000000003</v>
      </c>
      <c r="V40" s="35">
        <v>43.1</v>
      </c>
      <c r="W40" s="35">
        <v>38.799999999999997</v>
      </c>
      <c r="X40" s="35">
        <v>38</v>
      </c>
      <c r="Y40" s="35">
        <v>38</v>
      </c>
      <c r="Z40" s="35">
        <v>38.799999999999997</v>
      </c>
      <c r="AA40" s="41">
        <v>38</v>
      </c>
      <c r="AB40" s="41">
        <v>38</v>
      </c>
      <c r="AC40" s="41">
        <v>38</v>
      </c>
      <c r="AD40" s="35">
        <v>38.9</v>
      </c>
      <c r="AE40" s="35">
        <v>38</v>
      </c>
      <c r="AF40" s="36">
        <f t="shared" si="0"/>
        <v>1129.9000000000001</v>
      </c>
    </row>
    <row r="41" spans="1:32" ht="15.75" customHeight="1" x14ac:dyDescent="0.3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spans="1:32" ht="15.75" customHeight="1" x14ac:dyDescent="0.3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spans="1:32" ht="15.75" customHeight="1" x14ac:dyDescent="0.3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spans="1:32" ht="15.75" customHeight="1" x14ac:dyDescent="0.3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spans="1:32" ht="15.75" customHeight="1" x14ac:dyDescent="0.3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spans="1:32" ht="15.75" customHeight="1" x14ac:dyDescent="0.3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spans="1:32" ht="15.75" customHeight="1" x14ac:dyDescent="0.3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spans="1:32" ht="15.75" customHeight="1" x14ac:dyDescent="0.3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spans="2:31" ht="15.75" customHeight="1" x14ac:dyDescent="0.3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spans="2:31" ht="15.75" customHeight="1" x14ac:dyDescent="0.3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spans="2:31" ht="15.75" customHeight="1" x14ac:dyDescent="0.3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spans="2:31" ht="15.75" customHeight="1" x14ac:dyDescent="0.3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spans="2:31" ht="15.75" customHeight="1" x14ac:dyDescent="0.3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spans="2:31" ht="15.75" customHeight="1" x14ac:dyDescent="0.3"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spans="2:31" ht="15.75" customHeight="1" x14ac:dyDescent="0.3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spans="2:31" ht="15.75" customHeight="1" x14ac:dyDescent="0.3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spans="2:31" ht="15.75" customHeight="1" x14ac:dyDescent="0.3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</row>
    <row r="58" spans="2:31" ht="15.75" customHeight="1" x14ac:dyDescent="0.3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</row>
    <row r="59" spans="2:31" ht="15.75" customHeight="1" x14ac:dyDescent="0.3"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</row>
    <row r="60" spans="2:31" ht="15.75" customHeight="1" x14ac:dyDescent="0.3"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</row>
    <row r="61" spans="2:31" ht="15.75" customHeight="1" x14ac:dyDescent="0.3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</row>
    <row r="62" spans="2:31" ht="15.75" customHeight="1" x14ac:dyDescent="0.3"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</row>
    <row r="63" spans="2:31" ht="15.75" customHeight="1" x14ac:dyDescent="0.3"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</row>
    <row r="64" spans="2:31" ht="15.75" customHeight="1" x14ac:dyDescent="0.3"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</row>
    <row r="65" spans="2:31" ht="15.75" customHeight="1" x14ac:dyDescent="0.3"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</row>
    <row r="66" spans="2:31" ht="15.75" customHeight="1" x14ac:dyDescent="0.3"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</row>
    <row r="67" spans="2:31" ht="15.75" customHeight="1" x14ac:dyDescent="0.3"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</row>
    <row r="68" spans="2:31" ht="15.75" customHeight="1" x14ac:dyDescent="0.3"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</row>
    <row r="69" spans="2:31" ht="15.75" customHeight="1" x14ac:dyDescent="0.3"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</row>
    <row r="70" spans="2:31" ht="15.75" customHeight="1" x14ac:dyDescent="0.3"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</row>
    <row r="71" spans="2:31" ht="15.75" customHeight="1" x14ac:dyDescent="0.3"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</row>
    <row r="72" spans="2:31" ht="15.75" customHeight="1" x14ac:dyDescent="0.3"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</row>
    <row r="73" spans="2:31" ht="15.75" customHeight="1" x14ac:dyDescent="0.3"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</row>
    <row r="74" spans="2:31" ht="15.75" customHeight="1" x14ac:dyDescent="0.3"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</row>
    <row r="75" spans="2:31" ht="15.75" customHeight="1" x14ac:dyDescent="0.3"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spans="2:31" ht="15.75" customHeight="1" x14ac:dyDescent="0.3"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</row>
    <row r="77" spans="2:31" ht="15.75" customHeight="1" x14ac:dyDescent="0.3"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</row>
    <row r="78" spans="2:31" ht="15.75" customHeight="1" x14ac:dyDescent="0.3"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</row>
    <row r="79" spans="2:31" ht="15.75" customHeight="1" x14ac:dyDescent="0.3"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</row>
    <row r="80" spans="2:31" ht="15.75" customHeight="1" x14ac:dyDescent="0.3"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</row>
    <row r="81" spans="2:31" ht="15.75" customHeight="1" x14ac:dyDescent="0.3"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</row>
    <row r="82" spans="2:31" ht="15.75" customHeight="1" x14ac:dyDescent="0.3"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</row>
    <row r="83" spans="2:31" ht="15.75" customHeight="1" x14ac:dyDescent="0.3"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</row>
    <row r="84" spans="2:31" ht="15.75" customHeight="1" x14ac:dyDescent="0.3"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</row>
    <row r="85" spans="2:31" ht="15.75" customHeight="1" x14ac:dyDescent="0.3"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</row>
    <row r="86" spans="2:31" ht="15.75" customHeight="1" x14ac:dyDescent="0.3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spans="2:31" ht="15.75" customHeight="1" x14ac:dyDescent="0.3"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 spans="2:31" ht="15.75" customHeight="1" x14ac:dyDescent="0.3"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</row>
    <row r="89" spans="2:31" ht="15.75" customHeight="1" x14ac:dyDescent="0.3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</row>
    <row r="90" spans="2:31" ht="15.75" customHeight="1" x14ac:dyDescent="0.3"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 spans="2:31" ht="15.75" customHeight="1" x14ac:dyDescent="0.3"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</row>
    <row r="92" spans="2:31" ht="15.75" customHeight="1" x14ac:dyDescent="0.3"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</row>
    <row r="93" spans="2:31" ht="15.75" customHeight="1" x14ac:dyDescent="0.3"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</row>
    <row r="94" spans="2:31" ht="15.75" customHeight="1" x14ac:dyDescent="0.3"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</row>
    <row r="95" spans="2:31" ht="15.75" customHeight="1" x14ac:dyDescent="0.3"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</row>
    <row r="96" spans="2:31" ht="15.75" customHeight="1" x14ac:dyDescent="0.3"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</row>
    <row r="97" spans="2:31" ht="15.75" customHeight="1" x14ac:dyDescent="0.3"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</row>
    <row r="98" spans="2:31" ht="15.75" customHeight="1" x14ac:dyDescent="0.3"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</row>
    <row r="99" spans="2:31" ht="15.75" customHeight="1" x14ac:dyDescent="0.3"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spans="2:31" ht="15.75" customHeight="1" x14ac:dyDescent="0.3"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</row>
    <row r="101" spans="2:31" ht="15.75" customHeight="1" x14ac:dyDescent="0.3"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spans="2:31" ht="15.75" customHeight="1" x14ac:dyDescent="0.3"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</row>
    <row r="103" spans="2:31" ht="15.75" customHeight="1" x14ac:dyDescent="0.3"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</row>
    <row r="104" spans="2:31" ht="15.75" customHeight="1" x14ac:dyDescent="0.3"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</row>
    <row r="105" spans="2:31" ht="15.75" customHeight="1" x14ac:dyDescent="0.3"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spans="2:31" ht="15.75" customHeight="1" x14ac:dyDescent="0.3"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spans="2:31" ht="15.75" customHeight="1" x14ac:dyDescent="0.3"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spans="2:31" ht="15.75" customHeight="1" x14ac:dyDescent="0.3"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spans="2:31" ht="15.75" customHeight="1" x14ac:dyDescent="0.3"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spans="2:31" ht="15.75" customHeight="1" x14ac:dyDescent="0.3"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spans="2:31" ht="15.75" customHeight="1" x14ac:dyDescent="0.3"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spans="2:31" ht="15.75" customHeight="1" x14ac:dyDescent="0.3"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</row>
    <row r="113" spans="2:31" ht="15.75" customHeight="1" x14ac:dyDescent="0.3"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</row>
    <row r="114" spans="2:31" ht="15.75" customHeight="1" x14ac:dyDescent="0.3"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</row>
    <row r="115" spans="2:31" ht="15.75" customHeight="1" x14ac:dyDescent="0.3"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</row>
    <row r="116" spans="2:31" ht="15.75" customHeight="1" x14ac:dyDescent="0.3"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</row>
    <row r="117" spans="2:31" ht="15.75" customHeight="1" x14ac:dyDescent="0.3"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spans="2:31" ht="15.75" customHeight="1" x14ac:dyDescent="0.3"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</row>
    <row r="119" spans="2:31" ht="15.75" customHeight="1" x14ac:dyDescent="0.3"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</row>
    <row r="120" spans="2:31" ht="15.75" customHeight="1" x14ac:dyDescent="0.3"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</row>
    <row r="121" spans="2:31" ht="15.75" customHeight="1" x14ac:dyDescent="0.3"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spans="2:31" ht="15.75" customHeight="1" x14ac:dyDescent="0.3"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</row>
    <row r="123" spans="2:31" ht="15.75" customHeight="1" x14ac:dyDescent="0.3"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spans="2:31" ht="15.75" customHeight="1" x14ac:dyDescent="0.3"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</row>
    <row r="125" spans="2:31" ht="15.75" customHeight="1" x14ac:dyDescent="0.3"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</row>
    <row r="126" spans="2:31" ht="15.75" customHeight="1" x14ac:dyDescent="0.3"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spans="2:31" ht="15.75" customHeight="1" x14ac:dyDescent="0.3"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spans="2:31" ht="15.75" customHeight="1" x14ac:dyDescent="0.3"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spans="2:31" ht="15.75" customHeight="1" x14ac:dyDescent="0.3"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spans="2:31" ht="15.75" customHeight="1" x14ac:dyDescent="0.3"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spans="2:31" ht="15.75" customHeight="1" x14ac:dyDescent="0.3"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spans="2:31" ht="15.75" customHeight="1" x14ac:dyDescent="0.3"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 spans="2:31" ht="15.75" customHeight="1" x14ac:dyDescent="0.3"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spans="2:31" ht="15.75" customHeight="1" x14ac:dyDescent="0.3"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spans="2:31" ht="15.75" customHeight="1" x14ac:dyDescent="0.3"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spans="2:31" ht="15.75" customHeight="1" x14ac:dyDescent="0.3"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spans="2:31" ht="15.75" customHeight="1" x14ac:dyDescent="0.3"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spans="2:31" ht="15.75" customHeight="1" x14ac:dyDescent="0.3"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 spans="2:31" ht="15.75" customHeight="1" x14ac:dyDescent="0.3"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</row>
    <row r="140" spans="2:31" ht="15.75" customHeight="1" x14ac:dyDescent="0.3"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</row>
    <row r="141" spans="2:31" ht="15.75" customHeight="1" x14ac:dyDescent="0.3"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</row>
    <row r="142" spans="2:31" ht="15.75" customHeight="1" x14ac:dyDescent="0.3"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</row>
    <row r="143" spans="2:31" ht="15.75" customHeight="1" x14ac:dyDescent="0.3"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spans="2:31" ht="15.75" customHeight="1" x14ac:dyDescent="0.3"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</row>
    <row r="145" spans="2:31" ht="15.75" customHeight="1" x14ac:dyDescent="0.3"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</row>
    <row r="146" spans="2:31" ht="15.75" customHeight="1" x14ac:dyDescent="0.3"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 spans="2:31" ht="15.75" customHeight="1" x14ac:dyDescent="0.3"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spans="2:31" ht="15.75" customHeight="1" x14ac:dyDescent="0.3"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 spans="2:31" ht="15.75" customHeight="1" x14ac:dyDescent="0.3"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spans="2:31" ht="15.75" customHeight="1" x14ac:dyDescent="0.3"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</row>
    <row r="151" spans="2:31" ht="15.75" customHeight="1" x14ac:dyDescent="0.3"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</row>
    <row r="152" spans="2:31" ht="15.75" customHeight="1" x14ac:dyDescent="0.3"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spans="2:31" ht="15.75" customHeight="1" x14ac:dyDescent="0.3"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spans="2:31" ht="15.75" customHeight="1" x14ac:dyDescent="0.3"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spans="2:31" ht="15.75" customHeight="1" x14ac:dyDescent="0.3"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spans="2:31" ht="15.75" customHeight="1" x14ac:dyDescent="0.3"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spans="2:31" ht="15.75" customHeight="1" x14ac:dyDescent="0.3"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</row>
    <row r="158" spans="2:31" ht="15.75" customHeight="1" x14ac:dyDescent="0.3"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spans="2:31" ht="15.75" customHeight="1" x14ac:dyDescent="0.3"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spans="2:31" ht="15.75" customHeight="1" x14ac:dyDescent="0.3"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spans="2:31" ht="15.75" customHeight="1" x14ac:dyDescent="0.3"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spans="2:31" ht="15.75" customHeight="1" x14ac:dyDescent="0.3"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</row>
    <row r="163" spans="2:31" ht="15.75" customHeight="1" x14ac:dyDescent="0.3"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spans="2:31" ht="15.75" customHeight="1" x14ac:dyDescent="0.3"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spans="2:31" ht="15.75" customHeight="1" x14ac:dyDescent="0.3"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spans="2:31" ht="15.75" customHeight="1" x14ac:dyDescent="0.3"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spans="2:31" ht="15.75" customHeight="1" x14ac:dyDescent="0.3"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spans="2:31" ht="15.75" customHeight="1" x14ac:dyDescent="0.3"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spans="2:31" ht="15.75" customHeight="1" x14ac:dyDescent="0.3"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</row>
    <row r="170" spans="2:31" ht="15.75" customHeight="1" x14ac:dyDescent="0.3"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</row>
    <row r="171" spans="2:31" ht="15.75" customHeight="1" x14ac:dyDescent="0.3"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</row>
    <row r="172" spans="2:31" ht="15.75" customHeight="1" x14ac:dyDescent="0.3"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</row>
    <row r="173" spans="2:31" ht="15.75" customHeight="1" x14ac:dyDescent="0.3"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</row>
    <row r="174" spans="2:31" ht="15.75" customHeight="1" x14ac:dyDescent="0.3"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</row>
    <row r="175" spans="2:31" ht="15.75" customHeight="1" x14ac:dyDescent="0.3"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</row>
    <row r="176" spans="2:31" ht="15.75" customHeight="1" x14ac:dyDescent="0.3"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</row>
    <row r="177" spans="2:31" ht="15.75" customHeight="1" x14ac:dyDescent="0.3"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</row>
    <row r="178" spans="2:31" ht="15.75" customHeight="1" x14ac:dyDescent="0.3"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</row>
    <row r="179" spans="2:31" ht="15.75" customHeight="1" x14ac:dyDescent="0.3"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</row>
    <row r="180" spans="2:31" ht="15.75" customHeight="1" x14ac:dyDescent="0.3"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</row>
    <row r="181" spans="2:31" ht="15.75" customHeight="1" x14ac:dyDescent="0.3"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</row>
    <row r="182" spans="2:31" ht="15.75" customHeight="1" x14ac:dyDescent="0.3"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</row>
    <row r="183" spans="2:31" ht="15.75" customHeight="1" x14ac:dyDescent="0.3"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</row>
    <row r="184" spans="2:31" ht="15.75" customHeight="1" x14ac:dyDescent="0.3"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</row>
    <row r="185" spans="2:31" ht="15.75" customHeight="1" x14ac:dyDescent="0.3"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</row>
    <row r="186" spans="2:31" ht="15.75" customHeight="1" x14ac:dyDescent="0.3"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</row>
    <row r="187" spans="2:31" ht="15.75" customHeight="1" x14ac:dyDescent="0.3"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</row>
    <row r="188" spans="2:31" ht="15.75" customHeight="1" x14ac:dyDescent="0.3"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</row>
    <row r="189" spans="2:31" ht="15.75" customHeight="1" x14ac:dyDescent="0.3"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</row>
    <row r="190" spans="2:31" ht="15.75" customHeight="1" x14ac:dyDescent="0.3"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</row>
    <row r="191" spans="2:31" ht="15.75" customHeight="1" x14ac:dyDescent="0.3"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</row>
    <row r="192" spans="2:31" ht="15.75" customHeight="1" x14ac:dyDescent="0.3"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</row>
    <row r="193" spans="2:31" ht="15.75" customHeight="1" x14ac:dyDescent="0.3"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</row>
    <row r="194" spans="2:31" ht="15.75" customHeight="1" x14ac:dyDescent="0.3"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</row>
    <row r="195" spans="2:31" ht="15.75" customHeight="1" x14ac:dyDescent="0.3"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</row>
    <row r="196" spans="2:31" ht="15.75" customHeight="1" x14ac:dyDescent="0.3"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</row>
    <row r="197" spans="2:31" ht="15.75" customHeight="1" x14ac:dyDescent="0.3"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</row>
    <row r="198" spans="2:31" ht="15.75" customHeight="1" x14ac:dyDescent="0.3"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</row>
    <row r="199" spans="2:31" ht="15.75" customHeight="1" x14ac:dyDescent="0.3"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</row>
    <row r="200" spans="2:31" ht="15.75" customHeight="1" x14ac:dyDescent="0.3"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</row>
    <row r="201" spans="2:31" ht="15.75" customHeight="1" x14ac:dyDescent="0.3"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</row>
    <row r="202" spans="2:31" ht="15.75" customHeight="1" x14ac:dyDescent="0.3"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</row>
    <row r="203" spans="2:31" ht="15.75" customHeight="1" x14ac:dyDescent="0.3"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</row>
    <row r="204" spans="2:31" ht="15.75" customHeight="1" x14ac:dyDescent="0.3"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</row>
    <row r="205" spans="2:31" ht="15.75" customHeight="1" x14ac:dyDescent="0.3"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</row>
    <row r="206" spans="2:31" ht="15.75" customHeight="1" x14ac:dyDescent="0.3"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</row>
    <row r="207" spans="2:31" ht="15.75" customHeight="1" x14ac:dyDescent="0.3"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</row>
    <row r="208" spans="2:31" ht="15.75" customHeight="1" x14ac:dyDescent="0.3"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</row>
    <row r="209" spans="2:31" ht="15.75" customHeight="1" x14ac:dyDescent="0.3"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</row>
    <row r="210" spans="2:31" ht="15.75" customHeight="1" x14ac:dyDescent="0.3"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</row>
    <row r="211" spans="2:31" ht="15.75" customHeight="1" x14ac:dyDescent="0.3"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</row>
    <row r="212" spans="2:31" ht="15.75" customHeight="1" x14ac:dyDescent="0.3"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</row>
    <row r="213" spans="2:31" ht="15.75" customHeight="1" x14ac:dyDescent="0.3"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</row>
    <row r="214" spans="2:31" ht="15.75" customHeight="1" x14ac:dyDescent="0.3"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</row>
    <row r="215" spans="2:31" ht="15.75" customHeight="1" x14ac:dyDescent="0.3"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</row>
    <row r="216" spans="2:31" ht="15.75" customHeight="1" x14ac:dyDescent="0.3"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</row>
    <row r="217" spans="2:31" ht="15.75" customHeight="1" x14ac:dyDescent="0.3"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</row>
    <row r="218" spans="2:31" ht="15.75" customHeight="1" x14ac:dyDescent="0.3"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</row>
    <row r="219" spans="2:31" ht="15.75" customHeight="1" x14ac:dyDescent="0.3"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</row>
    <row r="220" spans="2:31" ht="15.75" customHeight="1" x14ac:dyDescent="0.3"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</row>
    <row r="221" spans="2:31" ht="15.75" customHeight="1" x14ac:dyDescent="0.3"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</row>
    <row r="222" spans="2:31" ht="15.75" customHeight="1" x14ac:dyDescent="0.3"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</row>
    <row r="223" spans="2:31" ht="15.75" customHeight="1" x14ac:dyDescent="0.3"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</row>
    <row r="224" spans="2:31" ht="15.75" customHeight="1" x14ac:dyDescent="0.3"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</row>
    <row r="225" spans="2:31" ht="15.75" customHeight="1" x14ac:dyDescent="0.3"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</row>
    <row r="226" spans="2:31" ht="15.75" customHeight="1" x14ac:dyDescent="0.3"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</row>
    <row r="227" spans="2:31" ht="15.75" customHeight="1" x14ac:dyDescent="0.3"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</row>
    <row r="228" spans="2:31" ht="15.75" customHeight="1" x14ac:dyDescent="0.3"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</row>
    <row r="229" spans="2:31" ht="15.75" customHeight="1" x14ac:dyDescent="0.3"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</row>
    <row r="230" spans="2:31" ht="15.75" customHeight="1" x14ac:dyDescent="0.3"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</row>
    <row r="231" spans="2:31" ht="15.75" customHeight="1" x14ac:dyDescent="0.3"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</row>
    <row r="232" spans="2:31" ht="15.75" customHeight="1" x14ac:dyDescent="0.3"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</row>
    <row r="233" spans="2:31" ht="15.75" customHeight="1" x14ac:dyDescent="0.3"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</row>
    <row r="234" spans="2:31" ht="15.75" customHeight="1" x14ac:dyDescent="0.3"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</row>
    <row r="235" spans="2:31" ht="15.75" customHeight="1" x14ac:dyDescent="0.3"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</row>
    <row r="236" spans="2:31" ht="15.75" customHeight="1" x14ac:dyDescent="0.3"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</row>
    <row r="237" spans="2:31" ht="15.75" customHeight="1" x14ac:dyDescent="0.3"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</row>
    <row r="238" spans="2:31" ht="15.75" customHeight="1" x14ac:dyDescent="0.3"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</row>
    <row r="239" spans="2:31" ht="15.75" customHeight="1" x14ac:dyDescent="0.3"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</row>
    <row r="240" spans="2:31" ht="15.75" customHeight="1" x14ac:dyDescent="0.3"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</row>
    <row r="241" spans="2:31" ht="15.75" customHeight="1" x14ac:dyDescent="0.3"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</row>
    <row r="242" spans="2:31" ht="15.75" customHeight="1" x14ac:dyDescent="0.3"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</row>
    <row r="243" spans="2:31" ht="15.75" customHeight="1" x14ac:dyDescent="0.3"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</row>
    <row r="244" spans="2:31" ht="15.75" customHeight="1" x14ac:dyDescent="0.3"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</row>
    <row r="245" spans="2:31" ht="15.75" customHeight="1" x14ac:dyDescent="0.3"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</row>
    <row r="246" spans="2:31" ht="15.75" customHeight="1" x14ac:dyDescent="0.3"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</row>
    <row r="247" spans="2:31" ht="15.75" customHeight="1" x14ac:dyDescent="0.3"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</row>
    <row r="248" spans="2:31" ht="15.75" customHeight="1" x14ac:dyDescent="0.3"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</row>
    <row r="249" spans="2:31" ht="15.75" customHeight="1" x14ac:dyDescent="0.3"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</row>
    <row r="250" spans="2:31" ht="15.75" customHeight="1" x14ac:dyDescent="0.3"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</row>
    <row r="251" spans="2:31" ht="15.75" customHeight="1" x14ac:dyDescent="0.3"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</row>
    <row r="252" spans="2:31" ht="15.75" customHeight="1" x14ac:dyDescent="0.3"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</row>
    <row r="253" spans="2:31" ht="15.75" customHeight="1" x14ac:dyDescent="0.3"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</row>
    <row r="254" spans="2:31" ht="15.75" customHeight="1" x14ac:dyDescent="0.3"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</row>
    <row r="255" spans="2:31" ht="15.75" customHeight="1" x14ac:dyDescent="0.3"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</row>
    <row r="256" spans="2:31" ht="15.75" customHeight="1" x14ac:dyDescent="0.3"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</row>
    <row r="257" spans="2:31" ht="15.75" customHeight="1" x14ac:dyDescent="0.3"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</row>
    <row r="258" spans="2:31" ht="15.75" customHeight="1" x14ac:dyDescent="0.3"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</row>
    <row r="259" spans="2:31" ht="15.75" customHeight="1" x14ac:dyDescent="0.3"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</row>
    <row r="260" spans="2:31" ht="15.75" customHeight="1" x14ac:dyDescent="0.3"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</row>
    <row r="261" spans="2:31" ht="15.75" customHeight="1" x14ac:dyDescent="0.3"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</row>
    <row r="262" spans="2:31" ht="15.75" customHeight="1" x14ac:dyDescent="0.3"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</row>
    <row r="263" spans="2:31" ht="15.75" customHeight="1" x14ac:dyDescent="0.3"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</row>
    <row r="264" spans="2:31" ht="15.75" customHeight="1" x14ac:dyDescent="0.3"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</row>
    <row r="265" spans="2:31" ht="15.75" customHeight="1" x14ac:dyDescent="0.3"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</row>
    <row r="266" spans="2:31" ht="15.75" customHeight="1" x14ac:dyDescent="0.3"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</row>
    <row r="267" spans="2:31" ht="15.75" customHeight="1" x14ac:dyDescent="0.3"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</row>
    <row r="268" spans="2:31" ht="15.75" customHeight="1" x14ac:dyDescent="0.3"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</row>
    <row r="269" spans="2:31" ht="15.75" customHeight="1" x14ac:dyDescent="0.3"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</row>
    <row r="270" spans="2:31" ht="15.75" customHeight="1" x14ac:dyDescent="0.3"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</row>
    <row r="271" spans="2:31" ht="15.75" customHeight="1" x14ac:dyDescent="0.3"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</row>
    <row r="272" spans="2:31" ht="15.75" customHeight="1" x14ac:dyDescent="0.3"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</row>
    <row r="273" spans="2:31" ht="15.75" customHeight="1" x14ac:dyDescent="0.3"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</row>
    <row r="274" spans="2:31" ht="15.75" customHeight="1" x14ac:dyDescent="0.3"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</row>
    <row r="275" spans="2:31" ht="15.75" customHeight="1" x14ac:dyDescent="0.3"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</row>
    <row r="276" spans="2:31" ht="15.75" customHeight="1" x14ac:dyDescent="0.3"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</row>
    <row r="277" spans="2:31" ht="15.75" customHeight="1" x14ac:dyDescent="0.3"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</row>
    <row r="278" spans="2:31" ht="15.75" customHeight="1" x14ac:dyDescent="0.3"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</row>
    <row r="279" spans="2:31" ht="15.75" customHeight="1" x14ac:dyDescent="0.3"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</row>
    <row r="280" spans="2:31" ht="15.75" customHeight="1" x14ac:dyDescent="0.3"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</row>
    <row r="281" spans="2:31" ht="15.75" customHeight="1" x14ac:dyDescent="0.3"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</row>
    <row r="282" spans="2:31" ht="15.75" customHeight="1" x14ac:dyDescent="0.3"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</row>
    <row r="283" spans="2:31" ht="15.75" customHeight="1" x14ac:dyDescent="0.3"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</row>
    <row r="284" spans="2:31" ht="15.75" customHeight="1" x14ac:dyDescent="0.3"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</row>
    <row r="285" spans="2:31" ht="15.75" customHeight="1" x14ac:dyDescent="0.3"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</row>
    <row r="286" spans="2:31" ht="15.75" customHeight="1" x14ac:dyDescent="0.3"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</row>
    <row r="287" spans="2:31" ht="15.75" customHeight="1" x14ac:dyDescent="0.3"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</row>
    <row r="288" spans="2:31" ht="15.75" customHeight="1" x14ac:dyDescent="0.3"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</row>
    <row r="289" spans="2:31" ht="15.75" customHeight="1" x14ac:dyDescent="0.3"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</row>
    <row r="290" spans="2:31" ht="15.75" customHeight="1" x14ac:dyDescent="0.3"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</row>
    <row r="291" spans="2:31" ht="15.75" customHeight="1" x14ac:dyDescent="0.3"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</row>
    <row r="292" spans="2:31" ht="15.75" customHeight="1" x14ac:dyDescent="0.3"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</row>
    <row r="293" spans="2:31" ht="15.75" customHeight="1" x14ac:dyDescent="0.3"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</row>
    <row r="294" spans="2:31" ht="15.75" customHeight="1" x14ac:dyDescent="0.3"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</row>
    <row r="295" spans="2:31" ht="15.75" customHeight="1" x14ac:dyDescent="0.3"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</row>
    <row r="296" spans="2:31" ht="15.75" customHeight="1" x14ac:dyDescent="0.3"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</row>
    <row r="297" spans="2:31" ht="15.75" customHeight="1" x14ac:dyDescent="0.3"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</row>
    <row r="298" spans="2:31" ht="15.75" customHeight="1" x14ac:dyDescent="0.3"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</row>
    <row r="299" spans="2:31" ht="15.75" customHeight="1" x14ac:dyDescent="0.3"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</row>
    <row r="300" spans="2:31" ht="15.75" customHeight="1" x14ac:dyDescent="0.3"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</row>
    <row r="301" spans="2:31" ht="15.75" customHeight="1" x14ac:dyDescent="0.3"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</row>
    <row r="302" spans="2:31" ht="15.75" customHeight="1" x14ac:dyDescent="0.3"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</row>
    <row r="303" spans="2:31" ht="15.75" customHeight="1" x14ac:dyDescent="0.3"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</row>
    <row r="304" spans="2:31" ht="15.75" customHeight="1" x14ac:dyDescent="0.3"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</row>
    <row r="305" spans="2:31" ht="15.75" customHeight="1" x14ac:dyDescent="0.3"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</row>
    <row r="306" spans="2:31" ht="15.75" customHeight="1" x14ac:dyDescent="0.3"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</row>
    <row r="307" spans="2:31" ht="15.75" customHeight="1" x14ac:dyDescent="0.3"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</row>
    <row r="308" spans="2:31" ht="15.75" customHeight="1" x14ac:dyDescent="0.3"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</row>
    <row r="309" spans="2:31" ht="15.75" customHeight="1" x14ac:dyDescent="0.3"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</row>
    <row r="310" spans="2:31" ht="15.75" customHeight="1" x14ac:dyDescent="0.3"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</row>
    <row r="311" spans="2:31" ht="15.75" customHeight="1" x14ac:dyDescent="0.3"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</row>
    <row r="312" spans="2:31" ht="15.75" customHeight="1" x14ac:dyDescent="0.3"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</row>
    <row r="313" spans="2:31" ht="15.75" customHeight="1" x14ac:dyDescent="0.3"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</row>
    <row r="314" spans="2:31" ht="15.75" customHeight="1" x14ac:dyDescent="0.3"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</row>
    <row r="315" spans="2:31" ht="15.75" customHeight="1" x14ac:dyDescent="0.3"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</row>
    <row r="316" spans="2:31" ht="15.75" customHeight="1" x14ac:dyDescent="0.3"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</row>
    <row r="317" spans="2:31" ht="15.75" customHeight="1" x14ac:dyDescent="0.3"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</row>
    <row r="318" spans="2:31" ht="15.75" customHeight="1" x14ac:dyDescent="0.3"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</row>
    <row r="319" spans="2:31" ht="15.75" customHeight="1" x14ac:dyDescent="0.3"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</row>
    <row r="320" spans="2:31" ht="15.75" customHeight="1" x14ac:dyDescent="0.3"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</row>
    <row r="321" spans="2:31" ht="15.75" customHeight="1" x14ac:dyDescent="0.3"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</row>
    <row r="322" spans="2:31" ht="15.75" customHeight="1" x14ac:dyDescent="0.3"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</row>
    <row r="323" spans="2:31" ht="15.75" customHeight="1" x14ac:dyDescent="0.3"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</row>
    <row r="324" spans="2:31" ht="15.75" customHeight="1" x14ac:dyDescent="0.3"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</row>
    <row r="325" spans="2:31" ht="15.75" customHeight="1" x14ac:dyDescent="0.3"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</row>
    <row r="326" spans="2:31" ht="15.75" customHeight="1" x14ac:dyDescent="0.3"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</row>
    <row r="327" spans="2:31" ht="15.75" customHeight="1" x14ac:dyDescent="0.3"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</row>
    <row r="328" spans="2:31" ht="15.75" customHeight="1" x14ac:dyDescent="0.3"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</row>
    <row r="329" spans="2:31" ht="15.75" customHeight="1" x14ac:dyDescent="0.3"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</row>
    <row r="330" spans="2:31" ht="15.75" customHeight="1" x14ac:dyDescent="0.3"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</row>
    <row r="331" spans="2:31" ht="15.75" customHeight="1" x14ac:dyDescent="0.3"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</row>
    <row r="332" spans="2:31" ht="15.75" customHeight="1" x14ac:dyDescent="0.3"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</row>
    <row r="333" spans="2:31" ht="15.75" customHeight="1" x14ac:dyDescent="0.3"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</row>
    <row r="334" spans="2:31" ht="15.75" customHeight="1" x14ac:dyDescent="0.3"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</row>
    <row r="335" spans="2:31" ht="15.75" customHeight="1" x14ac:dyDescent="0.3"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</row>
    <row r="336" spans="2:31" ht="15.75" customHeight="1" x14ac:dyDescent="0.3"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</row>
    <row r="337" spans="2:31" ht="15.75" customHeight="1" x14ac:dyDescent="0.3"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</row>
    <row r="338" spans="2:31" ht="15.75" customHeight="1" x14ac:dyDescent="0.3"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</row>
    <row r="339" spans="2:31" ht="15.75" customHeight="1" x14ac:dyDescent="0.3"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</row>
    <row r="340" spans="2:31" ht="15.75" customHeight="1" x14ac:dyDescent="0.3"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</row>
    <row r="341" spans="2:31" ht="15.75" customHeight="1" x14ac:dyDescent="0.3"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</row>
    <row r="342" spans="2:31" ht="15.75" customHeight="1" x14ac:dyDescent="0.3"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</row>
    <row r="343" spans="2:31" ht="15.75" customHeight="1" x14ac:dyDescent="0.3"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</row>
    <row r="344" spans="2:31" ht="15.75" customHeight="1" x14ac:dyDescent="0.3"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</row>
    <row r="345" spans="2:31" ht="15.75" customHeight="1" x14ac:dyDescent="0.3"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</row>
    <row r="346" spans="2:31" ht="15.75" customHeight="1" x14ac:dyDescent="0.3"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</row>
    <row r="347" spans="2:31" ht="15.75" customHeight="1" x14ac:dyDescent="0.3"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</row>
    <row r="348" spans="2:31" ht="15.75" customHeight="1" x14ac:dyDescent="0.3"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</row>
    <row r="349" spans="2:31" ht="15.75" customHeight="1" x14ac:dyDescent="0.3"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</row>
    <row r="350" spans="2:31" ht="15.75" customHeight="1" x14ac:dyDescent="0.3"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</row>
    <row r="351" spans="2:31" ht="15.75" customHeight="1" x14ac:dyDescent="0.3"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</row>
    <row r="352" spans="2:31" ht="15.75" customHeight="1" x14ac:dyDescent="0.3"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</row>
    <row r="353" spans="2:31" ht="15.75" customHeight="1" x14ac:dyDescent="0.3"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</row>
    <row r="354" spans="2:31" ht="15.75" customHeight="1" x14ac:dyDescent="0.3"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</row>
    <row r="355" spans="2:31" ht="15.75" customHeight="1" x14ac:dyDescent="0.3"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</row>
    <row r="356" spans="2:31" ht="15.75" customHeight="1" x14ac:dyDescent="0.3"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</row>
    <row r="357" spans="2:31" ht="15.75" customHeight="1" x14ac:dyDescent="0.3"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</row>
    <row r="358" spans="2:31" ht="15.75" customHeight="1" x14ac:dyDescent="0.3"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</row>
    <row r="359" spans="2:31" ht="15.75" customHeight="1" x14ac:dyDescent="0.3"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</row>
    <row r="360" spans="2:31" ht="15.75" customHeight="1" x14ac:dyDescent="0.3"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</row>
    <row r="361" spans="2:31" ht="15.75" customHeight="1" x14ac:dyDescent="0.3"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</row>
    <row r="362" spans="2:31" ht="15.75" customHeight="1" x14ac:dyDescent="0.3"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</row>
    <row r="363" spans="2:31" ht="15.75" customHeight="1" x14ac:dyDescent="0.3"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</row>
    <row r="364" spans="2:31" ht="15.75" customHeight="1" x14ac:dyDescent="0.3"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</row>
    <row r="365" spans="2:31" ht="15.75" customHeight="1" x14ac:dyDescent="0.3"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</row>
    <row r="366" spans="2:31" ht="15.75" customHeight="1" x14ac:dyDescent="0.3"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</row>
    <row r="367" spans="2:31" ht="15.75" customHeight="1" x14ac:dyDescent="0.3"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</row>
    <row r="368" spans="2:31" ht="15.75" customHeight="1" x14ac:dyDescent="0.3"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</row>
    <row r="369" spans="2:31" ht="15.75" customHeight="1" x14ac:dyDescent="0.3"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</row>
    <row r="370" spans="2:31" ht="15.75" customHeight="1" x14ac:dyDescent="0.3"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</row>
    <row r="371" spans="2:31" ht="15.75" customHeight="1" x14ac:dyDescent="0.3"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</row>
    <row r="372" spans="2:31" ht="15.75" customHeight="1" x14ac:dyDescent="0.3"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</row>
    <row r="373" spans="2:31" ht="15.75" customHeight="1" x14ac:dyDescent="0.3"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</row>
    <row r="374" spans="2:31" ht="15.75" customHeight="1" x14ac:dyDescent="0.3"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</row>
    <row r="375" spans="2:31" ht="15.75" customHeight="1" x14ac:dyDescent="0.3"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</row>
    <row r="376" spans="2:31" ht="15.75" customHeight="1" x14ac:dyDescent="0.3"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</row>
    <row r="377" spans="2:31" ht="15.75" customHeight="1" x14ac:dyDescent="0.3"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</row>
    <row r="378" spans="2:31" ht="15.75" customHeight="1" x14ac:dyDescent="0.3"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</row>
    <row r="379" spans="2:31" ht="15.75" customHeight="1" x14ac:dyDescent="0.3"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</row>
    <row r="380" spans="2:31" ht="15.75" customHeight="1" x14ac:dyDescent="0.3"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</row>
    <row r="381" spans="2:31" ht="15.75" customHeight="1" x14ac:dyDescent="0.3"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</row>
    <row r="382" spans="2:31" ht="15.75" customHeight="1" x14ac:dyDescent="0.3"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</row>
    <row r="383" spans="2:31" ht="15.75" customHeight="1" x14ac:dyDescent="0.3"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</row>
    <row r="384" spans="2:31" ht="15.75" customHeight="1" x14ac:dyDescent="0.3"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</row>
    <row r="385" spans="2:31" ht="15.75" customHeight="1" x14ac:dyDescent="0.3"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</row>
    <row r="386" spans="2:31" ht="15.75" customHeight="1" x14ac:dyDescent="0.3"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</row>
    <row r="387" spans="2:31" ht="15.75" customHeight="1" x14ac:dyDescent="0.3"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</row>
    <row r="388" spans="2:31" ht="15.75" customHeight="1" x14ac:dyDescent="0.3"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</row>
    <row r="389" spans="2:31" ht="15.75" customHeight="1" x14ac:dyDescent="0.3"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</row>
    <row r="390" spans="2:31" ht="15.75" customHeight="1" x14ac:dyDescent="0.3"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</row>
    <row r="391" spans="2:31" ht="15.75" customHeight="1" x14ac:dyDescent="0.3"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</row>
    <row r="392" spans="2:31" ht="15.75" customHeight="1" x14ac:dyDescent="0.3"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</row>
    <row r="393" spans="2:31" ht="15.75" customHeight="1" x14ac:dyDescent="0.3"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</row>
    <row r="394" spans="2:31" ht="15.75" customHeight="1" x14ac:dyDescent="0.3"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</row>
    <row r="395" spans="2:31" ht="15.75" customHeight="1" x14ac:dyDescent="0.3"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</row>
    <row r="396" spans="2:31" ht="15.75" customHeight="1" x14ac:dyDescent="0.3"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</row>
    <row r="397" spans="2:31" ht="15.75" customHeight="1" x14ac:dyDescent="0.3"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</row>
    <row r="398" spans="2:31" ht="15.75" customHeight="1" x14ac:dyDescent="0.3"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</row>
    <row r="399" spans="2:31" ht="15.75" customHeight="1" x14ac:dyDescent="0.3"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</row>
    <row r="400" spans="2:31" ht="15.75" customHeight="1" x14ac:dyDescent="0.3"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</row>
    <row r="401" spans="2:31" ht="15.75" customHeight="1" x14ac:dyDescent="0.3"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</row>
    <row r="402" spans="2:31" ht="15.75" customHeight="1" x14ac:dyDescent="0.3"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</row>
    <row r="403" spans="2:31" ht="15.75" customHeight="1" x14ac:dyDescent="0.3"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</row>
    <row r="404" spans="2:31" ht="15.75" customHeight="1" x14ac:dyDescent="0.3"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</row>
    <row r="405" spans="2:31" ht="15.75" customHeight="1" x14ac:dyDescent="0.3"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</row>
    <row r="406" spans="2:31" ht="15.75" customHeight="1" x14ac:dyDescent="0.3"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</row>
    <row r="407" spans="2:31" ht="15.75" customHeight="1" x14ac:dyDescent="0.3"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</row>
    <row r="408" spans="2:31" ht="15.75" customHeight="1" x14ac:dyDescent="0.3"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</row>
    <row r="409" spans="2:31" ht="15.75" customHeight="1" x14ac:dyDescent="0.3"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</row>
    <row r="410" spans="2:31" ht="15.75" customHeight="1" x14ac:dyDescent="0.3"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</row>
    <row r="411" spans="2:31" ht="15.75" customHeight="1" x14ac:dyDescent="0.3"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</row>
    <row r="412" spans="2:31" ht="15.75" customHeight="1" x14ac:dyDescent="0.3"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</row>
    <row r="413" spans="2:31" ht="15.75" customHeight="1" x14ac:dyDescent="0.3"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</row>
    <row r="414" spans="2:31" ht="15.75" customHeight="1" x14ac:dyDescent="0.3"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</row>
    <row r="415" spans="2:31" ht="15.75" customHeight="1" x14ac:dyDescent="0.3"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</row>
    <row r="416" spans="2:31" ht="15.75" customHeight="1" x14ac:dyDescent="0.3"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</row>
    <row r="417" spans="2:31" ht="15.75" customHeight="1" x14ac:dyDescent="0.3"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</row>
    <row r="418" spans="2:31" ht="15.75" customHeight="1" x14ac:dyDescent="0.3"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</row>
    <row r="419" spans="2:31" ht="15.75" customHeight="1" x14ac:dyDescent="0.3"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</row>
    <row r="420" spans="2:31" ht="15.75" customHeight="1" x14ac:dyDescent="0.3"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</row>
    <row r="421" spans="2:31" ht="15.75" customHeight="1" x14ac:dyDescent="0.3"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</row>
    <row r="422" spans="2:31" ht="15.75" customHeight="1" x14ac:dyDescent="0.3"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</row>
    <row r="423" spans="2:31" ht="15.75" customHeight="1" x14ac:dyDescent="0.3"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</row>
    <row r="424" spans="2:31" ht="15.75" customHeight="1" x14ac:dyDescent="0.3"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</row>
    <row r="425" spans="2:31" ht="15.75" customHeight="1" x14ac:dyDescent="0.3"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</row>
    <row r="426" spans="2:31" ht="15.75" customHeight="1" x14ac:dyDescent="0.3"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</row>
    <row r="427" spans="2:31" ht="15.75" customHeight="1" x14ac:dyDescent="0.3"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</row>
    <row r="428" spans="2:31" ht="15.75" customHeight="1" x14ac:dyDescent="0.3"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</row>
    <row r="429" spans="2:31" ht="15.75" customHeight="1" x14ac:dyDescent="0.3"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</row>
    <row r="430" spans="2:31" ht="15.75" customHeight="1" x14ac:dyDescent="0.3"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</row>
    <row r="431" spans="2:31" ht="15.75" customHeight="1" x14ac:dyDescent="0.3"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</row>
    <row r="432" spans="2:31" ht="15.75" customHeight="1" x14ac:dyDescent="0.3"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</row>
    <row r="433" spans="2:31" ht="15.75" customHeight="1" x14ac:dyDescent="0.3"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</row>
    <row r="434" spans="2:31" ht="15.75" customHeight="1" x14ac:dyDescent="0.3"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</row>
    <row r="435" spans="2:31" ht="15.75" customHeight="1" x14ac:dyDescent="0.3"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</row>
    <row r="436" spans="2:31" ht="15.75" customHeight="1" x14ac:dyDescent="0.3"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</row>
    <row r="437" spans="2:31" ht="15.75" customHeight="1" x14ac:dyDescent="0.3"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</row>
    <row r="438" spans="2:31" ht="15.75" customHeight="1" x14ac:dyDescent="0.3"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</row>
    <row r="439" spans="2:31" ht="15.75" customHeight="1" x14ac:dyDescent="0.3"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</row>
    <row r="440" spans="2:31" ht="15.75" customHeight="1" x14ac:dyDescent="0.3"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</row>
    <row r="441" spans="2:31" ht="15.75" customHeight="1" x14ac:dyDescent="0.3"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</row>
    <row r="442" spans="2:31" ht="15.75" customHeight="1" x14ac:dyDescent="0.3"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</row>
    <row r="443" spans="2:31" ht="15.75" customHeight="1" x14ac:dyDescent="0.3"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</row>
    <row r="444" spans="2:31" ht="15.75" customHeight="1" x14ac:dyDescent="0.3"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</row>
    <row r="445" spans="2:31" ht="15.75" customHeight="1" x14ac:dyDescent="0.3"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</row>
    <row r="446" spans="2:31" ht="15.75" customHeight="1" x14ac:dyDescent="0.3"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</row>
    <row r="447" spans="2:31" ht="15.75" customHeight="1" x14ac:dyDescent="0.3"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</row>
    <row r="448" spans="2:31" ht="15.75" customHeight="1" x14ac:dyDescent="0.3"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</row>
    <row r="449" spans="2:31" ht="15.75" customHeight="1" x14ac:dyDescent="0.3"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</row>
    <row r="450" spans="2:31" ht="15.75" customHeight="1" x14ac:dyDescent="0.3"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</row>
    <row r="451" spans="2:31" ht="15.75" customHeight="1" x14ac:dyDescent="0.3"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</row>
    <row r="452" spans="2:31" ht="15.75" customHeight="1" x14ac:dyDescent="0.3"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</row>
    <row r="453" spans="2:31" ht="15.75" customHeight="1" x14ac:dyDescent="0.3"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</row>
    <row r="454" spans="2:31" ht="15.75" customHeight="1" x14ac:dyDescent="0.3"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</row>
    <row r="455" spans="2:31" ht="15.75" customHeight="1" x14ac:dyDescent="0.3"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</row>
    <row r="456" spans="2:31" ht="15.75" customHeight="1" x14ac:dyDescent="0.3"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</row>
    <row r="457" spans="2:31" ht="15.75" customHeight="1" x14ac:dyDescent="0.3"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</row>
    <row r="458" spans="2:31" ht="15.75" customHeight="1" x14ac:dyDescent="0.3"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</row>
    <row r="459" spans="2:31" ht="15.75" customHeight="1" x14ac:dyDescent="0.3"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</row>
    <row r="460" spans="2:31" ht="15.75" customHeight="1" x14ac:dyDescent="0.3"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</row>
    <row r="461" spans="2:31" ht="15.75" customHeight="1" x14ac:dyDescent="0.3"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</row>
    <row r="462" spans="2:31" ht="15.75" customHeight="1" x14ac:dyDescent="0.3"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</row>
    <row r="463" spans="2:31" ht="15.75" customHeight="1" x14ac:dyDescent="0.3"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</row>
    <row r="464" spans="2:31" ht="15.75" customHeight="1" x14ac:dyDescent="0.3"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</row>
    <row r="465" spans="2:31" ht="15.75" customHeight="1" x14ac:dyDescent="0.3"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</row>
    <row r="466" spans="2:31" ht="15.75" customHeight="1" x14ac:dyDescent="0.3"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</row>
    <row r="467" spans="2:31" ht="15.75" customHeight="1" x14ac:dyDescent="0.3"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</row>
    <row r="468" spans="2:31" ht="15.75" customHeight="1" x14ac:dyDescent="0.3"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</row>
    <row r="469" spans="2:31" ht="15.75" customHeight="1" x14ac:dyDescent="0.3"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</row>
    <row r="470" spans="2:31" ht="15.75" customHeight="1" x14ac:dyDescent="0.3"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</row>
    <row r="471" spans="2:31" ht="15.75" customHeight="1" x14ac:dyDescent="0.3"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</row>
    <row r="472" spans="2:31" ht="15.75" customHeight="1" x14ac:dyDescent="0.3"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</row>
    <row r="473" spans="2:31" ht="15.75" customHeight="1" x14ac:dyDescent="0.3"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</row>
    <row r="474" spans="2:31" ht="15.75" customHeight="1" x14ac:dyDescent="0.3"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</row>
    <row r="475" spans="2:31" ht="15.75" customHeight="1" x14ac:dyDescent="0.3"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</row>
    <row r="476" spans="2:31" ht="15.75" customHeight="1" x14ac:dyDescent="0.3"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</row>
    <row r="477" spans="2:31" ht="15.75" customHeight="1" x14ac:dyDescent="0.3"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</row>
    <row r="478" spans="2:31" ht="15.75" customHeight="1" x14ac:dyDescent="0.3"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</row>
    <row r="479" spans="2:31" ht="15.75" customHeight="1" x14ac:dyDescent="0.3"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</row>
    <row r="480" spans="2:31" ht="15.75" customHeight="1" x14ac:dyDescent="0.3"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</row>
    <row r="481" spans="2:31" ht="15.75" customHeight="1" x14ac:dyDescent="0.3"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</row>
    <row r="482" spans="2:31" ht="15.75" customHeight="1" x14ac:dyDescent="0.3"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</row>
    <row r="483" spans="2:31" ht="15.75" customHeight="1" x14ac:dyDescent="0.3"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</row>
    <row r="484" spans="2:31" ht="15.75" customHeight="1" x14ac:dyDescent="0.3"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</row>
    <row r="485" spans="2:31" ht="15.75" customHeight="1" x14ac:dyDescent="0.3"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</row>
    <row r="486" spans="2:31" ht="15.75" customHeight="1" x14ac:dyDescent="0.3"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</row>
    <row r="487" spans="2:31" ht="15.75" customHeight="1" x14ac:dyDescent="0.3"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</row>
    <row r="488" spans="2:31" ht="15.75" customHeight="1" x14ac:dyDescent="0.3"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</row>
    <row r="489" spans="2:31" ht="15.75" customHeight="1" x14ac:dyDescent="0.3"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</row>
    <row r="490" spans="2:31" ht="15.75" customHeight="1" x14ac:dyDescent="0.3"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</row>
    <row r="491" spans="2:31" ht="15.75" customHeight="1" x14ac:dyDescent="0.3"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</row>
    <row r="492" spans="2:31" ht="15.75" customHeight="1" x14ac:dyDescent="0.3"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</row>
    <row r="493" spans="2:31" ht="15.75" customHeight="1" x14ac:dyDescent="0.3"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</row>
    <row r="494" spans="2:31" ht="15.75" customHeight="1" x14ac:dyDescent="0.3"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</row>
    <row r="495" spans="2:31" ht="15.75" customHeight="1" x14ac:dyDescent="0.3"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</row>
    <row r="496" spans="2:31" ht="15.75" customHeight="1" x14ac:dyDescent="0.3"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</row>
    <row r="497" spans="2:31" ht="15.75" customHeight="1" x14ac:dyDescent="0.3"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</row>
    <row r="498" spans="2:31" ht="15.75" customHeight="1" x14ac:dyDescent="0.3"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</row>
    <row r="499" spans="2:31" ht="15.75" customHeight="1" x14ac:dyDescent="0.3"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</row>
    <row r="500" spans="2:31" ht="15.75" customHeight="1" x14ac:dyDescent="0.3"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</row>
    <row r="501" spans="2:31" ht="15.75" customHeight="1" x14ac:dyDescent="0.3"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</row>
    <row r="502" spans="2:31" ht="15.75" customHeight="1" x14ac:dyDescent="0.3"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</row>
    <row r="503" spans="2:31" ht="15.75" customHeight="1" x14ac:dyDescent="0.3"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</row>
    <row r="504" spans="2:31" ht="15.75" customHeight="1" x14ac:dyDescent="0.3"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</row>
    <row r="505" spans="2:31" ht="15.75" customHeight="1" x14ac:dyDescent="0.3"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</row>
    <row r="506" spans="2:31" ht="15.75" customHeight="1" x14ac:dyDescent="0.3"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</row>
    <row r="507" spans="2:31" ht="15.75" customHeight="1" x14ac:dyDescent="0.3"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</row>
    <row r="508" spans="2:31" ht="15.75" customHeight="1" x14ac:dyDescent="0.3"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</row>
    <row r="509" spans="2:31" ht="15.75" customHeight="1" x14ac:dyDescent="0.3"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</row>
    <row r="510" spans="2:31" ht="15.75" customHeight="1" x14ac:dyDescent="0.3"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</row>
    <row r="511" spans="2:31" ht="15.75" customHeight="1" x14ac:dyDescent="0.3"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</row>
    <row r="512" spans="2:31" ht="15.75" customHeight="1" x14ac:dyDescent="0.3"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</row>
    <row r="513" spans="2:31" ht="15.75" customHeight="1" x14ac:dyDescent="0.3"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</row>
    <row r="514" spans="2:31" ht="15.75" customHeight="1" x14ac:dyDescent="0.3"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</row>
    <row r="515" spans="2:31" ht="15.75" customHeight="1" x14ac:dyDescent="0.3"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</row>
    <row r="516" spans="2:31" ht="15.75" customHeight="1" x14ac:dyDescent="0.3"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</row>
    <row r="517" spans="2:31" ht="15.75" customHeight="1" x14ac:dyDescent="0.3"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</row>
    <row r="518" spans="2:31" ht="15.75" customHeight="1" x14ac:dyDescent="0.3"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</row>
    <row r="519" spans="2:31" ht="15.75" customHeight="1" x14ac:dyDescent="0.3"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</row>
    <row r="520" spans="2:31" ht="15.75" customHeight="1" x14ac:dyDescent="0.3"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</row>
    <row r="521" spans="2:31" ht="15.75" customHeight="1" x14ac:dyDescent="0.3"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</row>
    <row r="522" spans="2:31" ht="15.75" customHeight="1" x14ac:dyDescent="0.3"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</row>
    <row r="523" spans="2:31" ht="15.75" customHeight="1" x14ac:dyDescent="0.3"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</row>
    <row r="524" spans="2:31" ht="15.75" customHeight="1" x14ac:dyDescent="0.3"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</row>
    <row r="525" spans="2:31" ht="15.75" customHeight="1" x14ac:dyDescent="0.3"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</row>
    <row r="526" spans="2:31" ht="15.75" customHeight="1" x14ac:dyDescent="0.3"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</row>
    <row r="527" spans="2:31" ht="15.75" customHeight="1" x14ac:dyDescent="0.3"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</row>
    <row r="528" spans="2:31" ht="15.75" customHeight="1" x14ac:dyDescent="0.3"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</row>
    <row r="529" spans="2:31" ht="15.75" customHeight="1" x14ac:dyDescent="0.3"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</row>
    <row r="530" spans="2:31" ht="15.75" customHeight="1" x14ac:dyDescent="0.3"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</row>
    <row r="531" spans="2:31" ht="15.75" customHeight="1" x14ac:dyDescent="0.3"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</row>
    <row r="532" spans="2:31" ht="15.75" customHeight="1" x14ac:dyDescent="0.3"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</row>
    <row r="533" spans="2:31" ht="15.75" customHeight="1" x14ac:dyDescent="0.3"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</row>
    <row r="534" spans="2:31" ht="15.75" customHeight="1" x14ac:dyDescent="0.3"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</row>
    <row r="535" spans="2:31" ht="15.75" customHeight="1" x14ac:dyDescent="0.3"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</row>
    <row r="536" spans="2:31" ht="15.75" customHeight="1" x14ac:dyDescent="0.3"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</row>
    <row r="537" spans="2:31" ht="15.75" customHeight="1" x14ac:dyDescent="0.3"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</row>
    <row r="538" spans="2:31" ht="15.75" customHeight="1" x14ac:dyDescent="0.3"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</row>
    <row r="539" spans="2:31" ht="15.75" customHeight="1" x14ac:dyDescent="0.3"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</row>
    <row r="540" spans="2:31" ht="15.75" customHeight="1" x14ac:dyDescent="0.3"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</row>
    <row r="541" spans="2:31" ht="15.75" customHeight="1" x14ac:dyDescent="0.3"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</row>
    <row r="542" spans="2:31" ht="15.75" customHeight="1" x14ac:dyDescent="0.3"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</row>
    <row r="543" spans="2:31" ht="15.75" customHeight="1" x14ac:dyDescent="0.3"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</row>
    <row r="544" spans="2:31" ht="15.75" customHeight="1" x14ac:dyDescent="0.3"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</row>
    <row r="545" spans="2:31" ht="15.75" customHeight="1" x14ac:dyDescent="0.3"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</row>
    <row r="546" spans="2:31" ht="15.75" customHeight="1" x14ac:dyDescent="0.3"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</row>
    <row r="547" spans="2:31" ht="15.75" customHeight="1" x14ac:dyDescent="0.3"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</row>
    <row r="548" spans="2:31" ht="15.75" customHeight="1" x14ac:dyDescent="0.3"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</row>
    <row r="549" spans="2:31" ht="15.75" customHeight="1" x14ac:dyDescent="0.3"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</row>
    <row r="550" spans="2:31" ht="15.75" customHeight="1" x14ac:dyDescent="0.3"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</row>
    <row r="551" spans="2:31" ht="15.75" customHeight="1" x14ac:dyDescent="0.3"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</row>
    <row r="552" spans="2:31" ht="15.75" customHeight="1" x14ac:dyDescent="0.3"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</row>
    <row r="553" spans="2:31" ht="15.75" customHeight="1" x14ac:dyDescent="0.3"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</row>
    <row r="554" spans="2:31" ht="15.75" customHeight="1" x14ac:dyDescent="0.3"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</row>
    <row r="555" spans="2:31" ht="15.75" customHeight="1" x14ac:dyDescent="0.3"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</row>
    <row r="556" spans="2:31" ht="15.75" customHeight="1" x14ac:dyDescent="0.3"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</row>
    <row r="557" spans="2:31" ht="15.75" customHeight="1" x14ac:dyDescent="0.3"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</row>
    <row r="558" spans="2:31" ht="15.75" customHeight="1" x14ac:dyDescent="0.3"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</row>
    <row r="559" spans="2:31" ht="15.75" customHeight="1" x14ac:dyDescent="0.3"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</row>
    <row r="560" spans="2:31" ht="15.75" customHeight="1" x14ac:dyDescent="0.3"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</row>
    <row r="561" spans="2:31" ht="15.75" customHeight="1" x14ac:dyDescent="0.3"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</row>
    <row r="562" spans="2:31" ht="15.75" customHeight="1" x14ac:dyDescent="0.3"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</row>
    <row r="563" spans="2:31" ht="15.75" customHeight="1" x14ac:dyDescent="0.3"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</row>
    <row r="564" spans="2:31" ht="15.75" customHeight="1" x14ac:dyDescent="0.3"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</row>
    <row r="565" spans="2:31" ht="15.75" customHeight="1" x14ac:dyDescent="0.3"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</row>
    <row r="566" spans="2:31" ht="15.75" customHeight="1" x14ac:dyDescent="0.3"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</row>
    <row r="567" spans="2:31" ht="15.75" customHeight="1" x14ac:dyDescent="0.3"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</row>
    <row r="568" spans="2:31" ht="15.75" customHeight="1" x14ac:dyDescent="0.3"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</row>
    <row r="569" spans="2:31" ht="15.75" customHeight="1" x14ac:dyDescent="0.3"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</row>
    <row r="570" spans="2:31" ht="15.75" customHeight="1" x14ac:dyDescent="0.3"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</row>
    <row r="571" spans="2:31" ht="15.75" customHeight="1" x14ac:dyDescent="0.3"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</row>
    <row r="572" spans="2:31" ht="15.75" customHeight="1" x14ac:dyDescent="0.3"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</row>
    <row r="573" spans="2:31" ht="15.75" customHeight="1" x14ac:dyDescent="0.3"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</row>
    <row r="574" spans="2:31" ht="15.75" customHeight="1" x14ac:dyDescent="0.3"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</row>
    <row r="575" spans="2:31" ht="15.75" customHeight="1" x14ac:dyDescent="0.3"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</row>
    <row r="576" spans="2:31" ht="15.75" customHeight="1" x14ac:dyDescent="0.3"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</row>
    <row r="577" spans="2:31" ht="15.75" customHeight="1" x14ac:dyDescent="0.3"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</row>
    <row r="578" spans="2:31" ht="15.75" customHeight="1" x14ac:dyDescent="0.3"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</row>
    <row r="579" spans="2:31" ht="15.75" customHeight="1" x14ac:dyDescent="0.3"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</row>
    <row r="580" spans="2:31" ht="15.75" customHeight="1" x14ac:dyDescent="0.3"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</row>
    <row r="581" spans="2:31" ht="15.75" customHeight="1" x14ac:dyDescent="0.3"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</row>
    <row r="582" spans="2:31" ht="15.75" customHeight="1" x14ac:dyDescent="0.3"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</row>
    <row r="583" spans="2:31" ht="15.75" customHeight="1" x14ac:dyDescent="0.3"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</row>
    <row r="584" spans="2:31" ht="15.75" customHeight="1" x14ac:dyDescent="0.3"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</row>
    <row r="585" spans="2:31" ht="15.75" customHeight="1" x14ac:dyDescent="0.3"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</row>
    <row r="586" spans="2:31" ht="15.75" customHeight="1" x14ac:dyDescent="0.3"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</row>
    <row r="587" spans="2:31" ht="15.75" customHeight="1" x14ac:dyDescent="0.3"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</row>
    <row r="588" spans="2:31" ht="15.75" customHeight="1" x14ac:dyDescent="0.3"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</row>
    <row r="589" spans="2:31" ht="15.75" customHeight="1" x14ac:dyDescent="0.3"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</row>
    <row r="590" spans="2:31" ht="15.75" customHeight="1" x14ac:dyDescent="0.3"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</row>
    <row r="591" spans="2:31" ht="15.75" customHeight="1" x14ac:dyDescent="0.3"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</row>
    <row r="592" spans="2:31" ht="15.75" customHeight="1" x14ac:dyDescent="0.3"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</row>
    <row r="593" spans="2:31" ht="15.75" customHeight="1" x14ac:dyDescent="0.3"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</row>
    <row r="594" spans="2:31" ht="15.75" customHeight="1" x14ac:dyDescent="0.3"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</row>
    <row r="595" spans="2:31" ht="15.75" customHeight="1" x14ac:dyDescent="0.3"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</row>
    <row r="596" spans="2:31" ht="15.75" customHeight="1" x14ac:dyDescent="0.3"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</row>
    <row r="597" spans="2:31" ht="15.75" customHeight="1" x14ac:dyDescent="0.3"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</row>
    <row r="598" spans="2:31" ht="15.75" customHeight="1" x14ac:dyDescent="0.3"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</row>
    <row r="599" spans="2:31" ht="15.75" customHeight="1" x14ac:dyDescent="0.3"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</row>
    <row r="600" spans="2:31" ht="15.75" customHeight="1" x14ac:dyDescent="0.3"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</row>
    <row r="601" spans="2:31" ht="15.75" customHeight="1" x14ac:dyDescent="0.3"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</row>
    <row r="602" spans="2:31" ht="15.75" customHeight="1" x14ac:dyDescent="0.3"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</row>
    <row r="603" spans="2:31" ht="15.75" customHeight="1" x14ac:dyDescent="0.3"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</row>
    <row r="604" spans="2:31" ht="15.75" customHeight="1" x14ac:dyDescent="0.3"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</row>
    <row r="605" spans="2:31" ht="15.75" customHeight="1" x14ac:dyDescent="0.3"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</row>
    <row r="606" spans="2:31" ht="15.75" customHeight="1" x14ac:dyDescent="0.3"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</row>
    <row r="607" spans="2:31" ht="15.75" customHeight="1" x14ac:dyDescent="0.3"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</row>
    <row r="608" spans="2:31" ht="15.75" customHeight="1" x14ac:dyDescent="0.3"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</row>
    <row r="609" spans="2:31" ht="15.75" customHeight="1" x14ac:dyDescent="0.3"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</row>
    <row r="610" spans="2:31" ht="15.75" customHeight="1" x14ac:dyDescent="0.3"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</row>
    <row r="611" spans="2:31" ht="15.75" customHeight="1" x14ac:dyDescent="0.3"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</row>
    <row r="612" spans="2:31" ht="15.75" customHeight="1" x14ac:dyDescent="0.3"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</row>
    <row r="613" spans="2:31" ht="15.75" customHeight="1" x14ac:dyDescent="0.3"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</row>
    <row r="614" spans="2:31" ht="15.75" customHeight="1" x14ac:dyDescent="0.3"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</row>
    <row r="615" spans="2:31" ht="15.75" customHeight="1" x14ac:dyDescent="0.3"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</row>
    <row r="616" spans="2:31" ht="15.75" customHeight="1" x14ac:dyDescent="0.3"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</row>
    <row r="617" spans="2:31" ht="15.75" customHeight="1" x14ac:dyDescent="0.3"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</row>
    <row r="618" spans="2:31" ht="15.75" customHeight="1" x14ac:dyDescent="0.3"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</row>
    <row r="619" spans="2:31" ht="15.75" customHeight="1" x14ac:dyDescent="0.3"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</row>
    <row r="620" spans="2:31" ht="15.75" customHeight="1" x14ac:dyDescent="0.3"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</row>
    <row r="621" spans="2:31" ht="15.75" customHeight="1" x14ac:dyDescent="0.3"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</row>
    <row r="622" spans="2:31" ht="15.75" customHeight="1" x14ac:dyDescent="0.3"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</row>
    <row r="623" spans="2:31" ht="15.75" customHeight="1" x14ac:dyDescent="0.3"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</row>
    <row r="624" spans="2:31" ht="15.75" customHeight="1" x14ac:dyDescent="0.3"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</row>
    <row r="625" spans="2:31" ht="15.75" customHeight="1" x14ac:dyDescent="0.3"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</row>
    <row r="626" spans="2:31" ht="15.75" customHeight="1" x14ac:dyDescent="0.3"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</row>
    <row r="627" spans="2:31" ht="15.75" customHeight="1" x14ac:dyDescent="0.3"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</row>
    <row r="628" spans="2:31" ht="15.75" customHeight="1" x14ac:dyDescent="0.3"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</row>
    <row r="629" spans="2:31" ht="15.75" customHeight="1" x14ac:dyDescent="0.3"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</row>
    <row r="630" spans="2:31" ht="15.75" customHeight="1" x14ac:dyDescent="0.3"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</row>
    <row r="631" spans="2:31" ht="15.75" customHeight="1" x14ac:dyDescent="0.3"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</row>
    <row r="632" spans="2:31" ht="15.75" customHeight="1" x14ac:dyDescent="0.3"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</row>
    <row r="633" spans="2:31" ht="15.75" customHeight="1" x14ac:dyDescent="0.3"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</row>
    <row r="634" spans="2:31" ht="15.75" customHeight="1" x14ac:dyDescent="0.3"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</row>
    <row r="635" spans="2:31" ht="15.75" customHeight="1" x14ac:dyDescent="0.3"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</row>
    <row r="636" spans="2:31" ht="15.75" customHeight="1" x14ac:dyDescent="0.3"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</row>
    <row r="637" spans="2:31" ht="15.75" customHeight="1" x14ac:dyDescent="0.3"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</row>
    <row r="638" spans="2:31" ht="15.75" customHeight="1" x14ac:dyDescent="0.3"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</row>
    <row r="639" spans="2:31" ht="15.75" customHeight="1" x14ac:dyDescent="0.3"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</row>
    <row r="640" spans="2:31" ht="15.75" customHeight="1" x14ac:dyDescent="0.3"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</row>
    <row r="641" spans="2:31" ht="15.75" customHeight="1" x14ac:dyDescent="0.3"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</row>
    <row r="642" spans="2:31" ht="15.75" customHeight="1" x14ac:dyDescent="0.3"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</row>
    <row r="643" spans="2:31" ht="15.75" customHeight="1" x14ac:dyDescent="0.3"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</row>
    <row r="644" spans="2:31" ht="15.75" customHeight="1" x14ac:dyDescent="0.3"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</row>
    <row r="645" spans="2:31" ht="15.75" customHeight="1" x14ac:dyDescent="0.3"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</row>
    <row r="646" spans="2:31" ht="15.75" customHeight="1" x14ac:dyDescent="0.3"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</row>
    <row r="647" spans="2:31" ht="15.75" customHeight="1" x14ac:dyDescent="0.3"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</row>
    <row r="648" spans="2:31" ht="15.75" customHeight="1" x14ac:dyDescent="0.3"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</row>
    <row r="649" spans="2:31" ht="15.75" customHeight="1" x14ac:dyDescent="0.3"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</row>
    <row r="650" spans="2:31" ht="15.75" customHeight="1" x14ac:dyDescent="0.3"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</row>
    <row r="651" spans="2:31" ht="15.75" customHeight="1" x14ac:dyDescent="0.3"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</row>
    <row r="652" spans="2:31" ht="15.75" customHeight="1" x14ac:dyDescent="0.3"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</row>
    <row r="653" spans="2:31" ht="15.75" customHeight="1" x14ac:dyDescent="0.3"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</row>
    <row r="654" spans="2:31" ht="15.75" customHeight="1" x14ac:dyDescent="0.3"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</row>
    <row r="655" spans="2:31" ht="15.75" customHeight="1" x14ac:dyDescent="0.3"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</row>
    <row r="656" spans="2:31" ht="15.75" customHeight="1" x14ac:dyDescent="0.3"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</row>
    <row r="657" spans="2:31" ht="15.75" customHeight="1" x14ac:dyDescent="0.3"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</row>
    <row r="658" spans="2:31" ht="15.75" customHeight="1" x14ac:dyDescent="0.3"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</row>
    <row r="659" spans="2:31" ht="15.75" customHeight="1" x14ac:dyDescent="0.3"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</row>
    <row r="660" spans="2:31" ht="15.75" customHeight="1" x14ac:dyDescent="0.3"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</row>
    <row r="661" spans="2:31" ht="15.75" customHeight="1" x14ac:dyDescent="0.3"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</row>
    <row r="662" spans="2:31" ht="15.75" customHeight="1" x14ac:dyDescent="0.3"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</row>
    <row r="663" spans="2:31" ht="15.75" customHeight="1" x14ac:dyDescent="0.3"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</row>
    <row r="664" spans="2:31" ht="15.75" customHeight="1" x14ac:dyDescent="0.3"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</row>
    <row r="665" spans="2:31" ht="15.75" customHeight="1" x14ac:dyDescent="0.3"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</row>
    <row r="666" spans="2:31" ht="15.75" customHeight="1" x14ac:dyDescent="0.3"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</row>
    <row r="667" spans="2:31" ht="15.75" customHeight="1" x14ac:dyDescent="0.3"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</row>
    <row r="668" spans="2:31" ht="15.75" customHeight="1" x14ac:dyDescent="0.3"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</row>
    <row r="669" spans="2:31" ht="15.75" customHeight="1" x14ac:dyDescent="0.3"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</row>
    <row r="670" spans="2:31" ht="15.75" customHeight="1" x14ac:dyDescent="0.3"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</row>
    <row r="671" spans="2:31" ht="15.75" customHeight="1" x14ac:dyDescent="0.3"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</row>
    <row r="672" spans="2:31" ht="15.75" customHeight="1" x14ac:dyDescent="0.3"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</row>
    <row r="673" spans="2:31" ht="15.75" customHeight="1" x14ac:dyDescent="0.3"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</row>
    <row r="674" spans="2:31" ht="15.75" customHeight="1" x14ac:dyDescent="0.3"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</row>
    <row r="675" spans="2:31" ht="15.75" customHeight="1" x14ac:dyDescent="0.3"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</row>
    <row r="676" spans="2:31" ht="15.75" customHeight="1" x14ac:dyDescent="0.3"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</row>
    <row r="677" spans="2:31" ht="15.75" customHeight="1" x14ac:dyDescent="0.3"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</row>
    <row r="678" spans="2:31" ht="15.75" customHeight="1" x14ac:dyDescent="0.3"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</row>
    <row r="679" spans="2:31" ht="15.75" customHeight="1" x14ac:dyDescent="0.3"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</row>
    <row r="680" spans="2:31" ht="15.75" customHeight="1" x14ac:dyDescent="0.3"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</row>
    <row r="681" spans="2:31" ht="15.75" customHeight="1" x14ac:dyDescent="0.3"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</row>
    <row r="682" spans="2:31" ht="15.75" customHeight="1" x14ac:dyDescent="0.3"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</row>
    <row r="683" spans="2:31" ht="15.75" customHeight="1" x14ac:dyDescent="0.3"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</row>
    <row r="684" spans="2:31" ht="15.75" customHeight="1" x14ac:dyDescent="0.3"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</row>
    <row r="685" spans="2:31" ht="15.75" customHeight="1" x14ac:dyDescent="0.3"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</row>
    <row r="686" spans="2:31" ht="15.75" customHeight="1" x14ac:dyDescent="0.3"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</row>
    <row r="687" spans="2:31" ht="15.75" customHeight="1" x14ac:dyDescent="0.3"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</row>
    <row r="688" spans="2:31" ht="15.75" customHeight="1" x14ac:dyDescent="0.3"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</row>
    <row r="689" spans="2:31" ht="15.75" customHeight="1" x14ac:dyDescent="0.3"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</row>
    <row r="690" spans="2:31" ht="15.75" customHeight="1" x14ac:dyDescent="0.3"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</row>
    <row r="691" spans="2:31" ht="15.75" customHeight="1" x14ac:dyDescent="0.3"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</row>
    <row r="692" spans="2:31" ht="15.75" customHeight="1" x14ac:dyDescent="0.3"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</row>
    <row r="693" spans="2:31" ht="15.75" customHeight="1" x14ac:dyDescent="0.3"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</row>
    <row r="694" spans="2:31" ht="15.75" customHeight="1" x14ac:dyDescent="0.3"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</row>
    <row r="695" spans="2:31" ht="15.75" customHeight="1" x14ac:dyDescent="0.3"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</row>
    <row r="696" spans="2:31" ht="15.75" customHeight="1" x14ac:dyDescent="0.3"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</row>
    <row r="697" spans="2:31" ht="15.75" customHeight="1" x14ac:dyDescent="0.3"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</row>
    <row r="698" spans="2:31" ht="15.75" customHeight="1" x14ac:dyDescent="0.3"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</row>
    <row r="699" spans="2:31" ht="15.75" customHeight="1" x14ac:dyDescent="0.3"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</row>
    <row r="700" spans="2:31" ht="15.75" customHeight="1" x14ac:dyDescent="0.3"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</row>
    <row r="701" spans="2:31" ht="15.75" customHeight="1" x14ac:dyDescent="0.3"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</row>
    <row r="702" spans="2:31" ht="15.75" customHeight="1" x14ac:dyDescent="0.3"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</row>
    <row r="703" spans="2:31" ht="15.75" customHeight="1" x14ac:dyDescent="0.3"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</row>
    <row r="704" spans="2:31" ht="15.75" customHeight="1" x14ac:dyDescent="0.3"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</row>
    <row r="705" spans="2:31" ht="15.75" customHeight="1" x14ac:dyDescent="0.3"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</row>
    <row r="706" spans="2:31" ht="15.75" customHeight="1" x14ac:dyDescent="0.3"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</row>
    <row r="707" spans="2:31" ht="15.75" customHeight="1" x14ac:dyDescent="0.3"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</row>
    <row r="708" spans="2:31" ht="15.75" customHeight="1" x14ac:dyDescent="0.3"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</row>
    <row r="709" spans="2:31" ht="15.75" customHeight="1" x14ac:dyDescent="0.3"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</row>
    <row r="710" spans="2:31" ht="15.75" customHeight="1" x14ac:dyDescent="0.3"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</row>
    <row r="711" spans="2:31" ht="15.75" customHeight="1" x14ac:dyDescent="0.3"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</row>
    <row r="712" spans="2:31" ht="15.75" customHeight="1" x14ac:dyDescent="0.3"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</row>
    <row r="713" spans="2:31" ht="15.75" customHeight="1" x14ac:dyDescent="0.3"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</row>
    <row r="714" spans="2:31" ht="15.75" customHeight="1" x14ac:dyDescent="0.3"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</row>
    <row r="715" spans="2:31" ht="15.75" customHeight="1" x14ac:dyDescent="0.3"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</row>
    <row r="716" spans="2:31" ht="15.75" customHeight="1" x14ac:dyDescent="0.3"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</row>
    <row r="717" spans="2:31" ht="15.75" customHeight="1" x14ac:dyDescent="0.3"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</row>
    <row r="718" spans="2:31" ht="15.75" customHeight="1" x14ac:dyDescent="0.3"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</row>
    <row r="719" spans="2:31" ht="15.75" customHeight="1" x14ac:dyDescent="0.3"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</row>
    <row r="720" spans="2:31" ht="15.75" customHeight="1" x14ac:dyDescent="0.3"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</row>
    <row r="721" spans="2:31" ht="15.75" customHeight="1" x14ac:dyDescent="0.3"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</row>
    <row r="722" spans="2:31" ht="15.75" customHeight="1" x14ac:dyDescent="0.3"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</row>
    <row r="723" spans="2:31" ht="15.75" customHeight="1" x14ac:dyDescent="0.3"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</row>
    <row r="724" spans="2:31" ht="15.75" customHeight="1" x14ac:dyDescent="0.3"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</row>
    <row r="725" spans="2:31" ht="15.75" customHeight="1" x14ac:dyDescent="0.3"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</row>
    <row r="726" spans="2:31" ht="15.75" customHeight="1" x14ac:dyDescent="0.3"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</row>
    <row r="727" spans="2:31" ht="15.75" customHeight="1" x14ac:dyDescent="0.3"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</row>
    <row r="728" spans="2:31" ht="15.75" customHeight="1" x14ac:dyDescent="0.3"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</row>
    <row r="729" spans="2:31" ht="15.75" customHeight="1" x14ac:dyDescent="0.3"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</row>
    <row r="730" spans="2:31" ht="15.75" customHeight="1" x14ac:dyDescent="0.3"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</row>
    <row r="731" spans="2:31" ht="15.75" customHeight="1" x14ac:dyDescent="0.3"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</row>
    <row r="732" spans="2:31" ht="15.75" customHeight="1" x14ac:dyDescent="0.3"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</row>
    <row r="733" spans="2:31" ht="15.75" customHeight="1" x14ac:dyDescent="0.3"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</row>
    <row r="734" spans="2:31" ht="15.75" customHeight="1" x14ac:dyDescent="0.3"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</row>
    <row r="735" spans="2:31" ht="15.75" customHeight="1" x14ac:dyDescent="0.3"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</row>
    <row r="736" spans="2:31" ht="15.75" customHeight="1" x14ac:dyDescent="0.3"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</row>
    <row r="737" spans="2:31" ht="15.75" customHeight="1" x14ac:dyDescent="0.3"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</row>
    <row r="738" spans="2:31" ht="15.75" customHeight="1" x14ac:dyDescent="0.3"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</row>
    <row r="739" spans="2:31" ht="15.75" customHeight="1" x14ac:dyDescent="0.3"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</row>
    <row r="740" spans="2:31" ht="15.75" customHeight="1" x14ac:dyDescent="0.3"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</row>
    <row r="741" spans="2:31" ht="15.75" customHeight="1" x14ac:dyDescent="0.3"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</row>
    <row r="742" spans="2:31" ht="15.75" customHeight="1" x14ac:dyDescent="0.3"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</row>
    <row r="743" spans="2:31" ht="15.75" customHeight="1" x14ac:dyDescent="0.3"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</row>
    <row r="744" spans="2:31" ht="15.75" customHeight="1" x14ac:dyDescent="0.3"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</row>
    <row r="745" spans="2:31" ht="15.75" customHeight="1" x14ac:dyDescent="0.3"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</row>
    <row r="746" spans="2:31" ht="15.75" customHeight="1" x14ac:dyDescent="0.3"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</row>
    <row r="747" spans="2:31" ht="15.75" customHeight="1" x14ac:dyDescent="0.3"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</row>
    <row r="748" spans="2:31" ht="15.75" customHeight="1" x14ac:dyDescent="0.3"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</row>
    <row r="749" spans="2:31" ht="15.75" customHeight="1" x14ac:dyDescent="0.3"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</row>
    <row r="750" spans="2:31" ht="15.75" customHeight="1" x14ac:dyDescent="0.3"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</row>
    <row r="751" spans="2:31" ht="15.75" customHeight="1" x14ac:dyDescent="0.3"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</row>
    <row r="752" spans="2:31" ht="15.75" customHeight="1" x14ac:dyDescent="0.3"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</row>
    <row r="753" spans="2:31" ht="15.75" customHeight="1" x14ac:dyDescent="0.3"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</row>
    <row r="754" spans="2:31" ht="15.75" customHeight="1" x14ac:dyDescent="0.3"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</row>
    <row r="755" spans="2:31" ht="15.75" customHeight="1" x14ac:dyDescent="0.3"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</row>
    <row r="756" spans="2:31" ht="15.75" customHeight="1" x14ac:dyDescent="0.3"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</row>
    <row r="757" spans="2:31" ht="15.75" customHeight="1" x14ac:dyDescent="0.3"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</row>
    <row r="758" spans="2:31" ht="15.75" customHeight="1" x14ac:dyDescent="0.3"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</row>
    <row r="759" spans="2:31" ht="15.75" customHeight="1" x14ac:dyDescent="0.3"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</row>
    <row r="760" spans="2:31" ht="15.75" customHeight="1" x14ac:dyDescent="0.3"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</row>
    <row r="761" spans="2:31" ht="15.75" customHeight="1" x14ac:dyDescent="0.3"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</row>
    <row r="762" spans="2:31" ht="15.75" customHeight="1" x14ac:dyDescent="0.3"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</row>
    <row r="763" spans="2:31" ht="15.75" customHeight="1" x14ac:dyDescent="0.3"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</row>
    <row r="764" spans="2:31" ht="15.75" customHeight="1" x14ac:dyDescent="0.3"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</row>
    <row r="765" spans="2:31" ht="15.75" customHeight="1" x14ac:dyDescent="0.3"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</row>
    <row r="766" spans="2:31" ht="15.75" customHeight="1" x14ac:dyDescent="0.3"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</row>
    <row r="767" spans="2:31" ht="15.75" customHeight="1" x14ac:dyDescent="0.3"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</row>
    <row r="768" spans="2:31" ht="15.75" customHeight="1" x14ac:dyDescent="0.3"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</row>
    <row r="769" spans="2:31" ht="15.75" customHeight="1" x14ac:dyDescent="0.3"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</row>
    <row r="770" spans="2:31" ht="15.75" customHeight="1" x14ac:dyDescent="0.3"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</row>
    <row r="771" spans="2:31" ht="15.75" customHeight="1" x14ac:dyDescent="0.3"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</row>
    <row r="772" spans="2:31" ht="15.75" customHeight="1" x14ac:dyDescent="0.3"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</row>
    <row r="773" spans="2:31" ht="15.75" customHeight="1" x14ac:dyDescent="0.3"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</row>
    <row r="774" spans="2:31" ht="15.75" customHeight="1" x14ac:dyDescent="0.3"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</row>
    <row r="775" spans="2:31" ht="15.75" customHeight="1" x14ac:dyDescent="0.3"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</row>
    <row r="776" spans="2:31" ht="15.75" customHeight="1" x14ac:dyDescent="0.3"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</row>
    <row r="777" spans="2:31" ht="15.75" customHeight="1" x14ac:dyDescent="0.3"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</row>
    <row r="778" spans="2:31" ht="15.75" customHeight="1" x14ac:dyDescent="0.3"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</row>
    <row r="779" spans="2:31" ht="15.75" customHeight="1" x14ac:dyDescent="0.3"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</row>
    <row r="780" spans="2:31" ht="15.75" customHeight="1" x14ac:dyDescent="0.3"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</row>
    <row r="781" spans="2:31" ht="15.75" customHeight="1" x14ac:dyDescent="0.3"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</row>
    <row r="782" spans="2:31" ht="15.75" customHeight="1" x14ac:dyDescent="0.3"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</row>
    <row r="783" spans="2:31" ht="15.75" customHeight="1" x14ac:dyDescent="0.3"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</row>
    <row r="784" spans="2:31" ht="15.75" customHeight="1" x14ac:dyDescent="0.3"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</row>
    <row r="785" spans="2:31" ht="15.75" customHeight="1" x14ac:dyDescent="0.3"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</row>
    <row r="786" spans="2:31" ht="15.75" customHeight="1" x14ac:dyDescent="0.3"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</row>
    <row r="787" spans="2:31" ht="15.75" customHeight="1" x14ac:dyDescent="0.3"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</row>
    <row r="788" spans="2:31" ht="15.75" customHeight="1" x14ac:dyDescent="0.3"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</row>
    <row r="789" spans="2:31" ht="15.75" customHeight="1" x14ac:dyDescent="0.3"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</row>
    <row r="790" spans="2:31" ht="15.75" customHeight="1" x14ac:dyDescent="0.3"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</row>
    <row r="791" spans="2:31" ht="15.75" customHeight="1" x14ac:dyDescent="0.3"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</row>
    <row r="792" spans="2:31" ht="15.75" customHeight="1" x14ac:dyDescent="0.3"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</row>
    <row r="793" spans="2:31" ht="15.75" customHeight="1" x14ac:dyDescent="0.3"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</row>
    <row r="794" spans="2:31" ht="15.75" customHeight="1" x14ac:dyDescent="0.3"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</row>
    <row r="795" spans="2:31" ht="15.75" customHeight="1" x14ac:dyDescent="0.3"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</row>
    <row r="796" spans="2:31" ht="15.75" customHeight="1" x14ac:dyDescent="0.3"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</row>
    <row r="797" spans="2:31" ht="15.75" customHeight="1" x14ac:dyDescent="0.3"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</row>
    <row r="798" spans="2:31" ht="15.75" customHeight="1" x14ac:dyDescent="0.3"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</row>
    <row r="799" spans="2:31" ht="15.75" customHeight="1" x14ac:dyDescent="0.3"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</row>
    <row r="800" spans="2:31" ht="15.75" customHeight="1" x14ac:dyDescent="0.3"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</row>
    <row r="801" spans="2:31" ht="15.75" customHeight="1" x14ac:dyDescent="0.3"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</row>
    <row r="802" spans="2:31" ht="15.75" customHeight="1" x14ac:dyDescent="0.3"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</row>
    <row r="803" spans="2:31" ht="15.75" customHeight="1" x14ac:dyDescent="0.3"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</row>
    <row r="804" spans="2:31" ht="15.75" customHeight="1" x14ac:dyDescent="0.3"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</row>
    <row r="805" spans="2:31" ht="15.75" customHeight="1" x14ac:dyDescent="0.3"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</row>
    <row r="806" spans="2:31" ht="15.75" customHeight="1" x14ac:dyDescent="0.3"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</row>
    <row r="807" spans="2:31" ht="15.75" customHeight="1" x14ac:dyDescent="0.3"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</row>
    <row r="808" spans="2:31" ht="15.75" customHeight="1" x14ac:dyDescent="0.3"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</row>
    <row r="809" spans="2:31" ht="15.75" customHeight="1" x14ac:dyDescent="0.3"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</row>
    <row r="810" spans="2:31" ht="15.75" customHeight="1" x14ac:dyDescent="0.3"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</row>
    <row r="811" spans="2:31" ht="15.75" customHeight="1" x14ac:dyDescent="0.3"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</row>
    <row r="812" spans="2:31" ht="15.75" customHeight="1" x14ac:dyDescent="0.3"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</row>
    <row r="813" spans="2:31" ht="15.75" customHeight="1" x14ac:dyDescent="0.3"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</row>
    <row r="814" spans="2:31" ht="15.75" customHeight="1" x14ac:dyDescent="0.3"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</row>
    <row r="815" spans="2:31" ht="15.75" customHeight="1" x14ac:dyDescent="0.3"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</row>
    <row r="816" spans="2:31" ht="15.75" customHeight="1" x14ac:dyDescent="0.3"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</row>
    <row r="817" spans="2:31" ht="15.75" customHeight="1" x14ac:dyDescent="0.3"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</row>
    <row r="818" spans="2:31" ht="15.75" customHeight="1" x14ac:dyDescent="0.3"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</row>
    <row r="819" spans="2:31" ht="15.75" customHeight="1" x14ac:dyDescent="0.3"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</row>
    <row r="820" spans="2:31" ht="15.75" customHeight="1" x14ac:dyDescent="0.3"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</row>
    <row r="821" spans="2:31" ht="15.75" customHeight="1" x14ac:dyDescent="0.3"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</row>
    <row r="822" spans="2:31" ht="15.75" customHeight="1" x14ac:dyDescent="0.3"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</row>
    <row r="823" spans="2:31" ht="15.75" customHeight="1" x14ac:dyDescent="0.3"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</row>
    <row r="824" spans="2:31" ht="15.75" customHeight="1" x14ac:dyDescent="0.3"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</row>
    <row r="825" spans="2:31" ht="15.75" customHeight="1" x14ac:dyDescent="0.3"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</row>
    <row r="826" spans="2:31" ht="15.75" customHeight="1" x14ac:dyDescent="0.3"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</row>
    <row r="827" spans="2:31" ht="15.75" customHeight="1" x14ac:dyDescent="0.3"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</row>
    <row r="828" spans="2:31" ht="15.75" customHeight="1" x14ac:dyDescent="0.3"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</row>
    <row r="829" spans="2:31" ht="15.75" customHeight="1" x14ac:dyDescent="0.3"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</row>
    <row r="830" spans="2:31" ht="15.75" customHeight="1" x14ac:dyDescent="0.3"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</row>
    <row r="831" spans="2:31" ht="15.75" customHeight="1" x14ac:dyDescent="0.3"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</row>
    <row r="832" spans="2:31" ht="15.75" customHeight="1" x14ac:dyDescent="0.3"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</row>
    <row r="833" spans="2:31" ht="15.75" customHeight="1" x14ac:dyDescent="0.3"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</row>
    <row r="834" spans="2:31" ht="15.75" customHeight="1" x14ac:dyDescent="0.3"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</row>
    <row r="835" spans="2:31" ht="15.75" customHeight="1" x14ac:dyDescent="0.3"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</row>
    <row r="836" spans="2:31" ht="15.75" customHeight="1" x14ac:dyDescent="0.3"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</row>
    <row r="837" spans="2:31" ht="15.75" customHeight="1" x14ac:dyDescent="0.3"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</row>
    <row r="838" spans="2:31" ht="15.75" customHeight="1" x14ac:dyDescent="0.3"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</row>
    <row r="839" spans="2:31" ht="15.75" customHeight="1" x14ac:dyDescent="0.3"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</row>
    <row r="840" spans="2:31" ht="15.75" customHeight="1" x14ac:dyDescent="0.3"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</row>
    <row r="841" spans="2:31" ht="15.75" customHeight="1" x14ac:dyDescent="0.3"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</row>
    <row r="842" spans="2:31" ht="15.75" customHeight="1" x14ac:dyDescent="0.3"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</row>
    <row r="843" spans="2:31" ht="15.75" customHeight="1" x14ac:dyDescent="0.3"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</row>
    <row r="844" spans="2:31" ht="15.75" customHeight="1" x14ac:dyDescent="0.3"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</row>
    <row r="845" spans="2:31" ht="15.75" customHeight="1" x14ac:dyDescent="0.3"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</row>
    <row r="846" spans="2:31" ht="15.75" customHeight="1" x14ac:dyDescent="0.3"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</row>
    <row r="847" spans="2:31" ht="15.75" customHeight="1" x14ac:dyDescent="0.3"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</row>
    <row r="848" spans="2:31" ht="15.75" customHeight="1" x14ac:dyDescent="0.3"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</row>
    <row r="849" spans="2:31" ht="15.75" customHeight="1" x14ac:dyDescent="0.3"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</row>
    <row r="850" spans="2:31" ht="15.75" customHeight="1" x14ac:dyDescent="0.3"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</row>
    <row r="851" spans="2:31" ht="15.75" customHeight="1" x14ac:dyDescent="0.3"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</row>
    <row r="852" spans="2:31" ht="15.75" customHeight="1" x14ac:dyDescent="0.3"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</row>
    <row r="853" spans="2:31" ht="15.75" customHeight="1" x14ac:dyDescent="0.3"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</row>
    <row r="854" spans="2:31" ht="15.75" customHeight="1" x14ac:dyDescent="0.3"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</row>
    <row r="855" spans="2:31" ht="15.75" customHeight="1" x14ac:dyDescent="0.3"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</row>
    <row r="856" spans="2:31" ht="15.75" customHeight="1" x14ac:dyDescent="0.3"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</row>
    <row r="857" spans="2:31" ht="15.75" customHeight="1" x14ac:dyDescent="0.3"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</row>
    <row r="858" spans="2:31" ht="15.75" customHeight="1" x14ac:dyDescent="0.3"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</row>
    <row r="859" spans="2:31" ht="15.75" customHeight="1" x14ac:dyDescent="0.3"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</row>
    <row r="860" spans="2:31" ht="15.75" customHeight="1" x14ac:dyDescent="0.3"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</row>
    <row r="861" spans="2:31" ht="15.75" customHeight="1" x14ac:dyDescent="0.3"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</row>
    <row r="862" spans="2:31" ht="15.75" customHeight="1" x14ac:dyDescent="0.3"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</row>
    <row r="863" spans="2:31" ht="15.75" customHeight="1" x14ac:dyDescent="0.3"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</row>
    <row r="864" spans="2:31" ht="15.75" customHeight="1" x14ac:dyDescent="0.3"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</row>
    <row r="865" spans="2:31" ht="15.75" customHeight="1" x14ac:dyDescent="0.3"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</row>
    <row r="866" spans="2:31" ht="15.75" customHeight="1" x14ac:dyDescent="0.3"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</row>
    <row r="867" spans="2:31" ht="15.75" customHeight="1" x14ac:dyDescent="0.3"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</row>
    <row r="868" spans="2:31" ht="15.75" customHeight="1" x14ac:dyDescent="0.3"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</row>
    <row r="869" spans="2:31" ht="15.75" customHeight="1" x14ac:dyDescent="0.3"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</row>
    <row r="870" spans="2:31" ht="15.75" customHeight="1" x14ac:dyDescent="0.3"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</row>
    <row r="871" spans="2:31" ht="15.75" customHeight="1" x14ac:dyDescent="0.3"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</row>
    <row r="872" spans="2:31" ht="15.75" customHeight="1" x14ac:dyDescent="0.3"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</row>
    <row r="873" spans="2:31" ht="15.75" customHeight="1" x14ac:dyDescent="0.3"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</row>
    <row r="874" spans="2:31" ht="15.75" customHeight="1" x14ac:dyDescent="0.3"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</row>
    <row r="875" spans="2:31" ht="15.75" customHeight="1" x14ac:dyDescent="0.3"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</row>
    <row r="876" spans="2:31" ht="15.75" customHeight="1" x14ac:dyDescent="0.3"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</row>
    <row r="877" spans="2:31" ht="15.75" customHeight="1" x14ac:dyDescent="0.3"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</row>
    <row r="878" spans="2:31" ht="15.75" customHeight="1" x14ac:dyDescent="0.3"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</row>
    <row r="879" spans="2:31" ht="15.75" customHeight="1" x14ac:dyDescent="0.3"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</row>
    <row r="880" spans="2:31" ht="15.75" customHeight="1" x14ac:dyDescent="0.3"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</row>
    <row r="881" spans="2:31" ht="15.75" customHeight="1" x14ac:dyDescent="0.3"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</row>
    <row r="882" spans="2:31" ht="15.75" customHeight="1" x14ac:dyDescent="0.3"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</row>
    <row r="883" spans="2:31" ht="15.75" customHeight="1" x14ac:dyDescent="0.3"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</row>
    <row r="884" spans="2:31" ht="15.75" customHeight="1" x14ac:dyDescent="0.3"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</row>
    <row r="885" spans="2:31" ht="15.75" customHeight="1" x14ac:dyDescent="0.3"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</row>
    <row r="886" spans="2:31" ht="15.75" customHeight="1" x14ac:dyDescent="0.3"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</row>
    <row r="887" spans="2:31" ht="15.75" customHeight="1" x14ac:dyDescent="0.3"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</row>
    <row r="888" spans="2:31" ht="15.75" customHeight="1" x14ac:dyDescent="0.3"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</row>
    <row r="889" spans="2:31" ht="15.75" customHeight="1" x14ac:dyDescent="0.3"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</row>
    <row r="890" spans="2:31" ht="15.75" customHeight="1" x14ac:dyDescent="0.3"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</row>
    <row r="891" spans="2:31" ht="15.75" customHeight="1" x14ac:dyDescent="0.3"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</row>
    <row r="892" spans="2:31" ht="15.75" customHeight="1" x14ac:dyDescent="0.3"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</row>
    <row r="893" spans="2:31" ht="15.75" customHeight="1" x14ac:dyDescent="0.3"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</row>
    <row r="894" spans="2:31" ht="15.75" customHeight="1" x14ac:dyDescent="0.3"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</row>
    <row r="895" spans="2:31" ht="15.75" customHeight="1" x14ac:dyDescent="0.3"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</row>
    <row r="896" spans="2:31" ht="15.75" customHeight="1" x14ac:dyDescent="0.3"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</row>
    <row r="897" spans="2:31" ht="15.75" customHeight="1" x14ac:dyDescent="0.3"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</row>
    <row r="898" spans="2:31" ht="15.75" customHeight="1" x14ac:dyDescent="0.3"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</row>
    <row r="899" spans="2:31" ht="15.75" customHeight="1" x14ac:dyDescent="0.3"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</row>
    <row r="900" spans="2:31" ht="15.75" customHeight="1" x14ac:dyDescent="0.3"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</row>
    <row r="901" spans="2:31" ht="15.75" customHeight="1" x14ac:dyDescent="0.3"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</row>
    <row r="902" spans="2:31" ht="15.75" customHeight="1" x14ac:dyDescent="0.3"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</row>
    <row r="903" spans="2:31" ht="15.75" customHeight="1" x14ac:dyDescent="0.3"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</row>
    <row r="904" spans="2:31" ht="15.75" customHeight="1" x14ac:dyDescent="0.3"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</row>
    <row r="905" spans="2:31" ht="15.75" customHeight="1" x14ac:dyDescent="0.3"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</row>
    <row r="906" spans="2:31" ht="15.75" customHeight="1" x14ac:dyDescent="0.3"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</row>
    <row r="907" spans="2:31" ht="15.75" customHeight="1" x14ac:dyDescent="0.3"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</row>
    <row r="908" spans="2:31" ht="15.75" customHeight="1" x14ac:dyDescent="0.3"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</row>
    <row r="909" spans="2:31" ht="15.75" customHeight="1" x14ac:dyDescent="0.3"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</row>
    <row r="910" spans="2:31" ht="15.75" customHeight="1" x14ac:dyDescent="0.3"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</row>
    <row r="911" spans="2:31" ht="15.75" customHeight="1" x14ac:dyDescent="0.3"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</row>
    <row r="912" spans="2:31" ht="15.75" customHeight="1" x14ac:dyDescent="0.3"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</row>
    <row r="913" spans="2:31" ht="15.75" customHeight="1" x14ac:dyDescent="0.3"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</row>
    <row r="914" spans="2:31" ht="15.75" customHeight="1" x14ac:dyDescent="0.3"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</row>
    <row r="915" spans="2:31" ht="15.75" customHeight="1" x14ac:dyDescent="0.3"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</row>
    <row r="916" spans="2:31" ht="15.75" customHeight="1" x14ac:dyDescent="0.3"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</row>
    <row r="917" spans="2:31" ht="15.75" customHeight="1" x14ac:dyDescent="0.3"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</row>
    <row r="918" spans="2:31" ht="15.75" customHeight="1" x14ac:dyDescent="0.3"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</row>
    <row r="919" spans="2:31" ht="15.75" customHeight="1" x14ac:dyDescent="0.3"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</row>
    <row r="920" spans="2:31" ht="15.75" customHeight="1" x14ac:dyDescent="0.3"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</row>
    <row r="921" spans="2:31" ht="15.75" customHeight="1" x14ac:dyDescent="0.3"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</row>
    <row r="922" spans="2:31" ht="15.75" customHeight="1" x14ac:dyDescent="0.3"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</row>
    <row r="923" spans="2:31" ht="15.75" customHeight="1" x14ac:dyDescent="0.3"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</row>
    <row r="924" spans="2:31" ht="15.75" customHeight="1" x14ac:dyDescent="0.3"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</row>
    <row r="925" spans="2:31" ht="15.75" customHeight="1" x14ac:dyDescent="0.3"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</row>
    <row r="926" spans="2:31" ht="15.75" customHeight="1" x14ac:dyDescent="0.3"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</row>
    <row r="927" spans="2:31" ht="15.75" customHeight="1" x14ac:dyDescent="0.3"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</row>
    <row r="928" spans="2:31" ht="15.75" customHeight="1" x14ac:dyDescent="0.3"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</row>
    <row r="929" spans="2:31" ht="15.75" customHeight="1" x14ac:dyDescent="0.3"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</row>
    <row r="930" spans="2:31" ht="15.75" customHeight="1" x14ac:dyDescent="0.3"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</row>
    <row r="931" spans="2:31" ht="15.75" customHeight="1" x14ac:dyDescent="0.3"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</row>
    <row r="932" spans="2:31" ht="15.75" customHeight="1" x14ac:dyDescent="0.3"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</row>
    <row r="933" spans="2:31" ht="15.75" customHeight="1" x14ac:dyDescent="0.3"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</row>
    <row r="934" spans="2:31" ht="15.75" customHeight="1" x14ac:dyDescent="0.3"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</row>
    <row r="935" spans="2:31" ht="15.75" customHeight="1" x14ac:dyDescent="0.3"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</row>
    <row r="936" spans="2:31" ht="15.75" customHeight="1" x14ac:dyDescent="0.3"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</row>
    <row r="937" spans="2:31" ht="15.75" customHeight="1" x14ac:dyDescent="0.3"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</row>
    <row r="938" spans="2:31" ht="15.75" customHeight="1" x14ac:dyDescent="0.3"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</row>
    <row r="939" spans="2:31" ht="15.75" customHeight="1" x14ac:dyDescent="0.3"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</row>
    <row r="940" spans="2:31" ht="15.75" customHeight="1" x14ac:dyDescent="0.3"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</row>
    <row r="941" spans="2:31" ht="15.75" customHeight="1" x14ac:dyDescent="0.3"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</row>
    <row r="942" spans="2:31" ht="15.75" customHeight="1" x14ac:dyDescent="0.3"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</row>
    <row r="943" spans="2:31" ht="15.75" customHeight="1" x14ac:dyDescent="0.3"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</row>
    <row r="944" spans="2:31" ht="15.75" customHeight="1" x14ac:dyDescent="0.3"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</row>
    <row r="945" spans="2:31" ht="15.75" customHeight="1" x14ac:dyDescent="0.3"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</row>
    <row r="946" spans="2:31" ht="15.75" customHeight="1" x14ac:dyDescent="0.3"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</row>
    <row r="947" spans="2:31" ht="15.75" customHeight="1" x14ac:dyDescent="0.3"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</row>
    <row r="948" spans="2:31" ht="15.75" customHeight="1" x14ac:dyDescent="0.3"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</row>
    <row r="949" spans="2:31" ht="15.75" customHeight="1" x14ac:dyDescent="0.3"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</row>
    <row r="950" spans="2:31" ht="15.75" customHeight="1" x14ac:dyDescent="0.3"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</row>
    <row r="951" spans="2:31" ht="15.75" customHeight="1" x14ac:dyDescent="0.3"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</row>
    <row r="952" spans="2:31" ht="15.75" customHeight="1" x14ac:dyDescent="0.3"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</row>
    <row r="953" spans="2:31" ht="15.75" customHeight="1" x14ac:dyDescent="0.3"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</row>
    <row r="954" spans="2:31" ht="15.75" customHeight="1" x14ac:dyDescent="0.3"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</row>
    <row r="955" spans="2:31" ht="15.75" customHeight="1" x14ac:dyDescent="0.3"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</row>
    <row r="956" spans="2:31" ht="15.75" customHeight="1" x14ac:dyDescent="0.3"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</row>
    <row r="957" spans="2:31" ht="15.75" customHeight="1" x14ac:dyDescent="0.3"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</row>
    <row r="958" spans="2:31" ht="15.75" customHeight="1" x14ac:dyDescent="0.3"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</row>
    <row r="959" spans="2:31" ht="15.75" customHeight="1" x14ac:dyDescent="0.3"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</row>
    <row r="960" spans="2:31" ht="15.75" customHeight="1" x14ac:dyDescent="0.3"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</row>
    <row r="961" spans="2:31" ht="15.75" customHeight="1" x14ac:dyDescent="0.3"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</row>
    <row r="962" spans="2:31" ht="15.75" customHeight="1" x14ac:dyDescent="0.3"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</row>
    <row r="963" spans="2:31" ht="15.75" customHeight="1" x14ac:dyDescent="0.3"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</row>
    <row r="964" spans="2:31" ht="15.75" customHeight="1" x14ac:dyDescent="0.3"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</row>
    <row r="965" spans="2:31" ht="15.75" customHeight="1" x14ac:dyDescent="0.3"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</row>
    <row r="966" spans="2:31" ht="15.75" customHeight="1" x14ac:dyDescent="0.3"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</row>
    <row r="967" spans="2:31" ht="15.75" customHeight="1" x14ac:dyDescent="0.3"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</row>
    <row r="968" spans="2:31" ht="15.75" customHeight="1" x14ac:dyDescent="0.3"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</row>
    <row r="969" spans="2:31" ht="15.75" customHeight="1" x14ac:dyDescent="0.3"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</row>
    <row r="970" spans="2:31" ht="15.75" customHeight="1" x14ac:dyDescent="0.3"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</row>
    <row r="971" spans="2:31" ht="15.75" customHeight="1" x14ac:dyDescent="0.3"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</row>
    <row r="972" spans="2:31" ht="15.75" customHeight="1" x14ac:dyDescent="0.3"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</row>
    <row r="973" spans="2:31" ht="15.75" customHeight="1" x14ac:dyDescent="0.3"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</row>
    <row r="974" spans="2:31" ht="15.75" customHeight="1" x14ac:dyDescent="0.3"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</row>
    <row r="975" spans="2:31" ht="15.75" customHeight="1" x14ac:dyDescent="0.3"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</row>
    <row r="976" spans="2:31" ht="15.75" customHeight="1" x14ac:dyDescent="0.3"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</row>
    <row r="977" spans="2:31" ht="15.75" customHeight="1" x14ac:dyDescent="0.3"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</row>
    <row r="978" spans="2:31" ht="15.75" customHeight="1" x14ac:dyDescent="0.3"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</row>
    <row r="979" spans="2:31" ht="15.75" customHeight="1" x14ac:dyDescent="0.3"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</row>
    <row r="980" spans="2:31" ht="15.75" customHeight="1" x14ac:dyDescent="0.3"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</row>
    <row r="981" spans="2:31" ht="15.75" customHeight="1" x14ac:dyDescent="0.3"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</row>
    <row r="982" spans="2:31" ht="15.75" customHeight="1" x14ac:dyDescent="0.3"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</row>
    <row r="983" spans="2:31" ht="15.75" customHeight="1" x14ac:dyDescent="0.3"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</row>
    <row r="984" spans="2:31" ht="15.75" customHeight="1" x14ac:dyDescent="0.3"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</row>
    <row r="985" spans="2:31" ht="15.75" customHeight="1" x14ac:dyDescent="0.3"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</row>
    <row r="986" spans="2:31" ht="15.75" customHeight="1" x14ac:dyDescent="0.3"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</row>
    <row r="987" spans="2:31" ht="15.75" customHeight="1" x14ac:dyDescent="0.3"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</row>
    <row r="988" spans="2:31" ht="15.75" customHeight="1" x14ac:dyDescent="0.3"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</row>
    <row r="989" spans="2:31" ht="15.75" customHeight="1" x14ac:dyDescent="0.3"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</row>
    <row r="990" spans="2:31" ht="15.75" customHeight="1" x14ac:dyDescent="0.3"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</row>
    <row r="991" spans="2:31" ht="15.75" customHeight="1" x14ac:dyDescent="0.3"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</row>
    <row r="992" spans="2:31" ht="15.75" customHeight="1" x14ac:dyDescent="0.3"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</row>
    <row r="993" spans="2:31" ht="15.75" customHeight="1" x14ac:dyDescent="0.3"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</row>
    <row r="994" spans="2:31" ht="15.75" customHeight="1" x14ac:dyDescent="0.3"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</row>
    <row r="995" spans="2:31" ht="15.75" customHeight="1" x14ac:dyDescent="0.3"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</row>
    <row r="996" spans="2:31" ht="15.75" customHeight="1" x14ac:dyDescent="0.3"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</row>
    <row r="997" spans="2:31" ht="15.75" customHeight="1" x14ac:dyDescent="0.3"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</row>
    <row r="998" spans="2:31" ht="15.75" customHeight="1" x14ac:dyDescent="0.3"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</row>
    <row r="999" spans="2:31" ht="15.75" customHeight="1" x14ac:dyDescent="0.3"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</row>
    <row r="1000" spans="2:31" ht="15.75" customHeight="1" x14ac:dyDescent="0.3"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</row>
  </sheetData>
  <autoFilter ref="A6:AG40" xr:uid="{00000000-0009-0000-0000-000001000000}"/>
  <mergeCells count="4">
    <mergeCell ref="A1:AF1"/>
    <mergeCell ref="A2:AF2"/>
    <mergeCell ref="A3:AF3"/>
    <mergeCell ref="A4:AF4"/>
  </mergeCells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993"/>
  <sheetViews>
    <sheetView workbookViewId="0">
      <pane ySplit="5" topLeftCell="A154" activePane="bottomLeft" state="frozen"/>
      <selection pane="bottomLeft" activeCell="G161" sqref="G161"/>
    </sheetView>
  </sheetViews>
  <sheetFormatPr baseColWidth="10" defaultColWidth="14.44140625" defaultRowHeight="15" customHeight="1" x14ac:dyDescent="0.3"/>
  <cols>
    <col min="1" max="1" width="7.44140625" customWidth="1"/>
    <col min="2" max="2" width="13.44140625" customWidth="1"/>
    <col min="3" max="3" width="13.33203125" customWidth="1"/>
    <col min="4" max="4" width="10.44140625" customWidth="1"/>
    <col min="5" max="26" width="11.44140625" customWidth="1"/>
  </cols>
  <sheetData>
    <row r="1" spans="1:7" ht="14.4" x14ac:dyDescent="0.3">
      <c r="A1" s="359" t="s">
        <v>0</v>
      </c>
      <c r="B1" s="358"/>
      <c r="C1" s="358"/>
      <c r="D1" s="358"/>
    </row>
    <row r="2" spans="1:7" ht="25.5" customHeight="1" x14ac:dyDescent="0.3">
      <c r="A2" s="359" t="s">
        <v>82</v>
      </c>
      <c r="B2" s="358"/>
      <c r="C2" s="358"/>
      <c r="D2" s="358"/>
    </row>
    <row r="3" spans="1:7" ht="14.4" x14ac:dyDescent="0.3">
      <c r="A3" s="359" t="s">
        <v>83</v>
      </c>
      <c r="B3" s="358"/>
      <c r="C3" s="358"/>
      <c r="D3" s="358"/>
    </row>
    <row r="4" spans="1:7" ht="14.4" x14ac:dyDescent="0.3">
      <c r="A4" s="42"/>
      <c r="B4" s="28"/>
      <c r="C4" s="28"/>
      <c r="D4" s="27" t="s">
        <v>66</v>
      </c>
    </row>
    <row r="5" spans="1:7" ht="14.4" x14ac:dyDescent="0.3">
      <c r="A5" s="43" t="s">
        <v>84</v>
      </c>
      <c r="B5" s="44" t="s">
        <v>85</v>
      </c>
      <c r="C5" s="44" t="s">
        <v>67</v>
      </c>
      <c r="D5" s="45" t="s">
        <v>86</v>
      </c>
    </row>
    <row r="6" spans="1:7" ht="14.4" hidden="1" x14ac:dyDescent="0.3">
      <c r="A6" s="155">
        <v>46113</v>
      </c>
      <c r="B6" s="156" t="s">
        <v>87</v>
      </c>
      <c r="C6" s="156" t="s">
        <v>88</v>
      </c>
      <c r="D6" s="157">
        <v>37.200000000000003</v>
      </c>
    </row>
    <row r="7" spans="1:7" ht="14.4" hidden="1" x14ac:dyDescent="0.3">
      <c r="A7" s="158">
        <v>46113</v>
      </c>
      <c r="B7" s="159" t="s">
        <v>89</v>
      </c>
      <c r="C7" s="159" t="s">
        <v>88</v>
      </c>
      <c r="D7" s="160">
        <v>24.1</v>
      </c>
      <c r="G7" s="46" t="s">
        <v>90</v>
      </c>
    </row>
    <row r="8" spans="1:7" ht="14.4" hidden="1" x14ac:dyDescent="0.3">
      <c r="A8" s="155">
        <v>46113</v>
      </c>
      <c r="B8" s="159" t="s">
        <v>94</v>
      </c>
      <c r="C8" s="156" t="s">
        <v>88</v>
      </c>
      <c r="D8" s="157">
        <v>23.9</v>
      </c>
    </row>
    <row r="9" spans="1:7" ht="14.4" hidden="1" x14ac:dyDescent="0.3">
      <c r="A9" s="158">
        <v>46113</v>
      </c>
      <c r="B9" s="161" t="s">
        <v>91</v>
      </c>
      <c r="C9" s="159" t="s">
        <v>88</v>
      </c>
      <c r="D9" s="160">
        <v>16.2</v>
      </c>
    </row>
    <row r="10" spans="1:7" ht="14.4" x14ac:dyDescent="0.3">
      <c r="A10" s="155">
        <v>46113</v>
      </c>
      <c r="B10" s="156" t="s">
        <v>91</v>
      </c>
      <c r="C10" s="156" t="s">
        <v>41</v>
      </c>
      <c r="D10" s="157">
        <v>2.1</v>
      </c>
    </row>
    <row r="11" spans="1:7" ht="14.4" x14ac:dyDescent="0.3">
      <c r="A11" s="158">
        <v>46113</v>
      </c>
      <c r="B11" s="159" t="s">
        <v>92</v>
      </c>
      <c r="C11" s="159" t="s">
        <v>41</v>
      </c>
      <c r="D11" s="160">
        <v>4.0999999999999996</v>
      </c>
    </row>
    <row r="12" spans="1:7" ht="14.4" x14ac:dyDescent="0.3">
      <c r="A12" s="155">
        <v>46113</v>
      </c>
      <c r="B12" s="156" t="s">
        <v>93</v>
      </c>
      <c r="C12" s="156" t="s">
        <v>41</v>
      </c>
      <c r="D12" s="157">
        <v>3.8</v>
      </c>
    </row>
    <row r="13" spans="1:7" ht="14.4" hidden="1" x14ac:dyDescent="0.3">
      <c r="A13" s="158">
        <v>46114</v>
      </c>
      <c r="B13" s="159" t="s">
        <v>94</v>
      </c>
      <c r="C13" s="159" t="s">
        <v>88</v>
      </c>
      <c r="D13" s="160">
        <v>29.1</v>
      </c>
    </row>
    <row r="14" spans="1:7" ht="14.4" hidden="1" x14ac:dyDescent="0.3">
      <c r="A14" s="155">
        <v>46114</v>
      </c>
      <c r="B14" s="156" t="s">
        <v>87</v>
      </c>
      <c r="C14" s="156" t="s">
        <v>88</v>
      </c>
      <c r="D14" s="157">
        <v>37.1</v>
      </c>
    </row>
    <row r="15" spans="1:7" ht="14.4" hidden="1" x14ac:dyDescent="0.3">
      <c r="A15" s="158">
        <v>46114</v>
      </c>
      <c r="B15" s="159" t="s">
        <v>89</v>
      </c>
      <c r="C15" s="159" t="s">
        <v>88</v>
      </c>
      <c r="D15" s="160">
        <v>23.6</v>
      </c>
    </row>
    <row r="16" spans="1:7" ht="14.4" hidden="1" x14ac:dyDescent="0.3">
      <c r="A16" s="155">
        <v>46114</v>
      </c>
      <c r="B16" s="156" t="s">
        <v>91</v>
      </c>
      <c r="C16" s="156" t="s">
        <v>88</v>
      </c>
      <c r="D16" s="157">
        <v>7.9</v>
      </c>
    </row>
    <row r="17" spans="1:4" ht="14.4" x14ac:dyDescent="0.3">
      <c r="A17" s="158">
        <v>46114</v>
      </c>
      <c r="B17" s="159" t="s">
        <v>92</v>
      </c>
      <c r="C17" s="159" t="s">
        <v>41</v>
      </c>
      <c r="D17" s="160">
        <v>4.0999999999999996</v>
      </c>
    </row>
    <row r="18" spans="1:4" ht="14.4" x14ac:dyDescent="0.3">
      <c r="A18" s="155">
        <v>46114</v>
      </c>
      <c r="B18" s="156" t="s">
        <v>93</v>
      </c>
      <c r="C18" s="156" t="s">
        <v>41</v>
      </c>
      <c r="D18" s="157">
        <v>3.6</v>
      </c>
    </row>
    <row r="19" spans="1:4" ht="14.4" x14ac:dyDescent="0.3">
      <c r="A19" s="158">
        <v>46115</v>
      </c>
      <c r="B19" s="159" t="s">
        <v>94</v>
      </c>
      <c r="C19" s="159" t="s">
        <v>41</v>
      </c>
      <c r="D19" s="160">
        <v>23.85</v>
      </c>
    </row>
    <row r="20" spans="1:4" ht="14.4" x14ac:dyDescent="0.3">
      <c r="A20" s="155">
        <v>46115</v>
      </c>
      <c r="B20" s="159" t="s">
        <v>94</v>
      </c>
      <c r="C20" s="156" t="s">
        <v>41</v>
      </c>
      <c r="D20" s="157">
        <v>13</v>
      </c>
    </row>
    <row r="21" spans="1:4" ht="15.75" customHeight="1" x14ac:dyDescent="0.3">
      <c r="A21" s="158">
        <v>46115</v>
      </c>
      <c r="B21" s="159" t="s">
        <v>89</v>
      </c>
      <c r="C21" s="159" t="s">
        <v>41</v>
      </c>
      <c r="D21" s="160">
        <v>21.15</v>
      </c>
    </row>
    <row r="22" spans="1:4" ht="15.75" customHeight="1" x14ac:dyDescent="0.3">
      <c r="A22" s="155">
        <v>46115</v>
      </c>
      <c r="B22" s="156" t="s">
        <v>87</v>
      </c>
      <c r="C22" s="156" t="s">
        <v>41</v>
      </c>
      <c r="D22" s="157">
        <v>34.450000000000003</v>
      </c>
    </row>
    <row r="23" spans="1:4" ht="15.75" customHeight="1" x14ac:dyDescent="0.3">
      <c r="A23" s="158">
        <v>46115</v>
      </c>
      <c r="B23" s="159" t="s">
        <v>91</v>
      </c>
      <c r="C23" s="159" t="s">
        <v>41</v>
      </c>
      <c r="D23" s="160">
        <v>6.3</v>
      </c>
    </row>
    <row r="24" spans="1:4" ht="15.75" customHeight="1" x14ac:dyDescent="0.3">
      <c r="A24" s="155">
        <v>46115</v>
      </c>
      <c r="B24" s="156" t="s">
        <v>91</v>
      </c>
      <c r="C24" s="156" t="s">
        <v>41</v>
      </c>
      <c r="D24" s="157">
        <v>5.8</v>
      </c>
    </row>
    <row r="25" spans="1:4" ht="15.75" hidden="1" customHeight="1" x14ac:dyDescent="0.3">
      <c r="A25" s="158">
        <v>46115</v>
      </c>
      <c r="B25" s="159" t="s">
        <v>91</v>
      </c>
      <c r="C25" s="159" t="s">
        <v>88</v>
      </c>
      <c r="D25" s="160">
        <v>4</v>
      </c>
    </row>
    <row r="26" spans="1:4" ht="15.75" hidden="1" customHeight="1" x14ac:dyDescent="0.3">
      <c r="A26" s="155">
        <v>46115</v>
      </c>
      <c r="B26" s="159" t="s">
        <v>94</v>
      </c>
      <c r="C26" s="156" t="s">
        <v>88</v>
      </c>
      <c r="D26" s="157">
        <v>19.600000000000001</v>
      </c>
    </row>
    <row r="27" spans="1:4" ht="15.75" hidden="1" customHeight="1" x14ac:dyDescent="0.3">
      <c r="A27" s="158">
        <v>46115</v>
      </c>
      <c r="B27" s="159" t="s">
        <v>89</v>
      </c>
      <c r="C27" s="159" t="s">
        <v>88</v>
      </c>
      <c r="D27" s="160">
        <v>23.3</v>
      </c>
    </row>
    <row r="28" spans="1:4" ht="15.75" hidden="1" customHeight="1" x14ac:dyDescent="0.3">
      <c r="A28" s="155">
        <v>46115</v>
      </c>
      <c r="B28" s="156" t="s">
        <v>87</v>
      </c>
      <c r="C28" s="156" t="s">
        <v>88</v>
      </c>
      <c r="D28" s="157">
        <v>35.65</v>
      </c>
    </row>
    <row r="29" spans="1:4" ht="15.75" customHeight="1" x14ac:dyDescent="0.3">
      <c r="A29" s="158">
        <v>46118</v>
      </c>
      <c r="B29" s="159" t="s">
        <v>91</v>
      </c>
      <c r="C29" s="159" t="s">
        <v>41</v>
      </c>
      <c r="D29" s="160">
        <v>17.100000000000001</v>
      </c>
    </row>
    <row r="30" spans="1:4" ht="15.75" customHeight="1" x14ac:dyDescent="0.3">
      <c r="A30" s="155">
        <v>46118</v>
      </c>
      <c r="B30" s="156" t="s">
        <v>87</v>
      </c>
      <c r="C30" s="156" t="s">
        <v>41</v>
      </c>
      <c r="D30" s="157">
        <v>36.25</v>
      </c>
    </row>
    <row r="31" spans="1:4" ht="15.75" customHeight="1" x14ac:dyDescent="0.3">
      <c r="A31" s="158">
        <v>46118</v>
      </c>
      <c r="B31" s="159" t="s">
        <v>94</v>
      </c>
      <c r="C31" s="159" t="s">
        <v>41</v>
      </c>
      <c r="D31" s="160">
        <v>29.75</v>
      </c>
    </row>
    <row r="32" spans="1:4" ht="15.75" customHeight="1" x14ac:dyDescent="0.3">
      <c r="A32" s="155">
        <v>46118</v>
      </c>
      <c r="B32" s="159" t="s">
        <v>89</v>
      </c>
      <c r="C32" s="156" t="s">
        <v>41</v>
      </c>
      <c r="D32" s="157">
        <v>21.9</v>
      </c>
    </row>
    <row r="33" spans="1:4" ht="15.75" customHeight="1" x14ac:dyDescent="0.3">
      <c r="A33" s="158">
        <v>46118</v>
      </c>
      <c r="B33" s="159" t="s">
        <v>93</v>
      </c>
      <c r="C33" s="159" t="s">
        <v>41</v>
      </c>
      <c r="D33" s="160">
        <v>2.4500000000000002</v>
      </c>
    </row>
    <row r="34" spans="1:4" ht="15.75" customHeight="1" x14ac:dyDescent="0.3">
      <c r="A34" s="155">
        <v>46118</v>
      </c>
      <c r="B34" s="156" t="s">
        <v>92</v>
      </c>
      <c r="C34" s="156" t="s">
        <v>41</v>
      </c>
      <c r="D34" s="157">
        <v>1.7</v>
      </c>
    </row>
    <row r="35" spans="1:4" ht="15.75" hidden="1" customHeight="1" x14ac:dyDescent="0.3">
      <c r="A35" s="158">
        <v>46119</v>
      </c>
      <c r="B35" s="159" t="s">
        <v>91</v>
      </c>
      <c r="C35" s="159" t="s">
        <v>88</v>
      </c>
      <c r="D35" s="160">
        <v>4.0999999999999996</v>
      </c>
    </row>
    <row r="36" spans="1:4" ht="15.75" customHeight="1" x14ac:dyDescent="0.3">
      <c r="A36" s="155">
        <v>46119</v>
      </c>
      <c r="B36" s="156" t="s">
        <v>91</v>
      </c>
      <c r="C36" s="156" t="s">
        <v>41</v>
      </c>
      <c r="D36" s="157">
        <v>5.25</v>
      </c>
    </row>
    <row r="37" spans="1:4" ht="15.75" hidden="1" customHeight="1" x14ac:dyDescent="0.3">
      <c r="A37" s="158">
        <v>46119</v>
      </c>
      <c r="B37" s="159" t="s">
        <v>89</v>
      </c>
      <c r="C37" s="159" t="s">
        <v>88</v>
      </c>
      <c r="D37" s="160">
        <v>18.649999999999999</v>
      </c>
    </row>
    <row r="38" spans="1:4" ht="15.75" hidden="1" customHeight="1" x14ac:dyDescent="0.3">
      <c r="A38" s="155">
        <v>46119</v>
      </c>
      <c r="B38" s="156" t="s">
        <v>87</v>
      </c>
      <c r="C38" s="156" t="s">
        <v>88</v>
      </c>
      <c r="D38" s="157">
        <v>12.25</v>
      </c>
    </row>
    <row r="39" spans="1:4" ht="15.75" hidden="1" customHeight="1" x14ac:dyDescent="0.3">
      <c r="A39" s="158">
        <v>46119</v>
      </c>
      <c r="B39" s="159" t="s">
        <v>94</v>
      </c>
      <c r="C39" s="159" t="s">
        <v>88</v>
      </c>
      <c r="D39" s="160">
        <v>18.149999999999999</v>
      </c>
    </row>
    <row r="40" spans="1:4" ht="15.75" customHeight="1" x14ac:dyDescent="0.3">
      <c r="A40" s="155">
        <v>46119</v>
      </c>
      <c r="B40" s="159" t="s">
        <v>94</v>
      </c>
      <c r="C40" s="156" t="s">
        <v>41</v>
      </c>
      <c r="D40" s="157">
        <v>10.199999999999999</v>
      </c>
    </row>
    <row r="41" spans="1:4" ht="15.75" customHeight="1" x14ac:dyDescent="0.3">
      <c r="A41" s="158">
        <v>46119</v>
      </c>
      <c r="B41" s="159" t="s">
        <v>92</v>
      </c>
      <c r="C41" s="159" t="s">
        <v>41</v>
      </c>
      <c r="D41" s="160">
        <v>4.9000000000000004</v>
      </c>
    </row>
    <row r="42" spans="1:4" ht="15.75" customHeight="1" x14ac:dyDescent="0.3">
      <c r="A42" s="155">
        <v>46119</v>
      </c>
      <c r="B42" s="156" t="s">
        <v>93</v>
      </c>
      <c r="C42" s="156" t="s">
        <v>41</v>
      </c>
      <c r="D42" s="157">
        <v>3.6</v>
      </c>
    </row>
    <row r="43" spans="1:4" ht="15.75" customHeight="1" x14ac:dyDescent="0.3">
      <c r="A43" s="158">
        <v>46119</v>
      </c>
      <c r="B43" s="159" t="s">
        <v>87</v>
      </c>
      <c r="C43" s="159" t="s">
        <v>41</v>
      </c>
      <c r="D43" s="160">
        <v>18.75</v>
      </c>
    </row>
    <row r="44" spans="1:4" ht="15.75" customHeight="1" x14ac:dyDescent="0.3">
      <c r="A44" s="162">
        <v>46120</v>
      </c>
      <c r="B44" s="156" t="s">
        <v>91</v>
      </c>
      <c r="C44" s="156" t="s">
        <v>41</v>
      </c>
      <c r="D44" s="157">
        <v>7.2</v>
      </c>
    </row>
    <row r="45" spans="1:4" ht="15.75" customHeight="1" x14ac:dyDescent="0.3">
      <c r="A45" s="158">
        <v>46120</v>
      </c>
      <c r="B45" s="159" t="s">
        <v>93</v>
      </c>
      <c r="C45" s="159" t="s">
        <v>41</v>
      </c>
      <c r="D45" s="160">
        <v>2.5</v>
      </c>
    </row>
    <row r="46" spans="1:4" ht="15.75" hidden="1" customHeight="1" x14ac:dyDescent="0.3">
      <c r="A46" s="155">
        <v>46120</v>
      </c>
      <c r="B46" s="156" t="s">
        <v>91</v>
      </c>
      <c r="C46" s="156" t="s">
        <v>88</v>
      </c>
      <c r="D46" s="157">
        <v>2.6</v>
      </c>
    </row>
    <row r="47" spans="1:4" ht="15.75" hidden="1" customHeight="1" x14ac:dyDescent="0.3">
      <c r="A47" s="158">
        <v>46120</v>
      </c>
      <c r="B47" s="159" t="s">
        <v>91</v>
      </c>
      <c r="C47" s="159" t="s">
        <v>39</v>
      </c>
      <c r="D47" s="160">
        <v>3.25</v>
      </c>
    </row>
    <row r="48" spans="1:4" ht="15.75" hidden="1" customHeight="1" x14ac:dyDescent="0.3">
      <c r="A48" s="155">
        <v>46120</v>
      </c>
      <c r="B48" s="156" t="s">
        <v>87</v>
      </c>
      <c r="C48" s="156" t="s">
        <v>88</v>
      </c>
      <c r="D48" s="157">
        <v>38.9</v>
      </c>
    </row>
    <row r="49" spans="1:4" ht="15.75" hidden="1" customHeight="1" x14ac:dyDescent="0.3">
      <c r="A49" s="158">
        <v>46120</v>
      </c>
      <c r="B49" s="159" t="s">
        <v>89</v>
      </c>
      <c r="C49" s="159" t="s">
        <v>39</v>
      </c>
      <c r="D49" s="160">
        <v>21.75</v>
      </c>
    </row>
    <row r="50" spans="1:4" ht="15.75" hidden="1" customHeight="1" x14ac:dyDescent="0.3">
      <c r="A50" s="155">
        <v>46120</v>
      </c>
      <c r="B50" s="159" t="s">
        <v>94</v>
      </c>
      <c r="C50" s="156" t="s">
        <v>39</v>
      </c>
      <c r="D50" s="157">
        <v>21.9</v>
      </c>
    </row>
    <row r="51" spans="1:4" ht="15.75" customHeight="1" x14ac:dyDescent="0.3">
      <c r="A51" s="158">
        <v>46120</v>
      </c>
      <c r="B51" s="159" t="s">
        <v>94</v>
      </c>
      <c r="C51" s="159" t="s">
        <v>41</v>
      </c>
      <c r="D51" s="160">
        <v>12.7</v>
      </c>
    </row>
    <row r="52" spans="1:4" ht="15.75" customHeight="1" x14ac:dyDescent="0.3">
      <c r="A52" s="155">
        <v>46121</v>
      </c>
      <c r="B52" s="156" t="s">
        <v>93</v>
      </c>
      <c r="C52" s="156" t="s">
        <v>41</v>
      </c>
      <c r="D52" s="157">
        <v>2.7</v>
      </c>
    </row>
    <row r="53" spans="1:4" ht="15.75" hidden="1" customHeight="1" x14ac:dyDescent="0.3">
      <c r="A53" s="155">
        <v>46121</v>
      </c>
      <c r="B53" s="159" t="s">
        <v>91</v>
      </c>
      <c r="C53" s="159" t="s">
        <v>88</v>
      </c>
      <c r="D53" s="160">
        <v>3.4</v>
      </c>
    </row>
    <row r="54" spans="1:4" ht="15.75" hidden="1" customHeight="1" x14ac:dyDescent="0.3">
      <c r="A54" s="155">
        <v>46121</v>
      </c>
      <c r="B54" s="156" t="s">
        <v>87</v>
      </c>
      <c r="C54" s="156" t="s">
        <v>88</v>
      </c>
      <c r="D54" s="157">
        <v>32.200000000000003</v>
      </c>
    </row>
    <row r="55" spans="1:4" ht="15.75" customHeight="1" x14ac:dyDescent="0.3">
      <c r="A55" s="155">
        <v>46121</v>
      </c>
      <c r="B55" s="159" t="s">
        <v>91</v>
      </c>
      <c r="C55" s="159" t="s">
        <v>41</v>
      </c>
      <c r="D55" s="160">
        <v>11.4</v>
      </c>
    </row>
    <row r="56" spans="1:4" ht="15.75" hidden="1" customHeight="1" x14ac:dyDescent="0.3">
      <c r="A56" s="155">
        <v>46121</v>
      </c>
      <c r="B56" s="159" t="s">
        <v>89</v>
      </c>
      <c r="C56" s="156" t="s">
        <v>88</v>
      </c>
      <c r="D56" s="157">
        <v>23.15</v>
      </c>
    </row>
    <row r="57" spans="1:4" ht="15.75" hidden="1" customHeight="1" x14ac:dyDescent="0.3">
      <c r="A57" s="155">
        <v>46121</v>
      </c>
      <c r="B57" s="159" t="s">
        <v>94</v>
      </c>
      <c r="C57" s="159" t="s">
        <v>88</v>
      </c>
      <c r="D57" s="160">
        <v>19</v>
      </c>
    </row>
    <row r="58" spans="1:4" ht="15.75" customHeight="1" x14ac:dyDescent="0.3">
      <c r="A58" s="155">
        <v>46121</v>
      </c>
      <c r="B58" s="156" t="s">
        <v>92</v>
      </c>
      <c r="C58" s="156" t="s">
        <v>41</v>
      </c>
      <c r="D58" s="157">
        <v>3.7</v>
      </c>
    </row>
    <row r="59" spans="1:4" ht="15.75" customHeight="1" x14ac:dyDescent="0.3">
      <c r="A59" s="155">
        <v>46121</v>
      </c>
      <c r="B59" s="159" t="s">
        <v>94</v>
      </c>
      <c r="C59" s="159" t="s">
        <v>41</v>
      </c>
      <c r="D59" s="160">
        <v>10.8</v>
      </c>
    </row>
    <row r="60" spans="1:4" ht="15.75" customHeight="1" x14ac:dyDescent="0.3">
      <c r="A60" s="155">
        <v>46122</v>
      </c>
      <c r="B60" s="156" t="s">
        <v>92</v>
      </c>
      <c r="C60" s="156" t="s">
        <v>41</v>
      </c>
      <c r="D60" s="157">
        <v>12.9</v>
      </c>
    </row>
    <row r="61" spans="1:4" ht="15.75" customHeight="1" x14ac:dyDescent="0.3">
      <c r="A61" s="155">
        <v>46122</v>
      </c>
      <c r="B61" s="159" t="s">
        <v>93</v>
      </c>
      <c r="C61" s="159" t="s">
        <v>41</v>
      </c>
      <c r="D61" s="160">
        <v>11.35</v>
      </c>
    </row>
    <row r="62" spans="1:4" ht="15.75" hidden="1" customHeight="1" x14ac:dyDescent="0.3">
      <c r="A62" s="155">
        <v>46122</v>
      </c>
      <c r="B62" s="156" t="s">
        <v>92</v>
      </c>
      <c r="C62" s="156" t="s">
        <v>88</v>
      </c>
      <c r="D62" s="157">
        <v>1.8</v>
      </c>
    </row>
    <row r="63" spans="1:4" ht="15.75" hidden="1" customHeight="1" x14ac:dyDescent="0.3">
      <c r="A63" s="155">
        <v>46122</v>
      </c>
      <c r="B63" s="159" t="s">
        <v>94</v>
      </c>
      <c r="C63" s="163" t="s">
        <v>88</v>
      </c>
      <c r="D63" s="164">
        <v>19.350000000000001</v>
      </c>
    </row>
    <row r="64" spans="1:4" ht="15.75" hidden="1" customHeight="1" x14ac:dyDescent="0.3">
      <c r="A64" s="155">
        <v>46122</v>
      </c>
      <c r="B64" s="156" t="s">
        <v>87</v>
      </c>
      <c r="C64" s="156" t="s">
        <v>39</v>
      </c>
      <c r="D64" s="157">
        <v>35.200000000000003</v>
      </c>
    </row>
    <row r="65" spans="1:4" ht="15.75" customHeight="1" x14ac:dyDescent="0.3">
      <c r="A65" s="155">
        <v>46122</v>
      </c>
      <c r="B65" s="159" t="s">
        <v>91</v>
      </c>
      <c r="C65" s="159" t="s">
        <v>41</v>
      </c>
      <c r="D65" s="160">
        <v>5.45</v>
      </c>
    </row>
    <row r="66" spans="1:4" ht="15.75" hidden="1" customHeight="1" x14ac:dyDescent="0.3">
      <c r="A66" s="155">
        <v>46122</v>
      </c>
      <c r="B66" s="156" t="s">
        <v>91</v>
      </c>
      <c r="C66" s="156" t="s">
        <v>39</v>
      </c>
      <c r="D66" s="157">
        <v>6.55</v>
      </c>
    </row>
    <row r="67" spans="1:4" ht="15.75" hidden="1" customHeight="1" x14ac:dyDescent="0.3">
      <c r="A67" s="155">
        <v>46122</v>
      </c>
      <c r="B67" s="159" t="s">
        <v>89</v>
      </c>
      <c r="C67" s="159" t="s">
        <v>39</v>
      </c>
      <c r="D67" s="160">
        <v>4.3499999999999996</v>
      </c>
    </row>
    <row r="68" spans="1:4" ht="15.75" customHeight="1" x14ac:dyDescent="0.3">
      <c r="A68" s="155">
        <v>46122</v>
      </c>
      <c r="B68" s="159" t="s">
        <v>89</v>
      </c>
      <c r="C68" s="156" t="s">
        <v>41</v>
      </c>
      <c r="D68" s="157">
        <v>4.55</v>
      </c>
    </row>
    <row r="69" spans="1:4" ht="15.75" customHeight="1" x14ac:dyDescent="0.3">
      <c r="A69" s="155">
        <v>46122</v>
      </c>
      <c r="B69" s="159" t="s">
        <v>94</v>
      </c>
      <c r="C69" s="159" t="s">
        <v>41</v>
      </c>
      <c r="D69" s="160">
        <v>20.7</v>
      </c>
    </row>
    <row r="70" spans="1:4" ht="15.75" customHeight="1" x14ac:dyDescent="0.3">
      <c r="A70" s="155">
        <v>46122</v>
      </c>
      <c r="B70" s="159" t="s">
        <v>94</v>
      </c>
      <c r="C70" s="156" t="s">
        <v>41</v>
      </c>
      <c r="D70" s="157">
        <v>17.7</v>
      </c>
    </row>
    <row r="71" spans="1:4" ht="15.75" customHeight="1" x14ac:dyDescent="0.3">
      <c r="A71" s="155">
        <v>46122</v>
      </c>
      <c r="B71" s="159" t="s">
        <v>87</v>
      </c>
      <c r="C71" s="159" t="s">
        <v>41</v>
      </c>
      <c r="D71" s="160">
        <v>32.700000000000003</v>
      </c>
    </row>
    <row r="72" spans="1:4" ht="15.75" customHeight="1" x14ac:dyDescent="0.3">
      <c r="A72" s="155">
        <v>46122</v>
      </c>
      <c r="B72" s="159" t="s">
        <v>89</v>
      </c>
      <c r="C72" s="156" t="s">
        <v>41</v>
      </c>
      <c r="D72" s="157">
        <v>25.32</v>
      </c>
    </row>
    <row r="73" spans="1:4" ht="15.75" hidden="1" customHeight="1" x14ac:dyDescent="0.3">
      <c r="A73" s="158">
        <v>46125</v>
      </c>
      <c r="B73" s="159" t="s">
        <v>87</v>
      </c>
      <c r="C73" s="159" t="s">
        <v>88</v>
      </c>
      <c r="D73" s="160">
        <v>34</v>
      </c>
    </row>
    <row r="74" spans="1:4" ht="15.75" customHeight="1" x14ac:dyDescent="0.3">
      <c r="A74" s="158">
        <v>46125</v>
      </c>
      <c r="B74" s="156" t="s">
        <v>92</v>
      </c>
      <c r="C74" s="156" t="s">
        <v>41</v>
      </c>
      <c r="D74" s="157">
        <v>5.05</v>
      </c>
    </row>
    <row r="75" spans="1:4" ht="15.75" hidden="1" customHeight="1" x14ac:dyDescent="0.3">
      <c r="A75" s="158">
        <v>46125</v>
      </c>
      <c r="B75" s="159" t="s">
        <v>91</v>
      </c>
      <c r="C75" s="159" t="s">
        <v>39</v>
      </c>
      <c r="D75" s="160">
        <v>4.3499999999999996</v>
      </c>
    </row>
    <row r="76" spans="1:4" ht="15.75" hidden="1" customHeight="1" x14ac:dyDescent="0.3">
      <c r="A76" s="158">
        <v>46125</v>
      </c>
      <c r="B76" s="159" t="s">
        <v>94</v>
      </c>
      <c r="C76" s="165" t="s">
        <v>88</v>
      </c>
      <c r="D76" s="157">
        <v>22.85</v>
      </c>
    </row>
    <row r="77" spans="1:4" ht="15.75" hidden="1" customHeight="1" x14ac:dyDescent="0.3">
      <c r="A77" s="158">
        <v>46125</v>
      </c>
      <c r="B77" s="159" t="s">
        <v>89</v>
      </c>
      <c r="C77" s="159" t="s">
        <v>88</v>
      </c>
      <c r="D77" s="160">
        <v>22.5</v>
      </c>
    </row>
    <row r="78" spans="1:4" ht="15.75" customHeight="1" x14ac:dyDescent="0.3">
      <c r="A78" s="158">
        <v>46125</v>
      </c>
      <c r="B78" s="156" t="s">
        <v>91</v>
      </c>
      <c r="C78" s="156" t="s">
        <v>41</v>
      </c>
      <c r="D78" s="157">
        <v>9.4</v>
      </c>
    </row>
    <row r="79" spans="1:4" ht="15.75" customHeight="1" x14ac:dyDescent="0.3">
      <c r="A79" s="158">
        <v>46125</v>
      </c>
      <c r="B79" s="159" t="s">
        <v>94</v>
      </c>
      <c r="C79" s="163" t="s">
        <v>41</v>
      </c>
      <c r="D79" s="164">
        <v>11.5</v>
      </c>
    </row>
    <row r="80" spans="1:4" ht="15.75" customHeight="1" x14ac:dyDescent="0.3">
      <c r="A80" s="158">
        <v>46125</v>
      </c>
      <c r="B80" s="156" t="s">
        <v>93</v>
      </c>
      <c r="C80" s="156" t="s">
        <v>41</v>
      </c>
      <c r="D80" s="157">
        <v>3.9</v>
      </c>
    </row>
    <row r="81" spans="1:4" ht="15.75" customHeight="1" x14ac:dyDescent="0.3">
      <c r="A81" s="158">
        <v>46126</v>
      </c>
      <c r="B81" s="159" t="s">
        <v>93</v>
      </c>
      <c r="C81" s="159" t="s">
        <v>41</v>
      </c>
      <c r="D81" s="160">
        <v>2.75</v>
      </c>
    </row>
    <row r="82" spans="1:4" ht="15.75" customHeight="1" x14ac:dyDescent="0.3">
      <c r="A82" s="158">
        <v>46126</v>
      </c>
      <c r="B82" s="156" t="s">
        <v>91</v>
      </c>
      <c r="C82" s="156" t="s">
        <v>41</v>
      </c>
      <c r="D82" s="157">
        <v>5.45</v>
      </c>
    </row>
    <row r="83" spans="1:4" ht="15.75" hidden="1" customHeight="1" x14ac:dyDescent="0.3">
      <c r="A83" s="158">
        <v>46126</v>
      </c>
      <c r="B83" s="159" t="s">
        <v>91</v>
      </c>
      <c r="C83" s="159" t="s">
        <v>88</v>
      </c>
      <c r="D83" s="160">
        <v>5.15</v>
      </c>
    </row>
    <row r="84" spans="1:4" ht="15.75" hidden="1" customHeight="1" x14ac:dyDescent="0.3">
      <c r="A84" s="158">
        <v>46126</v>
      </c>
      <c r="B84" s="159" t="s">
        <v>89</v>
      </c>
      <c r="C84" s="156" t="s">
        <v>88</v>
      </c>
      <c r="D84" s="157">
        <v>14</v>
      </c>
    </row>
    <row r="85" spans="1:4" ht="15.75" customHeight="1" x14ac:dyDescent="0.3">
      <c r="A85" s="158">
        <v>46126</v>
      </c>
      <c r="B85" s="159" t="s">
        <v>94</v>
      </c>
      <c r="C85" s="159" t="s">
        <v>41</v>
      </c>
      <c r="D85" s="160">
        <v>24.8</v>
      </c>
    </row>
    <row r="86" spans="1:4" ht="15.75" customHeight="1" x14ac:dyDescent="0.3">
      <c r="A86" s="155">
        <v>46126</v>
      </c>
      <c r="B86" s="166" t="s">
        <v>87</v>
      </c>
      <c r="C86" s="166" t="s">
        <v>41</v>
      </c>
      <c r="D86" s="157">
        <v>36.799999999999997</v>
      </c>
    </row>
    <row r="87" spans="1:4" ht="15.75" customHeight="1" x14ac:dyDescent="0.3">
      <c r="A87" s="158">
        <v>46126</v>
      </c>
      <c r="B87" s="167" t="s">
        <v>92</v>
      </c>
      <c r="C87" s="167" t="s">
        <v>41</v>
      </c>
      <c r="D87" s="160">
        <v>3.7</v>
      </c>
    </row>
    <row r="88" spans="1:4" ht="15.75" customHeight="1" x14ac:dyDescent="0.3">
      <c r="A88" s="155">
        <v>46127</v>
      </c>
      <c r="B88" s="159" t="s">
        <v>94</v>
      </c>
      <c r="C88" s="166" t="s">
        <v>41</v>
      </c>
      <c r="D88" s="157">
        <v>30</v>
      </c>
    </row>
    <row r="89" spans="1:4" ht="15.75" customHeight="1" x14ac:dyDescent="0.3">
      <c r="A89" s="155">
        <v>46127</v>
      </c>
      <c r="B89" s="167" t="s">
        <v>87</v>
      </c>
      <c r="C89" s="167" t="s">
        <v>41</v>
      </c>
      <c r="D89" s="160">
        <v>33.25</v>
      </c>
    </row>
    <row r="90" spans="1:4" ht="15.75" customHeight="1" x14ac:dyDescent="0.3">
      <c r="A90" s="155">
        <v>46127</v>
      </c>
      <c r="B90" s="159" t="s">
        <v>89</v>
      </c>
      <c r="C90" s="166" t="s">
        <v>41</v>
      </c>
      <c r="D90" s="157">
        <v>22.75</v>
      </c>
    </row>
    <row r="91" spans="1:4" ht="15.75" customHeight="1" x14ac:dyDescent="0.3">
      <c r="A91" s="155">
        <v>46127</v>
      </c>
      <c r="B91" s="167" t="s">
        <v>91</v>
      </c>
      <c r="C91" s="167" t="s">
        <v>41</v>
      </c>
      <c r="D91" s="160">
        <v>14.9</v>
      </c>
    </row>
    <row r="92" spans="1:4" ht="15.75" customHeight="1" x14ac:dyDescent="0.3">
      <c r="A92" s="155">
        <v>46127</v>
      </c>
      <c r="B92" s="166" t="s">
        <v>92</v>
      </c>
      <c r="C92" s="166" t="s">
        <v>41</v>
      </c>
      <c r="D92" s="157">
        <v>1.35</v>
      </c>
    </row>
    <row r="93" spans="1:4" ht="15.75" customHeight="1" x14ac:dyDescent="0.3">
      <c r="A93" s="155">
        <v>46127</v>
      </c>
      <c r="B93" s="167" t="s">
        <v>93</v>
      </c>
      <c r="C93" s="167" t="s">
        <v>41</v>
      </c>
      <c r="D93" s="160">
        <v>1.3</v>
      </c>
    </row>
    <row r="94" spans="1:4" ht="15.75" customHeight="1" x14ac:dyDescent="0.3">
      <c r="A94" s="155">
        <v>46128</v>
      </c>
      <c r="B94" s="166" t="s">
        <v>91</v>
      </c>
      <c r="C94" s="166" t="s">
        <v>41</v>
      </c>
      <c r="D94" s="157">
        <v>10.95</v>
      </c>
    </row>
    <row r="95" spans="1:4" ht="15.75" customHeight="1" x14ac:dyDescent="0.3">
      <c r="A95" s="155">
        <v>46128</v>
      </c>
      <c r="B95" s="167" t="s">
        <v>91</v>
      </c>
      <c r="C95" s="167" t="s">
        <v>41</v>
      </c>
      <c r="D95" s="160">
        <v>5.75</v>
      </c>
    </row>
    <row r="96" spans="1:4" ht="15.75" hidden="1" customHeight="1" x14ac:dyDescent="0.3">
      <c r="A96" s="155">
        <v>46128</v>
      </c>
      <c r="B96" s="166" t="s">
        <v>87</v>
      </c>
      <c r="C96" s="166" t="s">
        <v>39</v>
      </c>
      <c r="D96" s="157">
        <v>33.5</v>
      </c>
    </row>
    <row r="97" spans="1:4" ht="15.75" hidden="1" customHeight="1" x14ac:dyDescent="0.3">
      <c r="A97" s="155">
        <v>46128</v>
      </c>
      <c r="B97" s="159" t="s">
        <v>89</v>
      </c>
      <c r="C97" s="166" t="s">
        <v>39</v>
      </c>
      <c r="D97" s="160">
        <v>23.3</v>
      </c>
    </row>
    <row r="98" spans="1:4" ht="15.75" hidden="1" customHeight="1" x14ac:dyDescent="0.3">
      <c r="A98" s="155">
        <v>46128</v>
      </c>
      <c r="B98" s="159" t="s">
        <v>94</v>
      </c>
      <c r="C98" s="166" t="s">
        <v>39</v>
      </c>
      <c r="D98" s="157">
        <v>27.1</v>
      </c>
    </row>
    <row r="99" spans="1:4" ht="15.75" hidden="1" customHeight="1" x14ac:dyDescent="0.3">
      <c r="A99" s="155">
        <v>46128</v>
      </c>
      <c r="B99" s="167" t="s">
        <v>91</v>
      </c>
      <c r="C99" s="166" t="s">
        <v>39</v>
      </c>
      <c r="D99" s="160">
        <v>4.45</v>
      </c>
    </row>
    <row r="100" spans="1:4" ht="15.75" customHeight="1" x14ac:dyDescent="0.3">
      <c r="A100" s="155">
        <v>46128</v>
      </c>
      <c r="B100" s="159" t="s">
        <v>94</v>
      </c>
      <c r="C100" s="166" t="s">
        <v>41</v>
      </c>
      <c r="D100" s="157">
        <v>9.0500000000000007</v>
      </c>
    </row>
    <row r="101" spans="1:4" ht="15.75" customHeight="1" x14ac:dyDescent="0.3">
      <c r="A101" s="155">
        <v>46128</v>
      </c>
      <c r="B101" s="159" t="s">
        <v>89</v>
      </c>
      <c r="C101" s="167" t="s">
        <v>41</v>
      </c>
      <c r="D101" s="160">
        <v>4.6500000000000004</v>
      </c>
    </row>
    <row r="102" spans="1:4" ht="15.75" customHeight="1" x14ac:dyDescent="0.3">
      <c r="A102" s="155">
        <v>46128</v>
      </c>
      <c r="B102" s="166" t="s">
        <v>93</v>
      </c>
      <c r="C102" s="166" t="s">
        <v>41</v>
      </c>
      <c r="D102" s="157">
        <v>2.35</v>
      </c>
    </row>
    <row r="103" spans="1:4" ht="15.75" hidden="1" customHeight="1" x14ac:dyDescent="0.3">
      <c r="A103" s="158">
        <v>46129</v>
      </c>
      <c r="B103" s="159" t="s">
        <v>89</v>
      </c>
      <c r="C103" s="167" t="s">
        <v>88</v>
      </c>
      <c r="D103" s="160">
        <v>22.4</v>
      </c>
    </row>
    <row r="104" spans="1:4" ht="15.75" hidden="1" customHeight="1" x14ac:dyDescent="0.3">
      <c r="A104" s="158">
        <v>46129</v>
      </c>
      <c r="B104" s="166" t="s">
        <v>87</v>
      </c>
      <c r="C104" s="166" t="s">
        <v>39</v>
      </c>
      <c r="D104" s="157">
        <v>37.950000000000003</v>
      </c>
    </row>
    <row r="105" spans="1:4" ht="15.75" hidden="1" customHeight="1" x14ac:dyDescent="0.3">
      <c r="A105" s="158">
        <v>46129</v>
      </c>
      <c r="B105" s="167" t="s">
        <v>93</v>
      </c>
      <c r="C105" s="166" t="s">
        <v>39</v>
      </c>
      <c r="D105" s="160">
        <v>3.1</v>
      </c>
    </row>
    <row r="106" spans="1:4" ht="15.75" hidden="1" customHeight="1" x14ac:dyDescent="0.3">
      <c r="A106" s="158">
        <v>46129</v>
      </c>
      <c r="B106" s="159" t="s">
        <v>94</v>
      </c>
      <c r="C106" s="166" t="s">
        <v>39</v>
      </c>
      <c r="D106" s="157">
        <v>24.45</v>
      </c>
    </row>
    <row r="107" spans="1:4" ht="15.75" customHeight="1" x14ac:dyDescent="0.3">
      <c r="A107" s="158">
        <v>46129</v>
      </c>
      <c r="B107" s="167" t="s">
        <v>87</v>
      </c>
      <c r="C107" s="167" t="s">
        <v>41</v>
      </c>
      <c r="D107" s="160">
        <v>34.4</v>
      </c>
    </row>
    <row r="108" spans="1:4" ht="15.75" customHeight="1" x14ac:dyDescent="0.3">
      <c r="A108" s="158">
        <v>46129</v>
      </c>
      <c r="B108" s="166" t="s">
        <v>92</v>
      </c>
      <c r="C108" s="166" t="s">
        <v>41</v>
      </c>
      <c r="D108" s="157">
        <v>7.2</v>
      </c>
    </row>
    <row r="109" spans="1:4" ht="15.75" customHeight="1" x14ac:dyDescent="0.3">
      <c r="A109" s="158">
        <v>46129</v>
      </c>
      <c r="B109" s="167" t="s">
        <v>93</v>
      </c>
      <c r="C109" s="167" t="s">
        <v>41</v>
      </c>
      <c r="D109" s="160">
        <v>8.15</v>
      </c>
    </row>
    <row r="110" spans="1:4" ht="15.75" customHeight="1" x14ac:dyDescent="0.3">
      <c r="A110" s="158">
        <v>46129</v>
      </c>
      <c r="B110" s="159" t="s">
        <v>89</v>
      </c>
      <c r="C110" s="166" t="s">
        <v>41</v>
      </c>
      <c r="D110" s="157">
        <v>21.4</v>
      </c>
    </row>
    <row r="111" spans="1:4" ht="15.75" customHeight="1" x14ac:dyDescent="0.3">
      <c r="A111" s="158">
        <v>46129</v>
      </c>
      <c r="B111" s="159" t="s">
        <v>94</v>
      </c>
      <c r="C111" s="167" t="s">
        <v>41</v>
      </c>
      <c r="D111" s="160">
        <v>32.25</v>
      </c>
    </row>
    <row r="112" spans="1:4" ht="15.75" customHeight="1" x14ac:dyDescent="0.3">
      <c r="A112" s="158">
        <v>46129</v>
      </c>
      <c r="B112" s="159" t="s">
        <v>94</v>
      </c>
      <c r="C112" s="166" t="s">
        <v>41</v>
      </c>
      <c r="D112" s="157">
        <v>21.45</v>
      </c>
    </row>
    <row r="113" spans="1:4" ht="15.75" customHeight="1" x14ac:dyDescent="0.3">
      <c r="A113" s="158">
        <v>46129</v>
      </c>
      <c r="B113" s="167" t="s">
        <v>91</v>
      </c>
      <c r="C113" s="167" t="s">
        <v>41</v>
      </c>
      <c r="D113" s="160">
        <v>9.0500000000000007</v>
      </c>
    </row>
    <row r="114" spans="1:4" ht="15.75" customHeight="1" x14ac:dyDescent="0.3">
      <c r="A114" s="155">
        <v>46132</v>
      </c>
      <c r="B114" s="166" t="s">
        <v>92</v>
      </c>
      <c r="C114" s="166" t="s">
        <v>41</v>
      </c>
      <c r="D114" s="157">
        <v>2.0499999999999998</v>
      </c>
    </row>
    <row r="115" spans="1:4" ht="15.75" customHeight="1" x14ac:dyDescent="0.3">
      <c r="A115" s="155">
        <v>46132</v>
      </c>
      <c r="B115" s="167" t="s">
        <v>93</v>
      </c>
      <c r="C115" s="167" t="s">
        <v>41</v>
      </c>
      <c r="D115" s="160">
        <v>2.15</v>
      </c>
    </row>
    <row r="116" spans="1:4" ht="15.75" customHeight="1" x14ac:dyDescent="0.3">
      <c r="A116" s="155">
        <v>46132</v>
      </c>
      <c r="B116" s="159" t="s">
        <v>89</v>
      </c>
      <c r="C116" s="166" t="s">
        <v>41</v>
      </c>
      <c r="D116" s="157">
        <v>25</v>
      </c>
    </row>
    <row r="117" spans="1:4" ht="15.75" customHeight="1" x14ac:dyDescent="0.3">
      <c r="A117" s="155">
        <v>46132</v>
      </c>
      <c r="B117" s="167" t="s">
        <v>91</v>
      </c>
      <c r="C117" s="167" t="s">
        <v>41</v>
      </c>
      <c r="D117" s="160">
        <v>11.05</v>
      </c>
    </row>
    <row r="118" spans="1:4" ht="15.75" customHeight="1" x14ac:dyDescent="0.3">
      <c r="A118" s="155">
        <v>46132</v>
      </c>
      <c r="B118" s="159" t="s">
        <v>94</v>
      </c>
      <c r="C118" s="166" t="s">
        <v>41</v>
      </c>
      <c r="D118" s="157">
        <v>33.049999999999997</v>
      </c>
    </row>
    <row r="119" spans="1:4" ht="15.75" customHeight="1" x14ac:dyDescent="0.3">
      <c r="A119" s="155">
        <v>46132</v>
      </c>
      <c r="B119" s="167" t="s">
        <v>87</v>
      </c>
      <c r="C119" s="167" t="s">
        <v>41</v>
      </c>
      <c r="D119" s="160">
        <v>35.299999999999997</v>
      </c>
    </row>
    <row r="120" spans="1:4" ht="15.75" hidden="1" customHeight="1" x14ac:dyDescent="0.3">
      <c r="A120" s="155">
        <v>46133</v>
      </c>
      <c r="B120" s="166" t="s">
        <v>87</v>
      </c>
      <c r="C120" s="166" t="s">
        <v>39</v>
      </c>
      <c r="D120" s="157">
        <v>36.65</v>
      </c>
    </row>
    <row r="121" spans="1:4" ht="15.75" hidden="1" customHeight="1" x14ac:dyDescent="0.3">
      <c r="A121" s="155">
        <v>46133</v>
      </c>
      <c r="B121" s="167" t="s">
        <v>91</v>
      </c>
      <c r="C121" s="167" t="s">
        <v>88</v>
      </c>
      <c r="D121" s="160">
        <v>5.45</v>
      </c>
    </row>
    <row r="122" spans="1:4" ht="15.75" customHeight="1" x14ac:dyDescent="0.3">
      <c r="A122" s="155">
        <v>46133</v>
      </c>
      <c r="B122" s="166" t="s">
        <v>91</v>
      </c>
      <c r="C122" s="166" t="s">
        <v>41</v>
      </c>
      <c r="D122" s="157">
        <v>5.9</v>
      </c>
    </row>
    <row r="123" spans="1:4" ht="15.75" hidden="1" customHeight="1" x14ac:dyDescent="0.3">
      <c r="A123" s="155">
        <v>46133</v>
      </c>
      <c r="B123" s="159" t="s">
        <v>89</v>
      </c>
      <c r="C123" s="167" t="s">
        <v>88</v>
      </c>
      <c r="D123" s="160">
        <v>31</v>
      </c>
    </row>
    <row r="124" spans="1:4" ht="15.75" hidden="1" customHeight="1" x14ac:dyDescent="0.3">
      <c r="A124" s="155">
        <v>46133</v>
      </c>
      <c r="B124" s="159" t="s">
        <v>94</v>
      </c>
      <c r="C124" s="166" t="s">
        <v>88</v>
      </c>
      <c r="D124" s="157">
        <v>31.25</v>
      </c>
    </row>
    <row r="125" spans="1:4" ht="15.75" customHeight="1" x14ac:dyDescent="0.3">
      <c r="A125" s="155">
        <v>46133</v>
      </c>
      <c r="B125" s="159" t="s">
        <v>94</v>
      </c>
      <c r="C125" s="167" t="s">
        <v>41</v>
      </c>
      <c r="D125" s="160">
        <v>9.65</v>
      </c>
    </row>
    <row r="126" spans="1:4" ht="15.75" customHeight="1" x14ac:dyDescent="0.3">
      <c r="A126" s="155">
        <v>46133</v>
      </c>
      <c r="B126" s="166" t="s">
        <v>93</v>
      </c>
      <c r="C126" s="166" t="s">
        <v>41</v>
      </c>
      <c r="D126" s="157">
        <v>2.2999999999999998</v>
      </c>
    </row>
    <row r="127" spans="1:4" ht="15.75" customHeight="1" x14ac:dyDescent="0.3">
      <c r="A127" s="155">
        <v>46133</v>
      </c>
      <c r="B127" s="167" t="s">
        <v>92</v>
      </c>
      <c r="C127" s="167" t="s">
        <v>41</v>
      </c>
      <c r="D127" s="160">
        <v>3.7</v>
      </c>
    </row>
    <row r="128" spans="1:4" ht="15.75" customHeight="1" x14ac:dyDescent="0.3">
      <c r="A128" s="155">
        <v>46134</v>
      </c>
      <c r="B128" s="165" t="s">
        <v>87</v>
      </c>
      <c r="C128" s="165" t="s">
        <v>41</v>
      </c>
      <c r="D128" s="157">
        <v>34</v>
      </c>
    </row>
    <row r="129" spans="1:4" ht="15.75" customHeight="1" x14ac:dyDescent="0.3">
      <c r="A129" s="155">
        <v>46134</v>
      </c>
      <c r="B129" s="159" t="s">
        <v>94</v>
      </c>
      <c r="C129" s="161" t="s">
        <v>41</v>
      </c>
      <c r="D129" s="160">
        <v>24.55</v>
      </c>
    </row>
    <row r="130" spans="1:4" ht="15.75" customHeight="1" x14ac:dyDescent="0.3">
      <c r="A130" s="155">
        <v>46134</v>
      </c>
      <c r="B130" s="159" t="s">
        <v>89</v>
      </c>
      <c r="C130" s="165" t="s">
        <v>41</v>
      </c>
      <c r="D130" s="157">
        <v>9</v>
      </c>
    </row>
    <row r="131" spans="1:4" ht="15.75" customHeight="1" x14ac:dyDescent="0.3">
      <c r="A131" s="155">
        <v>46134</v>
      </c>
      <c r="B131" s="161" t="s">
        <v>91</v>
      </c>
      <c r="C131" s="161" t="s">
        <v>41</v>
      </c>
      <c r="D131" s="160">
        <v>2.6</v>
      </c>
    </row>
    <row r="132" spans="1:4" ht="15.75" customHeight="1" x14ac:dyDescent="0.3">
      <c r="A132" s="155">
        <v>46134</v>
      </c>
      <c r="B132" s="165" t="s">
        <v>93</v>
      </c>
      <c r="C132" s="165" t="s">
        <v>41</v>
      </c>
      <c r="D132" s="157">
        <v>2.25</v>
      </c>
    </row>
    <row r="133" spans="1:4" ht="15.75" customHeight="1" x14ac:dyDescent="0.3">
      <c r="A133" s="155">
        <v>46134</v>
      </c>
      <c r="B133" s="159" t="s">
        <v>94</v>
      </c>
      <c r="C133" s="161" t="s">
        <v>41</v>
      </c>
      <c r="D133" s="160">
        <v>6.2</v>
      </c>
    </row>
    <row r="134" spans="1:4" ht="15.75" hidden="1" customHeight="1" x14ac:dyDescent="0.3">
      <c r="A134" s="155">
        <v>46135</v>
      </c>
      <c r="B134" s="165" t="s">
        <v>91</v>
      </c>
      <c r="C134" s="165" t="s">
        <v>88</v>
      </c>
      <c r="D134" s="157">
        <v>4.5</v>
      </c>
    </row>
    <row r="135" spans="1:4" ht="15.75" hidden="1" customHeight="1" x14ac:dyDescent="0.3">
      <c r="A135" s="155">
        <v>46135</v>
      </c>
      <c r="B135" s="161" t="s">
        <v>91</v>
      </c>
      <c r="C135" s="161" t="s">
        <v>88</v>
      </c>
      <c r="D135" s="160">
        <v>2.5</v>
      </c>
    </row>
    <row r="136" spans="1:4" ht="15.75" hidden="1" customHeight="1" x14ac:dyDescent="0.3">
      <c r="A136" s="155">
        <v>46135</v>
      </c>
      <c r="B136" s="165" t="s">
        <v>87</v>
      </c>
      <c r="C136" s="165" t="s">
        <v>39</v>
      </c>
      <c r="D136" s="157">
        <v>36.1</v>
      </c>
    </row>
    <row r="137" spans="1:4" ht="15.75" hidden="1" customHeight="1" x14ac:dyDescent="0.3">
      <c r="A137" s="155">
        <v>46135</v>
      </c>
      <c r="B137" s="159" t="s">
        <v>89</v>
      </c>
      <c r="C137" s="161" t="s">
        <v>39</v>
      </c>
      <c r="D137" s="160">
        <v>23.8</v>
      </c>
    </row>
    <row r="138" spans="1:4" ht="15.75" customHeight="1" x14ac:dyDescent="0.3">
      <c r="A138" s="155">
        <v>46135</v>
      </c>
      <c r="B138" s="165" t="s">
        <v>91</v>
      </c>
      <c r="C138" s="165" t="s">
        <v>41</v>
      </c>
      <c r="D138" s="157">
        <v>5</v>
      </c>
    </row>
    <row r="139" spans="1:4" ht="15.75" hidden="1" customHeight="1" x14ac:dyDescent="0.3">
      <c r="A139" s="155">
        <v>46135</v>
      </c>
      <c r="B139" s="159" t="s">
        <v>94</v>
      </c>
      <c r="C139" s="161" t="s">
        <v>88</v>
      </c>
      <c r="D139" s="160">
        <v>24.5</v>
      </c>
    </row>
    <row r="140" spans="1:4" ht="15.75" customHeight="1" x14ac:dyDescent="0.3">
      <c r="A140" s="155">
        <v>46135</v>
      </c>
      <c r="B140" s="165" t="s">
        <v>93</v>
      </c>
      <c r="C140" s="165" t="s">
        <v>41</v>
      </c>
      <c r="D140" s="157">
        <v>2.15</v>
      </c>
    </row>
    <row r="141" spans="1:4" ht="15.75" customHeight="1" x14ac:dyDescent="0.3">
      <c r="A141" s="155">
        <v>46135</v>
      </c>
      <c r="B141" s="161" t="s">
        <v>92</v>
      </c>
      <c r="C141" s="161" t="s">
        <v>41</v>
      </c>
      <c r="D141" s="160">
        <v>3.45</v>
      </c>
    </row>
    <row r="142" spans="1:4" ht="15.75" customHeight="1" x14ac:dyDescent="0.3">
      <c r="A142" s="155">
        <v>46135</v>
      </c>
      <c r="B142" s="159" t="s">
        <v>94</v>
      </c>
      <c r="C142" s="165" t="s">
        <v>41</v>
      </c>
      <c r="D142" s="157">
        <v>8.5</v>
      </c>
    </row>
    <row r="143" spans="1:4" ht="15.75" hidden="1" customHeight="1" x14ac:dyDescent="0.3">
      <c r="A143" s="158">
        <v>46136</v>
      </c>
      <c r="B143" s="161" t="s">
        <v>87</v>
      </c>
      <c r="C143" s="177" t="s">
        <v>39</v>
      </c>
      <c r="D143" s="160">
        <v>26.2</v>
      </c>
    </row>
    <row r="144" spans="1:4" ht="15.75" hidden="1" customHeight="1" x14ac:dyDescent="0.3">
      <c r="A144" s="155"/>
      <c r="B144" s="165" t="s">
        <v>89</v>
      </c>
      <c r="C144" s="178" t="s">
        <v>88</v>
      </c>
      <c r="D144" s="157">
        <v>24.1</v>
      </c>
    </row>
    <row r="145" spans="1:4" ht="15.75" hidden="1" customHeight="1" x14ac:dyDescent="0.3">
      <c r="A145" s="158"/>
      <c r="B145" s="161" t="s">
        <v>91</v>
      </c>
      <c r="C145" s="177" t="s">
        <v>39</v>
      </c>
      <c r="D145" s="160">
        <v>8.1999999999999993</v>
      </c>
    </row>
    <row r="146" spans="1:4" ht="15.75" hidden="1" customHeight="1" x14ac:dyDescent="0.3">
      <c r="A146" s="155"/>
      <c r="B146" s="165" t="s">
        <v>94</v>
      </c>
      <c r="C146" s="178" t="s">
        <v>39</v>
      </c>
      <c r="D146" s="157" t="s">
        <v>229</v>
      </c>
    </row>
    <row r="147" spans="1:4" ht="15.75" customHeight="1" x14ac:dyDescent="0.3">
      <c r="A147" s="158"/>
      <c r="B147" s="161" t="s">
        <v>92</v>
      </c>
      <c r="C147" s="177" t="s">
        <v>41</v>
      </c>
      <c r="D147" s="160">
        <v>2.9</v>
      </c>
    </row>
    <row r="148" spans="1:4" ht="15.75" customHeight="1" x14ac:dyDescent="0.3">
      <c r="A148" s="155"/>
      <c r="B148" s="165" t="s">
        <v>93</v>
      </c>
      <c r="C148" s="178" t="s">
        <v>41</v>
      </c>
      <c r="D148" s="157">
        <v>2.6</v>
      </c>
    </row>
    <row r="149" spans="1:4" ht="15.75" customHeight="1" x14ac:dyDescent="0.3">
      <c r="A149" s="158"/>
      <c r="B149" s="161" t="s">
        <v>91</v>
      </c>
      <c r="C149" s="177" t="s">
        <v>41</v>
      </c>
      <c r="D149" s="160">
        <v>16.100000000000001</v>
      </c>
    </row>
    <row r="150" spans="1:4" ht="15.75" customHeight="1" x14ac:dyDescent="0.3">
      <c r="A150" s="155"/>
      <c r="B150" s="165" t="s">
        <v>89</v>
      </c>
      <c r="C150" s="178" t="s">
        <v>41</v>
      </c>
      <c r="D150" s="157">
        <v>21.2</v>
      </c>
    </row>
    <row r="151" spans="1:4" ht="15.75" customHeight="1" x14ac:dyDescent="0.3">
      <c r="A151" s="158"/>
      <c r="B151" s="161" t="s">
        <v>87</v>
      </c>
      <c r="C151" s="177" t="s">
        <v>41</v>
      </c>
      <c r="D151" s="160">
        <v>24.6</v>
      </c>
    </row>
    <row r="152" spans="1:4" ht="15.75" customHeight="1" x14ac:dyDescent="0.3">
      <c r="A152" s="155"/>
      <c r="B152" s="165" t="s">
        <v>94</v>
      </c>
      <c r="C152" s="178" t="s">
        <v>41</v>
      </c>
      <c r="D152" s="157">
        <v>24.2</v>
      </c>
    </row>
    <row r="153" spans="1:4" ht="15.75" customHeight="1" x14ac:dyDescent="0.3">
      <c r="A153" s="158"/>
      <c r="B153" s="161" t="s">
        <v>91</v>
      </c>
      <c r="C153" s="177" t="s">
        <v>41</v>
      </c>
      <c r="D153" s="160">
        <v>12.1</v>
      </c>
    </row>
    <row r="154" spans="1:4" ht="15.75" customHeight="1" x14ac:dyDescent="0.3">
      <c r="A154" s="155"/>
      <c r="B154" s="165" t="s">
        <v>92</v>
      </c>
      <c r="C154" s="178" t="s">
        <v>41</v>
      </c>
      <c r="D154" s="157">
        <v>3.9</v>
      </c>
    </row>
    <row r="155" spans="1:4" ht="15.75" customHeight="1" x14ac:dyDescent="0.3">
      <c r="A155" s="158"/>
      <c r="B155" s="161" t="s">
        <v>93</v>
      </c>
      <c r="C155" s="177" t="s">
        <v>41</v>
      </c>
      <c r="D155" s="160">
        <v>2.8</v>
      </c>
    </row>
    <row r="156" spans="1:4" ht="15.75" hidden="1" customHeight="1" x14ac:dyDescent="0.3">
      <c r="A156" s="155"/>
      <c r="B156" s="165" t="s">
        <v>94</v>
      </c>
      <c r="C156" s="178" t="s">
        <v>88</v>
      </c>
      <c r="D156" s="157">
        <v>16.2</v>
      </c>
    </row>
    <row r="157" spans="1:4" ht="15.75" hidden="1" customHeight="1" x14ac:dyDescent="0.3">
      <c r="A157" s="158"/>
      <c r="B157" s="161" t="s">
        <v>87</v>
      </c>
      <c r="C157" s="177" t="s">
        <v>39</v>
      </c>
      <c r="D157" s="160">
        <v>26.8</v>
      </c>
    </row>
    <row r="158" spans="1:4" ht="15.75" hidden="1" customHeight="1" x14ac:dyDescent="0.3">
      <c r="A158" s="155"/>
      <c r="B158" s="165" t="s">
        <v>89</v>
      </c>
      <c r="C158" s="178" t="s">
        <v>39</v>
      </c>
      <c r="D158" s="157">
        <v>14.6</v>
      </c>
    </row>
    <row r="159" spans="1:4" ht="15.75" customHeight="1" x14ac:dyDescent="0.3">
      <c r="A159" s="169">
        <v>46140</v>
      </c>
      <c r="B159" s="168" t="s">
        <v>93</v>
      </c>
      <c r="C159" s="168" t="s">
        <v>41</v>
      </c>
      <c r="D159" s="170">
        <v>3.2</v>
      </c>
    </row>
    <row r="160" spans="1:4" ht="15.75" customHeight="1" x14ac:dyDescent="0.3">
      <c r="A160" s="169">
        <v>46140</v>
      </c>
      <c r="B160" s="168" t="s">
        <v>89</v>
      </c>
      <c r="C160" s="168" t="s">
        <v>41</v>
      </c>
      <c r="D160" s="170">
        <v>24</v>
      </c>
    </row>
    <row r="161" spans="1:4" ht="15.75" customHeight="1" x14ac:dyDescent="0.3">
      <c r="A161" s="169">
        <v>46140</v>
      </c>
      <c r="B161" s="168" t="s">
        <v>87</v>
      </c>
      <c r="C161" s="168" t="s">
        <v>41</v>
      </c>
      <c r="D161" s="170">
        <v>35.1</v>
      </c>
    </row>
    <row r="162" spans="1:4" ht="15.75" customHeight="1" x14ac:dyDescent="0.3">
      <c r="A162" s="169">
        <v>46140</v>
      </c>
      <c r="B162" s="168" t="s">
        <v>94</v>
      </c>
      <c r="C162" s="168" t="s">
        <v>41</v>
      </c>
      <c r="D162" s="170">
        <v>24</v>
      </c>
    </row>
    <row r="163" spans="1:4" ht="15.75" customHeight="1" x14ac:dyDescent="0.3">
      <c r="A163" s="169">
        <v>46140</v>
      </c>
      <c r="B163" s="168" t="s">
        <v>91</v>
      </c>
      <c r="C163" s="168" t="s">
        <v>41</v>
      </c>
      <c r="D163" s="170">
        <v>9.15</v>
      </c>
    </row>
    <row r="164" spans="1:4" ht="15.75" customHeight="1" x14ac:dyDescent="0.3">
      <c r="A164" s="169">
        <v>46140</v>
      </c>
      <c r="B164" s="168" t="s">
        <v>92</v>
      </c>
      <c r="C164" s="168" t="s">
        <v>41</v>
      </c>
      <c r="D164" s="170">
        <v>3.3</v>
      </c>
    </row>
    <row r="165" spans="1:4" ht="15.75" customHeight="1" x14ac:dyDescent="0.3">
      <c r="A165" s="169">
        <v>46140</v>
      </c>
      <c r="B165" s="168" t="s">
        <v>93</v>
      </c>
      <c r="C165" s="168" t="s">
        <v>41</v>
      </c>
      <c r="D165" s="170">
        <v>1.1499999999999999</v>
      </c>
    </row>
    <row r="166" spans="1:4" ht="15.75" customHeight="1" x14ac:dyDescent="0.3">
      <c r="A166" s="153">
        <v>46141</v>
      </c>
      <c r="B166" s="171" t="s">
        <v>92</v>
      </c>
      <c r="C166" s="171" t="s">
        <v>41</v>
      </c>
      <c r="D166" s="154">
        <v>1.75</v>
      </c>
    </row>
    <row r="167" spans="1:4" ht="15.75" customHeight="1" x14ac:dyDescent="0.3">
      <c r="A167" s="153">
        <v>46141</v>
      </c>
      <c r="B167" s="171" t="s">
        <v>91</v>
      </c>
      <c r="C167" s="171" t="s">
        <v>41</v>
      </c>
      <c r="D167" s="154">
        <v>7.9</v>
      </c>
    </row>
    <row r="168" spans="1:4" ht="15.75" customHeight="1" x14ac:dyDescent="0.3">
      <c r="A168" s="153">
        <v>46141</v>
      </c>
      <c r="B168" s="172" t="s">
        <v>94</v>
      </c>
      <c r="C168" s="171" t="s">
        <v>41</v>
      </c>
      <c r="D168" s="154">
        <v>28.9</v>
      </c>
    </row>
    <row r="169" spans="1:4" ht="15.75" customHeight="1" x14ac:dyDescent="0.3">
      <c r="A169" s="153">
        <v>46141</v>
      </c>
      <c r="B169" s="172" t="s">
        <v>87</v>
      </c>
      <c r="C169" s="171" t="s">
        <v>41</v>
      </c>
      <c r="D169" s="154">
        <v>35.04</v>
      </c>
    </row>
    <row r="170" spans="1:4" ht="15.75" customHeight="1" x14ac:dyDescent="0.3">
      <c r="A170" s="153">
        <v>46141</v>
      </c>
      <c r="B170" s="172" t="s">
        <v>93</v>
      </c>
      <c r="C170" s="171" t="s">
        <v>41</v>
      </c>
      <c r="D170" s="154">
        <v>2.2999999999999998</v>
      </c>
    </row>
    <row r="171" spans="1:4" ht="15.75" customHeight="1" x14ac:dyDescent="0.3">
      <c r="A171" s="153">
        <v>46141</v>
      </c>
      <c r="B171" s="172" t="s">
        <v>89</v>
      </c>
      <c r="C171" s="171" t="s">
        <v>41</v>
      </c>
      <c r="D171" s="154">
        <v>23</v>
      </c>
    </row>
    <row r="172" spans="1:4" ht="15.75" hidden="1" customHeight="1" x14ac:dyDescent="0.3">
      <c r="A172" s="153">
        <v>46142</v>
      </c>
      <c r="B172" s="172" t="s">
        <v>91</v>
      </c>
      <c r="C172" s="171" t="s">
        <v>39</v>
      </c>
      <c r="D172" s="154">
        <v>2.85</v>
      </c>
    </row>
    <row r="173" spans="1:4" ht="15.75" customHeight="1" x14ac:dyDescent="0.3">
      <c r="A173" s="153">
        <v>46142</v>
      </c>
      <c r="B173" s="172" t="s">
        <v>91</v>
      </c>
      <c r="C173" s="171" t="s">
        <v>41</v>
      </c>
      <c r="D173" s="154">
        <v>4.1500000000000004</v>
      </c>
    </row>
    <row r="174" spans="1:4" ht="15.75" hidden="1" customHeight="1" x14ac:dyDescent="0.3">
      <c r="A174" s="153">
        <v>46142</v>
      </c>
      <c r="B174" s="172" t="s">
        <v>94</v>
      </c>
      <c r="C174" s="171" t="s">
        <v>88</v>
      </c>
      <c r="D174" s="154">
        <v>23.8</v>
      </c>
    </row>
    <row r="175" spans="1:4" ht="15.75" hidden="1" customHeight="1" x14ac:dyDescent="0.3">
      <c r="A175" s="153">
        <v>46142</v>
      </c>
      <c r="B175" s="172" t="s">
        <v>89</v>
      </c>
      <c r="C175" s="171" t="s">
        <v>39</v>
      </c>
      <c r="D175" s="154">
        <v>21.4</v>
      </c>
    </row>
    <row r="176" spans="1:4" ht="15.75" customHeight="1" x14ac:dyDescent="0.3">
      <c r="A176" s="153">
        <v>46142</v>
      </c>
      <c r="B176" s="172" t="s">
        <v>94</v>
      </c>
      <c r="C176" s="171" t="s">
        <v>41</v>
      </c>
      <c r="D176" s="154">
        <v>10.4</v>
      </c>
    </row>
    <row r="177" spans="1:4" ht="15.75" hidden="1" customHeight="1" x14ac:dyDescent="0.3">
      <c r="A177" s="153">
        <v>46142</v>
      </c>
      <c r="B177" s="172" t="s">
        <v>87</v>
      </c>
      <c r="C177" s="171" t="s">
        <v>39</v>
      </c>
      <c r="D177" s="154">
        <v>36.549999999999997</v>
      </c>
    </row>
    <row r="178" spans="1:4" ht="15.75" customHeight="1" x14ac:dyDescent="0.3">
      <c r="A178" s="153">
        <v>46142</v>
      </c>
      <c r="B178" s="172" t="s">
        <v>92</v>
      </c>
      <c r="C178" s="171" t="s">
        <v>41</v>
      </c>
      <c r="D178" s="154">
        <v>2.85</v>
      </c>
    </row>
    <row r="179" spans="1:4" ht="15.75" customHeight="1" x14ac:dyDescent="0.3">
      <c r="A179" s="153">
        <v>46142</v>
      </c>
      <c r="B179" s="172" t="s">
        <v>93</v>
      </c>
      <c r="C179" s="171" t="s">
        <v>41</v>
      </c>
      <c r="D179" s="154">
        <v>2.1</v>
      </c>
    </row>
    <row r="180" spans="1:4" ht="15.75" customHeight="1" x14ac:dyDescent="0.3">
      <c r="D180" s="47"/>
    </row>
    <row r="181" spans="1:4" ht="15.75" customHeight="1" x14ac:dyDescent="0.3">
      <c r="D181" s="47"/>
    </row>
    <row r="182" spans="1:4" ht="15.75" customHeight="1" x14ac:dyDescent="0.3">
      <c r="D182" s="47"/>
    </row>
    <row r="183" spans="1:4" ht="15.75" customHeight="1" x14ac:dyDescent="0.3">
      <c r="D183" s="47"/>
    </row>
    <row r="184" spans="1:4" ht="15.75" customHeight="1" x14ac:dyDescent="0.3">
      <c r="D184" s="47"/>
    </row>
    <row r="185" spans="1:4" ht="15.75" customHeight="1" x14ac:dyDescent="0.3">
      <c r="D185" s="47"/>
    </row>
    <row r="186" spans="1:4" ht="15.75" customHeight="1" x14ac:dyDescent="0.3">
      <c r="D186" s="47"/>
    </row>
    <row r="187" spans="1:4" ht="15.75" customHeight="1" x14ac:dyDescent="0.3">
      <c r="D187" s="47"/>
    </row>
    <row r="188" spans="1:4" ht="15.75" customHeight="1" x14ac:dyDescent="0.3">
      <c r="D188" s="47"/>
    </row>
    <row r="189" spans="1:4" ht="15.75" customHeight="1" x14ac:dyDescent="0.3">
      <c r="D189" s="47"/>
    </row>
    <row r="190" spans="1:4" ht="15.75" customHeight="1" x14ac:dyDescent="0.3">
      <c r="D190" s="47"/>
    </row>
    <row r="191" spans="1:4" ht="15.75" customHeight="1" x14ac:dyDescent="0.3">
      <c r="D191" s="47"/>
    </row>
    <row r="192" spans="1:4" ht="15.75" customHeight="1" x14ac:dyDescent="0.3">
      <c r="D192" s="47"/>
    </row>
    <row r="193" spans="4:4" ht="15.75" customHeight="1" x14ac:dyDescent="0.3">
      <c r="D193" s="47"/>
    </row>
    <row r="194" spans="4:4" ht="15.75" customHeight="1" x14ac:dyDescent="0.3">
      <c r="D194" s="47"/>
    </row>
    <row r="195" spans="4:4" ht="15.75" customHeight="1" x14ac:dyDescent="0.3">
      <c r="D195" s="47"/>
    </row>
    <row r="196" spans="4:4" ht="15.75" customHeight="1" x14ac:dyDescent="0.3">
      <c r="D196" s="47"/>
    </row>
    <row r="197" spans="4:4" ht="15.75" customHeight="1" x14ac:dyDescent="0.3">
      <c r="D197" s="47"/>
    </row>
    <row r="198" spans="4:4" ht="15.75" customHeight="1" x14ac:dyDescent="0.3">
      <c r="D198" s="47"/>
    </row>
    <row r="199" spans="4:4" ht="15.75" customHeight="1" x14ac:dyDescent="0.3">
      <c r="D199" s="47"/>
    </row>
    <row r="200" spans="4:4" ht="15.75" customHeight="1" x14ac:dyDescent="0.3">
      <c r="D200" s="47"/>
    </row>
    <row r="201" spans="4:4" ht="15.75" customHeight="1" x14ac:dyDescent="0.3">
      <c r="D201" s="47"/>
    </row>
    <row r="202" spans="4:4" ht="15.75" customHeight="1" x14ac:dyDescent="0.3">
      <c r="D202" s="47"/>
    </row>
    <row r="203" spans="4:4" ht="15.75" customHeight="1" x14ac:dyDescent="0.3">
      <c r="D203" s="47"/>
    </row>
    <row r="204" spans="4:4" ht="15.75" customHeight="1" x14ac:dyDescent="0.3">
      <c r="D204" s="47"/>
    </row>
    <row r="205" spans="4:4" ht="15.75" customHeight="1" x14ac:dyDescent="0.3">
      <c r="D205" s="47"/>
    </row>
    <row r="206" spans="4:4" ht="15.75" customHeight="1" x14ac:dyDescent="0.3">
      <c r="D206" s="47"/>
    </row>
    <row r="207" spans="4:4" ht="15.75" customHeight="1" x14ac:dyDescent="0.3">
      <c r="D207" s="47"/>
    </row>
    <row r="208" spans="4:4" ht="15.75" customHeight="1" x14ac:dyDescent="0.3">
      <c r="D208" s="47"/>
    </row>
    <row r="209" spans="4:4" ht="15.75" customHeight="1" x14ac:dyDescent="0.3">
      <c r="D209" s="47"/>
    </row>
    <row r="210" spans="4:4" ht="15.75" customHeight="1" x14ac:dyDescent="0.3">
      <c r="D210" s="47"/>
    </row>
    <row r="211" spans="4:4" ht="15.75" customHeight="1" x14ac:dyDescent="0.3">
      <c r="D211" s="47"/>
    </row>
    <row r="212" spans="4:4" ht="15.75" customHeight="1" x14ac:dyDescent="0.3">
      <c r="D212" s="47"/>
    </row>
    <row r="213" spans="4:4" ht="15.75" customHeight="1" x14ac:dyDescent="0.3">
      <c r="D213" s="47"/>
    </row>
    <row r="214" spans="4:4" ht="15.75" customHeight="1" x14ac:dyDescent="0.3">
      <c r="D214" s="47"/>
    </row>
    <row r="215" spans="4:4" ht="15.75" customHeight="1" x14ac:dyDescent="0.3">
      <c r="D215" s="47"/>
    </row>
    <row r="216" spans="4:4" ht="15.75" customHeight="1" x14ac:dyDescent="0.3">
      <c r="D216" s="47"/>
    </row>
    <row r="217" spans="4:4" ht="15.75" customHeight="1" x14ac:dyDescent="0.3">
      <c r="D217" s="47"/>
    </row>
    <row r="218" spans="4:4" ht="15.75" customHeight="1" x14ac:dyDescent="0.3">
      <c r="D218" s="47"/>
    </row>
    <row r="219" spans="4:4" ht="15.75" customHeight="1" x14ac:dyDescent="0.3">
      <c r="D219" s="47"/>
    </row>
    <row r="220" spans="4:4" ht="15.75" customHeight="1" x14ac:dyDescent="0.3">
      <c r="D220" s="47"/>
    </row>
    <row r="221" spans="4:4" ht="15.75" customHeight="1" x14ac:dyDescent="0.3">
      <c r="D221" s="47"/>
    </row>
    <row r="222" spans="4:4" ht="15.75" customHeight="1" x14ac:dyDescent="0.3">
      <c r="D222" s="47"/>
    </row>
    <row r="223" spans="4:4" ht="15.75" customHeight="1" x14ac:dyDescent="0.3">
      <c r="D223" s="47"/>
    </row>
    <row r="224" spans="4:4" ht="15.75" customHeight="1" x14ac:dyDescent="0.3">
      <c r="D224" s="47"/>
    </row>
    <row r="225" spans="4:4" ht="15.75" customHeight="1" x14ac:dyDescent="0.3">
      <c r="D225" s="47"/>
    </row>
    <row r="226" spans="4:4" ht="15.75" customHeight="1" x14ac:dyDescent="0.3">
      <c r="D226" s="47"/>
    </row>
    <row r="227" spans="4:4" ht="15.75" customHeight="1" x14ac:dyDescent="0.3">
      <c r="D227" s="47"/>
    </row>
    <row r="228" spans="4:4" ht="15.75" customHeight="1" x14ac:dyDescent="0.3">
      <c r="D228" s="47"/>
    </row>
    <row r="229" spans="4:4" ht="15.75" customHeight="1" x14ac:dyDescent="0.3">
      <c r="D229" s="47"/>
    </row>
    <row r="230" spans="4:4" ht="15.75" customHeight="1" x14ac:dyDescent="0.3">
      <c r="D230" s="47"/>
    </row>
    <row r="231" spans="4:4" ht="15.75" customHeight="1" x14ac:dyDescent="0.3">
      <c r="D231" s="47"/>
    </row>
    <row r="232" spans="4:4" ht="15.75" customHeight="1" x14ac:dyDescent="0.3">
      <c r="D232" s="47"/>
    </row>
    <row r="233" spans="4:4" ht="15.75" customHeight="1" x14ac:dyDescent="0.3">
      <c r="D233" s="47"/>
    </row>
    <row r="234" spans="4:4" ht="15.75" customHeight="1" x14ac:dyDescent="0.3">
      <c r="D234" s="47"/>
    </row>
    <row r="235" spans="4:4" ht="15.75" customHeight="1" x14ac:dyDescent="0.3">
      <c r="D235" s="47"/>
    </row>
    <row r="236" spans="4:4" ht="15.75" customHeight="1" x14ac:dyDescent="0.3">
      <c r="D236" s="47"/>
    </row>
    <row r="237" spans="4:4" ht="15.75" customHeight="1" x14ac:dyDescent="0.3">
      <c r="D237" s="47"/>
    </row>
    <row r="238" spans="4:4" ht="15.75" customHeight="1" x14ac:dyDescent="0.3">
      <c r="D238" s="47"/>
    </row>
    <row r="239" spans="4:4" ht="15.75" customHeight="1" x14ac:dyDescent="0.3">
      <c r="D239" s="47"/>
    </row>
    <row r="240" spans="4:4" ht="15.75" customHeight="1" x14ac:dyDescent="0.3">
      <c r="D240" s="47"/>
    </row>
    <row r="241" spans="4:4" ht="15.75" customHeight="1" x14ac:dyDescent="0.3">
      <c r="D241" s="47"/>
    </row>
    <row r="242" spans="4:4" ht="15.75" customHeight="1" x14ac:dyDescent="0.3">
      <c r="D242" s="47"/>
    </row>
    <row r="243" spans="4:4" ht="15.75" customHeight="1" x14ac:dyDescent="0.3">
      <c r="D243" s="47"/>
    </row>
    <row r="244" spans="4:4" ht="15.75" customHeight="1" x14ac:dyDescent="0.3">
      <c r="D244" s="47"/>
    </row>
    <row r="245" spans="4:4" ht="15.75" customHeight="1" x14ac:dyDescent="0.3">
      <c r="D245" s="47"/>
    </row>
    <row r="246" spans="4:4" ht="15.75" customHeight="1" x14ac:dyDescent="0.3">
      <c r="D246" s="47"/>
    </row>
    <row r="247" spans="4:4" ht="15.75" customHeight="1" x14ac:dyDescent="0.3">
      <c r="D247" s="47"/>
    </row>
    <row r="248" spans="4:4" ht="15.75" customHeight="1" x14ac:dyDescent="0.3">
      <c r="D248" s="47"/>
    </row>
    <row r="249" spans="4:4" ht="15.75" customHeight="1" x14ac:dyDescent="0.3">
      <c r="D249" s="47"/>
    </row>
    <row r="250" spans="4:4" ht="15.75" customHeight="1" x14ac:dyDescent="0.3">
      <c r="D250" s="47"/>
    </row>
    <row r="251" spans="4:4" ht="15.75" customHeight="1" x14ac:dyDescent="0.3">
      <c r="D251" s="47"/>
    </row>
    <row r="252" spans="4:4" ht="15.75" customHeight="1" x14ac:dyDescent="0.3">
      <c r="D252" s="47"/>
    </row>
    <row r="253" spans="4:4" ht="15.75" customHeight="1" x14ac:dyDescent="0.3">
      <c r="D253" s="47"/>
    </row>
    <row r="254" spans="4:4" ht="15.75" customHeight="1" x14ac:dyDescent="0.3">
      <c r="D254" s="47"/>
    </row>
    <row r="255" spans="4:4" ht="15.75" customHeight="1" x14ac:dyDescent="0.3">
      <c r="D255" s="47"/>
    </row>
    <row r="256" spans="4:4" ht="15.75" customHeight="1" x14ac:dyDescent="0.3">
      <c r="D256" s="47"/>
    </row>
    <row r="257" spans="4:4" ht="15.75" customHeight="1" x14ac:dyDescent="0.3">
      <c r="D257" s="47"/>
    </row>
    <row r="258" spans="4:4" ht="15.75" customHeight="1" x14ac:dyDescent="0.3">
      <c r="D258" s="47"/>
    </row>
    <row r="259" spans="4:4" ht="15.75" customHeight="1" x14ac:dyDescent="0.3">
      <c r="D259" s="47"/>
    </row>
    <row r="260" spans="4:4" ht="15.75" customHeight="1" x14ac:dyDescent="0.3">
      <c r="D260" s="47"/>
    </row>
    <row r="261" spans="4:4" ht="15.75" customHeight="1" x14ac:dyDescent="0.3">
      <c r="D261" s="47"/>
    </row>
    <row r="262" spans="4:4" ht="15.75" customHeight="1" x14ac:dyDescent="0.3">
      <c r="D262" s="47"/>
    </row>
    <row r="263" spans="4:4" ht="15.75" customHeight="1" x14ac:dyDescent="0.3">
      <c r="D263" s="47"/>
    </row>
    <row r="264" spans="4:4" ht="15.75" customHeight="1" x14ac:dyDescent="0.3">
      <c r="D264" s="47"/>
    </row>
    <row r="265" spans="4:4" ht="15.75" customHeight="1" x14ac:dyDescent="0.3">
      <c r="D265" s="47"/>
    </row>
    <row r="266" spans="4:4" ht="15.75" customHeight="1" x14ac:dyDescent="0.3">
      <c r="D266" s="47"/>
    </row>
    <row r="267" spans="4:4" ht="15.75" customHeight="1" x14ac:dyDescent="0.3">
      <c r="D267" s="47"/>
    </row>
    <row r="268" spans="4:4" ht="15.75" customHeight="1" x14ac:dyDescent="0.3">
      <c r="D268" s="47"/>
    </row>
    <row r="269" spans="4:4" ht="15.75" customHeight="1" x14ac:dyDescent="0.3">
      <c r="D269" s="47"/>
    </row>
    <row r="270" spans="4:4" ht="15.75" customHeight="1" x14ac:dyDescent="0.3">
      <c r="D270" s="47"/>
    </row>
    <row r="271" spans="4:4" ht="15.75" customHeight="1" x14ac:dyDescent="0.3">
      <c r="D271" s="47"/>
    </row>
    <row r="272" spans="4:4" ht="15.75" customHeight="1" x14ac:dyDescent="0.3">
      <c r="D272" s="47"/>
    </row>
    <row r="273" spans="4:4" ht="15.75" customHeight="1" x14ac:dyDescent="0.3">
      <c r="D273" s="47"/>
    </row>
    <row r="274" spans="4:4" ht="15.75" customHeight="1" x14ac:dyDescent="0.3">
      <c r="D274" s="47"/>
    </row>
    <row r="275" spans="4:4" ht="15.75" customHeight="1" x14ac:dyDescent="0.3">
      <c r="D275" s="47"/>
    </row>
    <row r="276" spans="4:4" ht="15.75" customHeight="1" x14ac:dyDescent="0.3">
      <c r="D276" s="47"/>
    </row>
    <row r="277" spans="4:4" ht="15.75" customHeight="1" x14ac:dyDescent="0.3">
      <c r="D277" s="47"/>
    </row>
    <row r="278" spans="4:4" ht="15.75" customHeight="1" x14ac:dyDescent="0.3">
      <c r="D278" s="47"/>
    </row>
    <row r="279" spans="4:4" ht="15.75" customHeight="1" x14ac:dyDescent="0.3">
      <c r="D279" s="47"/>
    </row>
    <row r="280" spans="4:4" ht="15.75" customHeight="1" x14ac:dyDescent="0.3">
      <c r="D280" s="47"/>
    </row>
    <row r="281" spans="4:4" ht="15.75" customHeight="1" x14ac:dyDescent="0.3">
      <c r="D281" s="47"/>
    </row>
    <row r="282" spans="4:4" ht="15.75" customHeight="1" x14ac:dyDescent="0.3">
      <c r="D282" s="47"/>
    </row>
    <row r="283" spans="4:4" ht="15.75" customHeight="1" x14ac:dyDescent="0.3">
      <c r="D283" s="47"/>
    </row>
    <row r="284" spans="4:4" ht="15.75" customHeight="1" x14ac:dyDescent="0.3">
      <c r="D284" s="47"/>
    </row>
    <row r="285" spans="4:4" ht="15.75" customHeight="1" x14ac:dyDescent="0.3">
      <c r="D285" s="47"/>
    </row>
    <row r="286" spans="4:4" ht="15.75" customHeight="1" x14ac:dyDescent="0.3">
      <c r="D286" s="47"/>
    </row>
    <row r="287" spans="4:4" ht="15.75" customHeight="1" x14ac:dyDescent="0.3">
      <c r="D287" s="47"/>
    </row>
    <row r="288" spans="4:4" ht="15.75" customHeight="1" x14ac:dyDescent="0.3">
      <c r="D288" s="47"/>
    </row>
    <row r="289" spans="4:4" ht="15.75" customHeight="1" x14ac:dyDescent="0.3">
      <c r="D289" s="47"/>
    </row>
    <row r="290" spans="4:4" ht="15.75" customHeight="1" x14ac:dyDescent="0.3">
      <c r="D290" s="47"/>
    </row>
    <row r="291" spans="4:4" ht="15.75" customHeight="1" x14ac:dyDescent="0.3">
      <c r="D291" s="47"/>
    </row>
    <row r="292" spans="4:4" ht="15.75" customHeight="1" x14ac:dyDescent="0.3">
      <c r="D292" s="47"/>
    </row>
    <row r="293" spans="4:4" ht="15.75" customHeight="1" x14ac:dyDescent="0.3">
      <c r="D293" s="47"/>
    </row>
    <row r="294" spans="4:4" ht="15.75" customHeight="1" x14ac:dyDescent="0.3">
      <c r="D294" s="47"/>
    </row>
    <row r="295" spans="4:4" ht="15.75" customHeight="1" x14ac:dyDescent="0.3">
      <c r="D295" s="47"/>
    </row>
    <row r="296" spans="4:4" ht="15.75" customHeight="1" x14ac:dyDescent="0.3">
      <c r="D296" s="47"/>
    </row>
    <row r="297" spans="4:4" ht="15.75" customHeight="1" x14ac:dyDescent="0.3">
      <c r="D297" s="47"/>
    </row>
    <row r="298" spans="4:4" ht="15.75" customHeight="1" x14ac:dyDescent="0.3">
      <c r="D298" s="47"/>
    </row>
    <row r="299" spans="4:4" ht="15.75" customHeight="1" x14ac:dyDescent="0.3">
      <c r="D299" s="47"/>
    </row>
    <row r="300" spans="4:4" ht="15.75" customHeight="1" x14ac:dyDescent="0.3">
      <c r="D300" s="47"/>
    </row>
    <row r="301" spans="4:4" ht="15.75" customHeight="1" x14ac:dyDescent="0.3">
      <c r="D301" s="47"/>
    </row>
    <row r="302" spans="4:4" ht="15.75" customHeight="1" x14ac:dyDescent="0.3">
      <c r="D302" s="47"/>
    </row>
    <row r="303" spans="4:4" ht="15.75" customHeight="1" x14ac:dyDescent="0.3">
      <c r="D303" s="47"/>
    </row>
    <row r="304" spans="4:4" ht="15.75" customHeight="1" x14ac:dyDescent="0.3">
      <c r="D304" s="47"/>
    </row>
    <row r="305" spans="4:4" ht="15.75" customHeight="1" x14ac:dyDescent="0.3">
      <c r="D305" s="47"/>
    </row>
    <row r="306" spans="4:4" ht="15.75" customHeight="1" x14ac:dyDescent="0.3">
      <c r="D306" s="47"/>
    </row>
    <row r="307" spans="4:4" ht="15.75" customHeight="1" x14ac:dyDescent="0.3">
      <c r="D307" s="47"/>
    </row>
    <row r="308" spans="4:4" ht="15.75" customHeight="1" x14ac:dyDescent="0.3">
      <c r="D308" s="47"/>
    </row>
    <row r="309" spans="4:4" ht="15.75" customHeight="1" x14ac:dyDescent="0.3">
      <c r="D309" s="47"/>
    </row>
    <row r="310" spans="4:4" ht="15.75" customHeight="1" x14ac:dyDescent="0.3">
      <c r="D310" s="47"/>
    </row>
    <row r="311" spans="4:4" ht="15.75" customHeight="1" x14ac:dyDescent="0.3">
      <c r="D311" s="47"/>
    </row>
    <row r="312" spans="4:4" ht="15.75" customHeight="1" x14ac:dyDescent="0.3">
      <c r="D312" s="47"/>
    </row>
    <row r="313" spans="4:4" ht="15.75" customHeight="1" x14ac:dyDescent="0.3">
      <c r="D313" s="47"/>
    </row>
    <row r="314" spans="4:4" ht="15.75" customHeight="1" x14ac:dyDescent="0.3">
      <c r="D314" s="47"/>
    </row>
    <row r="315" spans="4:4" ht="15.75" customHeight="1" x14ac:dyDescent="0.3">
      <c r="D315" s="47"/>
    </row>
    <row r="316" spans="4:4" ht="15.75" customHeight="1" x14ac:dyDescent="0.3">
      <c r="D316" s="47"/>
    </row>
    <row r="317" spans="4:4" ht="15.75" customHeight="1" x14ac:dyDescent="0.3">
      <c r="D317" s="47"/>
    </row>
    <row r="318" spans="4:4" ht="15.75" customHeight="1" x14ac:dyDescent="0.3">
      <c r="D318" s="47"/>
    </row>
    <row r="319" spans="4:4" ht="15.75" customHeight="1" x14ac:dyDescent="0.3">
      <c r="D319" s="47"/>
    </row>
    <row r="320" spans="4:4" ht="15.75" customHeight="1" x14ac:dyDescent="0.3">
      <c r="D320" s="47"/>
    </row>
    <row r="321" spans="4:4" ht="15.75" customHeight="1" x14ac:dyDescent="0.3">
      <c r="D321" s="47"/>
    </row>
    <row r="322" spans="4:4" ht="15.75" customHeight="1" x14ac:dyDescent="0.3">
      <c r="D322" s="47"/>
    </row>
    <row r="323" spans="4:4" ht="15.75" customHeight="1" x14ac:dyDescent="0.3">
      <c r="D323" s="47"/>
    </row>
    <row r="324" spans="4:4" ht="15.75" customHeight="1" x14ac:dyDescent="0.3">
      <c r="D324" s="47"/>
    </row>
    <row r="325" spans="4:4" ht="15.75" customHeight="1" x14ac:dyDescent="0.3">
      <c r="D325" s="47"/>
    </row>
    <row r="326" spans="4:4" ht="15.75" customHeight="1" x14ac:dyDescent="0.3">
      <c r="D326" s="47"/>
    </row>
    <row r="327" spans="4:4" ht="15.75" customHeight="1" x14ac:dyDescent="0.3">
      <c r="D327" s="47"/>
    </row>
    <row r="328" spans="4:4" ht="15.75" customHeight="1" x14ac:dyDescent="0.3">
      <c r="D328" s="47"/>
    </row>
    <row r="329" spans="4:4" ht="15.75" customHeight="1" x14ac:dyDescent="0.3">
      <c r="D329" s="47"/>
    </row>
    <row r="330" spans="4:4" ht="15.75" customHeight="1" x14ac:dyDescent="0.3">
      <c r="D330" s="47"/>
    </row>
    <row r="331" spans="4:4" ht="15.75" customHeight="1" x14ac:dyDescent="0.3">
      <c r="D331" s="47"/>
    </row>
    <row r="332" spans="4:4" ht="15.75" customHeight="1" x14ac:dyDescent="0.3">
      <c r="D332" s="47"/>
    </row>
    <row r="333" spans="4:4" ht="15.75" customHeight="1" x14ac:dyDescent="0.3">
      <c r="D333" s="47"/>
    </row>
    <row r="334" spans="4:4" ht="15.75" customHeight="1" x14ac:dyDescent="0.3">
      <c r="D334" s="47"/>
    </row>
    <row r="335" spans="4:4" ht="15.75" customHeight="1" x14ac:dyDescent="0.3">
      <c r="D335" s="47"/>
    </row>
    <row r="336" spans="4:4" ht="15.75" customHeight="1" x14ac:dyDescent="0.3">
      <c r="D336" s="47"/>
    </row>
    <row r="337" spans="4:4" ht="15.75" customHeight="1" x14ac:dyDescent="0.3">
      <c r="D337" s="47"/>
    </row>
    <row r="338" spans="4:4" ht="15.75" customHeight="1" x14ac:dyDescent="0.3">
      <c r="D338" s="47"/>
    </row>
    <row r="339" spans="4:4" ht="15.75" customHeight="1" x14ac:dyDescent="0.3">
      <c r="D339" s="47"/>
    </row>
    <row r="340" spans="4:4" ht="15.75" customHeight="1" x14ac:dyDescent="0.3">
      <c r="D340" s="47"/>
    </row>
    <row r="341" spans="4:4" ht="15.75" customHeight="1" x14ac:dyDescent="0.3">
      <c r="D341" s="47"/>
    </row>
    <row r="342" spans="4:4" ht="15.75" customHeight="1" x14ac:dyDescent="0.3">
      <c r="D342" s="47"/>
    </row>
    <row r="343" spans="4:4" ht="15.75" customHeight="1" x14ac:dyDescent="0.3">
      <c r="D343" s="47"/>
    </row>
    <row r="344" spans="4:4" ht="15.75" customHeight="1" x14ac:dyDescent="0.3">
      <c r="D344" s="47"/>
    </row>
    <row r="345" spans="4:4" ht="15.75" customHeight="1" x14ac:dyDescent="0.3">
      <c r="D345" s="47"/>
    </row>
    <row r="346" spans="4:4" ht="15.75" customHeight="1" x14ac:dyDescent="0.3">
      <c r="D346" s="47"/>
    </row>
    <row r="347" spans="4:4" ht="15.75" customHeight="1" x14ac:dyDescent="0.3">
      <c r="D347" s="47"/>
    </row>
    <row r="348" spans="4:4" ht="15.75" customHeight="1" x14ac:dyDescent="0.3">
      <c r="D348" s="47"/>
    </row>
    <row r="349" spans="4:4" ht="15.75" customHeight="1" x14ac:dyDescent="0.3">
      <c r="D349" s="47"/>
    </row>
    <row r="350" spans="4:4" ht="15.75" customHeight="1" x14ac:dyDescent="0.3">
      <c r="D350" s="47"/>
    </row>
    <row r="351" spans="4:4" ht="15.75" customHeight="1" x14ac:dyDescent="0.3">
      <c r="D351" s="47"/>
    </row>
    <row r="352" spans="4:4" ht="15.75" customHeight="1" x14ac:dyDescent="0.3">
      <c r="D352" s="47"/>
    </row>
    <row r="353" spans="4:4" ht="15.75" customHeight="1" x14ac:dyDescent="0.3">
      <c r="D353" s="47"/>
    </row>
    <row r="354" spans="4:4" ht="15.75" customHeight="1" x14ac:dyDescent="0.3">
      <c r="D354" s="47"/>
    </row>
    <row r="355" spans="4:4" ht="15.75" customHeight="1" x14ac:dyDescent="0.3">
      <c r="D355" s="47"/>
    </row>
    <row r="356" spans="4:4" ht="15.75" customHeight="1" x14ac:dyDescent="0.3">
      <c r="D356" s="47"/>
    </row>
    <row r="357" spans="4:4" ht="15.75" customHeight="1" x14ac:dyDescent="0.3">
      <c r="D357" s="47"/>
    </row>
    <row r="358" spans="4:4" ht="15.75" customHeight="1" x14ac:dyDescent="0.3">
      <c r="D358" s="47"/>
    </row>
    <row r="359" spans="4:4" ht="15.75" customHeight="1" x14ac:dyDescent="0.3">
      <c r="D359" s="47"/>
    </row>
    <row r="360" spans="4:4" ht="15.75" customHeight="1" x14ac:dyDescent="0.3">
      <c r="D360" s="47"/>
    </row>
    <row r="361" spans="4:4" ht="15.75" customHeight="1" x14ac:dyDescent="0.3">
      <c r="D361" s="47"/>
    </row>
    <row r="362" spans="4:4" ht="15.75" customHeight="1" x14ac:dyDescent="0.3">
      <c r="D362" s="47"/>
    </row>
    <row r="363" spans="4:4" ht="15.75" customHeight="1" x14ac:dyDescent="0.3">
      <c r="D363" s="47"/>
    </row>
    <row r="364" spans="4:4" ht="15.75" customHeight="1" x14ac:dyDescent="0.3">
      <c r="D364" s="47"/>
    </row>
    <row r="365" spans="4:4" ht="15.75" customHeight="1" x14ac:dyDescent="0.3">
      <c r="D365" s="47"/>
    </row>
    <row r="366" spans="4:4" ht="15.75" customHeight="1" x14ac:dyDescent="0.3">
      <c r="D366" s="47"/>
    </row>
    <row r="367" spans="4:4" ht="15.75" customHeight="1" x14ac:dyDescent="0.3">
      <c r="D367" s="47"/>
    </row>
    <row r="368" spans="4:4" ht="15.75" customHeight="1" x14ac:dyDescent="0.3">
      <c r="D368" s="47"/>
    </row>
    <row r="369" spans="4:4" ht="15.75" customHeight="1" x14ac:dyDescent="0.3">
      <c r="D369" s="47"/>
    </row>
    <row r="370" spans="4:4" ht="15.75" customHeight="1" x14ac:dyDescent="0.3">
      <c r="D370" s="47"/>
    </row>
    <row r="371" spans="4:4" ht="15.75" customHeight="1" x14ac:dyDescent="0.3">
      <c r="D371" s="47"/>
    </row>
    <row r="372" spans="4:4" ht="15.75" customHeight="1" x14ac:dyDescent="0.3">
      <c r="D372" s="47"/>
    </row>
    <row r="373" spans="4:4" ht="15.75" customHeight="1" x14ac:dyDescent="0.3">
      <c r="D373" s="47"/>
    </row>
    <row r="374" spans="4:4" ht="15.75" customHeight="1" x14ac:dyDescent="0.3">
      <c r="D374" s="47"/>
    </row>
    <row r="375" spans="4:4" ht="15.75" customHeight="1" x14ac:dyDescent="0.3">
      <c r="D375" s="47"/>
    </row>
    <row r="376" spans="4:4" ht="15.75" customHeight="1" x14ac:dyDescent="0.3">
      <c r="D376" s="47"/>
    </row>
    <row r="377" spans="4:4" ht="15.75" customHeight="1" x14ac:dyDescent="0.3">
      <c r="D377" s="47"/>
    </row>
    <row r="378" spans="4:4" ht="15.75" customHeight="1" x14ac:dyDescent="0.3">
      <c r="D378" s="47"/>
    </row>
    <row r="379" spans="4:4" ht="15.75" customHeight="1" x14ac:dyDescent="0.3">
      <c r="D379" s="47"/>
    </row>
    <row r="380" spans="4:4" ht="15.75" customHeight="1" x14ac:dyDescent="0.3">
      <c r="D380" s="47"/>
    </row>
    <row r="381" spans="4:4" ht="15.75" customHeight="1" x14ac:dyDescent="0.3">
      <c r="D381" s="47"/>
    </row>
    <row r="382" spans="4:4" ht="15.75" customHeight="1" x14ac:dyDescent="0.3">
      <c r="D382" s="47"/>
    </row>
    <row r="383" spans="4:4" ht="15.75" customHeight="1" x14ac:dyDescent="0.3">
      <c r="D383" s="47"/>
    </row>
    <row r="384" spans="4:4" ht="15.75" customHeight="1" x14ac:dyDescent="0.3">
      <c r="D384" s="47"/>
    </row>
    <row r="385" spans="4:4" ht="15.75" customHeight="1" x14ac:dyDescent="0.3">
      <c r="D385" s="47"/>
    </row>
    <row r="386" spans="4:4" ht="15.75" customHeight="1" x14ac:dyDescent="0.3">
      <c r="D386" s="47"/>
    </row>
    <row r="387" spans="4:4" ht="15.75" customHeight="1" x14ac:dyDescent="0.3">
      <c r="D387" s="47"/>
    </row>
    <row r="388" spans="4:4" ht="15.75" customHeight="1" x14ac:dyDescent="0.3">
      <c r="D388" s="47"/>
    </row>
    <row r="389" spans="4:4" ht="15.75" customHeight="1" x14ac:dyDescent="0.3">
      <c r="D389" s="47"/>
    </row>
    <row r="390" spans="4:4" ht="15.75" customHeight="1" x14ac:dyDescent="0.3">
      <c r="D390" s="47"/>
    </row>
    <row r="391" spans="4:4" ht="15.75" customHeight="1" x14ac:dyDescent="0.3">
      <c r="D391" s="47"/>
    </row>
    <row r="392" spans="4:4" ht="15.75" customHeight="1" x14ac:dyDescent="0.3">
      <c r="D392" s="47"/>
    </row>
    <row r="393" spans="4:4" ht="15.75" customHeight="1" x14ac:dyDescent="0.3">
      <c r="D393" s="47"/>
    </row>
    <row r="394" spans="4:4" ht="15.75" customHeight="1" x14ac:dyDescent="0.3">
      <c r="D394" s="47"/>
    </row>
    <row r="395" spans="4:4" ht="15.75" customHeight="1" x14ac:dyDescent="0.3">
      <c r="D395" s="47"/>
    </row>
    <row r="396" spans="4:4" ht="15.75" customHeight="1" x14ac:dyDescent="0.3">
      <c r="D396" s="47"/>
    </row>
    <row r="397" spans="4:4" ht="15.75" customHeight="1" x14ac:dyDescent="0.3">
      <c r="D397" s="47"/>
    </row>
    <row r="398" spans="4:4" ht="15.75" customHeight="1" x14ac:dyDescent="0.3">
      <c r="D398" s="47"/>
    </row>
    <row r="399" spans="4:4" ht="15.75" customHeight="1" x14ac:dyDescent="0.3">
      <c r="D399" s="47"/>
    </row>
    <row r="400" spans="4:4" ht="15.75" customHeight="1" x14ac:dyDescent="0.3">
      <c r="D400" s="47"/>
    </row>
    <row r="401" spans="4:4" ht="15.75" customHeight="1" x14ac:dyDescent="0.3">
      <c r="D401" s="47"/>
    </row>
    <row r="402" spans="4:4" ht="15.75" customHeight="1" x14ac:dyDescent="0.3">
      <c r="D402" s="47"/>
    </row>
    <row r="403" spans="4:4" ht="15.75" customHeight="1" x14ac:dyDescent="0.3">
      <c r="D403" s="47"/>
    </row>
    <row r="404" spans="4:4" ht="15.75" customHeight="1" x14ac:dyDescent="0.3">
      <c r="D404" s="47"/>
    </row>
    <row r="405" spans="4:4" ht="15.75" customHeight="1" x14ac:dyDescent="0.3">
      <c r="D405" s="47"/>
    </row>
    <row r="406" spans="4:4" ht="15.75" customHeight="1" x14ac:dyDescent="0.3">
      <c r="D406" s="47"/>
    </row>
    <row r="407" spans="4:4" ht="15.75" customHeight="1" x14ac:dyDescent="0.3">
      <c r="D407" s="47"/>
    </row>
    <row r="408" spans="4:4" ht="15.75" customHeight="1" x14ac:dyDescent="0.3">
      <c r="D408" s="47"/>
    </row>
    <row r="409" spans="4:4" ht="15.75" customHeight="1" x14ac:dyDescent="0.3">
      <c r="D409" s="47"/>
    </row>
    <row r="410" spans="4:4" ht="15.75" customHeight="1" x14ac:dyDescent="0.3">
      <c r="D410" s="47"/>
    </row>
    <row r="411" spans="4:4" ht="15.75" customHeight="1" x14ac:dyDescent="0.3">
      <c r="D411" s="47"/>
    </row>
    <row r="412" spans="4:4" ht="15.75" customHeight="1" x14ac:dyDescent="0.3">
      <c r="D412" s="47"/>
    </row>
    <row r="413" spans="4:4" ht="15.75" customHeight="1" x14ac:dyDescent="0.3">
      <c r="D413" s="47"/>
    </row>
    <row r="414" spans="4:4" ht="15.75" customHeight="1" x14ac:dyDescent="0.3">
      <c r="D414" s="47"/>
    </row>
    <row r="415" spans="4:4" ht="15.75" customHeight="1" x14ac:dyDescent="0.3">
      <c r="D415" s="47"/>
    </row>
    <row r="416" spans="4:4" ht="15.75" customHeight="1" x14ac:dyDescent="0.3">
      <c r="D416" s="47"/>
    </row>
    <row r="417" spans="4:4" ht="15.75" customHeight="1" x14ac:dyDescent="0.3">
      <c r="D417" s="47"/>
    </row>
    <row r="418" spans="4:4" ht="15.75" customHeight="1" x14ac:dyDescent="0.3">
      <c r="D418" s="47"/>
    </row>
    <row r="419" spans="4:4" ht="15.75" customHeight="1" x14ac:dyDescent="0.3">
      <c r="D419" s="47"/>
    </row>
    <row r="420" spans="4:4" ht="15.75" customHeight="1" x14ac:dyDescent="0.3">
      <c r="D420" s="47"/>
    </row>
    <row r="421" spans="4:4" ht="15.75" customHeight="1" x14ac:dyDescent="0.3">
      <c r="D421" s="47"/>
    </row>
    <row r="422" spans="4:4" ht="15.75" customHeight="1" x14ac:dyDescent="0.3">
      <c r="D422" s="47"/>
    </row>
    <row r="423" spans="4:4" ht="15.75" customHeight="1" x14ac:dyDescent="0.3">
      <c r="D423" s="47"/>
    </row>
    <row r="424" spans="4:4" ht="15.75" customHeight="1" x14ac:dyDescent="0.3">
      <c r="D424" s="47"/>
    </row>
    <row r="425" spans="4:4" ht="15.75" customHeight="1" x14ac:dyDescent="0.3">
      <c r="D425" s="47"/>
    </row>
    <row r="426" spans="4:4" ht="15.75" customHeight="1" x14ac:dyDescent="0.3">
      <c r="D426" s="47"/>
    </row>
    <row r="427" spans="4:4" ht="15.75" customHeight="1" x14ac:dyDescent="0.3">
      <c r="D427" s="47"/>
    </row>
    <row r="428" spans="4:4" ht="15.75" customHeight="1" x14ac:dyDescent="0.3">
      <c r="D428" s="47"/>
    </row>
    <row r="429" spans="4:4" ht="15.75" customHeight="1" x14ac:dyDescent="0.3">
      <c r="D429" s="47"/>
    </row>
    <row r="430" spans="4:4" ht="15.75" customHeight="1" x14ac:dyDescent="0.3">
      <c r="D430" s="47"/>
    </row>
    <row r="431" spans="4:4" ht="15.75" customHeight="1" x14ac:dyDescent="0.3">
      <c r="D431" s="47"/>
    </row>
    <row r="432" spans="4:4" ht="15.75" customHeight="1" x14ac:dyDescent="0.3">
      <c r="D432" s="47"/>
    </row>
    <row r="433" spans="4:4" ht="15.75" customHeight="1" x14ac:dyDescent="0.3">
      <c r="D433" s="47"/>
    </row>
    <row r="434" spans="4:4" ht="15.75" customHeight="1" x14ac:dyDescent="0.3">
      <c r="D434" s="47"/>
    </row>
    <row r="435" spans="4:4" ht="15.75" customHeight="1" x14ac:dyDescent="0.3">
      <c r="D435" s="47"/>
    </row>
    <row r="436" spans="4:4" ht="15.75" customHeight="1" x14ac:dyDescent="0.3">
      <c r="D436" s="47"/>
    </row>
    <row r="437" spans="4:4" ht="15.75" customHeight="1" x14ac:dyDescent="0.3">
      <c r="D437" s="47"/>
    </row>
    <row r="438" spans="4:4" ht="15.75" customHeight="1" x14ac:dyDescent="0.3">
      <c r="D438" s="47"/>
    </row>
    <row r="439" spans="4:4" ht="15.75" customHeight="1" x14ac:dyDescent="0.3">
      <c r="D439" s="47"/>
    </row>
    <row r="440" spans="4:4" ht="15.75" customHeight="1" x14ac:dyDescent="0.3">
      <c r="D440" s="47"/>
    </row>
    <row r="441" spans="4:4" ht="15.75" customHeight="1" x14ac:dyDescent="0.3">
      <c r="D441" s="47"/>
    </row>
    <row r="442" spans="4:4" ht="15.75" customHeight="1" x14ac:dyDescent="0.3">
      <c r="D442" s="47"/>
    </row>
    <row r="443" spans="4:4" ht="15.75" customHeight="1" x14ac:dyDescent="0.3">
      <c r="D443" s="47"/>
    </row>
    <row r="444" spans="4:4" ht="15.75" customHeight="1" x14ac:dyDescent="0.3">
      <c r="D444" s="47"/>
    </row>
    <row r="445" spans="4:4" ht="15.75" customHeight="1" x14ac:dyDescent="0.3">
      <c r="D445" s="47"/>
    </row>
    <row r="446" spans="4:4" ht="15.75" customHeight="1" x14ac:dyDescent="0.3">
      <c r="D446" s="47"/>
    </row>
    <row r="447" spans="4:4" ht="15.75" customHeight="1" x14ac:dyDescent="0.3">
      <c r="D447" s="47"/>
    </row>
    <row r="448" spans="4:4" ht="15.75" customHeight="1" x14ac:dyDescent="0.3">
      <c r="D448" s="47"/>
    </row>
    <row r="449" spans="4:4" ht="15.75" customHeight="1" x14ac:dyDescent="0.3">
      <c r="D449" s="47"/>
    </row>
    <row r="450" spans="4:4" ht="15.75" customHeight="1" x14ac:dyDescent="0.3">
      <c r="D450" s="47"/>
    </row>
    <row r="451" spans="4:4" ht="15.75" customHeight="1" x14ac:dyDescent="0.3">
      <c r="D451" s="47"/>
    </row>
    <row r="452" spans="4:4" ht="15.75" customHeight="1" x14ac:dyDescent="0.3">
      <c r="D452" s="47"/>
    </row>
    <row r="453" spans="4:4" ht="15.75" customHeight="1" x14ac:dyDescent="0.3">
      <c r="D453" s="47"/>
    </row>
    <row r="454" spans="4:4" ht="15.75" customHeight="1" x14ac:dyDescent="0.3">
      <c r="D454" s="47"/>
    </row>
    <row r="455" spans="4:4" ht="15.75" customHeight="1" x14ac:dyDescent="0.3">
      <c r="D455" s="47"/>
    </row>
    <row r="456" spans="4:4" ht="15.75" customHeight="1" x14ac:dyDescent="0.3">
      <c r="D456" s="47"/>
    </row>
    <row r="457" spans="4:4" ht="15.75" customHeight="1" x14ac:dyDescent="0.3">
      <c r="D457" s="47"/>
    </row>
    <row r="458" spans="4:4" ht="15.75" customHeight="1" x14ac:dyDescent="0.3">
      <c r="D458" s="47"/>
    </row>
    <row r="459" spans="4:4" ht="15.75" customHeight="1" x14ac:dyDescent="0.3">
      <c r="D459" s="47"/>
    </row>
    <row r="460" spans="4:4" ht="15.75" customHeight="1" x14ac:dyDescent="0.3">
      <c r="D460" s="47"/>
    </row>
    <row r="461" spans="4:4" ht="15.75" customHeight="1" x14ac:dyDescent="0.3">
      <c r="D461" s="47"/>
    </row>
    <row r="462" spans="4:4" ht="15.75" customHeight="1" x14ac:dyDescent="0.3">
      <c r="D462" s="47"/>
    </row>
    <row r="463" spans="4:4" ht="15.75" customHeight="1" x14ac:dyDescent="0.3">
      <c r="D463" s="47"/>
    </row>
    <row r="464" spans="4:4" ht="15.75" customHeight="1" x14ac:dyDescent="0.3">
      <c r="D464" s="47"/>
    </row>
    <row r="465" spans="4:4" ht="15.75" customHeight="1" x14ac:dyDescent="0.3">
      <c r="D465" s="47"/>
    </row>
    <row r="466" spans="4:4" ht="15.75" customHeight="1" x14ac:dyDescent="0.3">
      <c r="D466" s="47"/>
    </row>
    <row r="467" spans="4:4" ht="15.75" customHeight="1" x14ac:dyDescent="0.3">
      <c r="D467" s="47"/>
    </row>
    <row r="468" spans="4:4" ht="15.75" customHeight="1" x14ac:dyDescent="0.3">
      <c r="D468" s="47"/>
    </row>
    <row r="469" spans="4:4" ht="15.75" customHeight="1" x14ac:dyDescent="0.3">
      <c r="D469" s="47"/>
    </row>
    <row r="470" spans="4:4" ht="15.75" customHeight="1" x14ac:dyDescent="0.3">
      <c r="D470" s="47"/>
    </row>
    <row r="471" spans="4:4" ht="15.75" customHeight="1" x14ac:dyDescent="0.3">
      <c r="D471" s="47"/>
    </row>
    <row r="472" spans="4:4" ht="15.75" customHeight="1" x14ac:dyDescent="0.3">
      <c r="D472" s="47"/>
    </row>
    <row r="473" spans="4:4" ht="15.75" customHeight="1" x14ac:dyDescent="0.3">
      <c r="D473" s="47"/>
    </row>
    <row r="474" spans="4:4" ht="15.75" customHeight="1" x14ac:dyDescent="0.3">
      <c r="D474" s="47"/>
    </row>
    <row r="475" spans="4:4" ht="15.75" customHeight="1" x14ac:dyDescent="0.3">
      <c r="D475" s="47"/>
    </row>
    <row r="476" spans="4:4" ht="15.75" customHeight="1" x14ac:dyDescent="0.3">
      <c r="D476" s="47"/>
    </row>
    <row r="477" spans="4:4" ht="15.75" customHeight="1" x14ac:dyDescent="0.3">
      <c r="D477" s="47"/>
    </row>
    <row r="478" spans="4:4" ht="15.75" customHeight="1" x14ac:dyDescent="0.3">
      <c r="D478" s="47"/>
    </row>
    <row r="479" spans="4:4" ht="15.75" customHeight="1" x14ac:dyDescent="0.3">
      <c r="D479" s="47"/>
    </row>
    <row r="480" spans="4:4" ht="15.75" customHeight="1" x14ac:dyDescent="0.3">
      <c r="D480" s="47"/>
    </row>
    <row r="481" spans="4:4" ht="15.75" customHeight="1" x14ac:dyDescent="0.3">
      <c r="D481" s="47"/>
    </row>
    <row r="482" spans="4:4" ht="15.75" customHeight="1" x14ac:dyDescent="0.3">
      <c r="D482" s="47"/>
    </row>
    <row r="483" spans="4:4" ht="15.75" customHeight="1" x14ac:dyDescent="0.3">
      <c r="D483" s="47"/>
    </row>
    <row r="484" spans="4:4" ht="15.75" customHeight="1" x14ac:dyDescent="0.3">
      <c r="D484" s="47"/>
    </row>
    <row r="485" spans="4:4" ht="15.75" customHeight="1" x14ac:dyDescent="0.3">
      <c r="D485" s="47"/>
    </row>
    <row r="486" spans="4:4" ht="15.75" customHeight="1" x14ac:dyDescent="0.3">
      <c r="D486" s="47"/>
    </row>
    <row r="487" spans="4:4" ht="15.75" customHeight="1" x14ac:dyDescent="0.3">
      <c r="D487" s="47"/>
    </row>
    <row r="488" spans="4:4" ht="15.75" customHeight="1" x14ac:dyDescent="0.3">
      <c r="D488" s="47"/>
    </row>
    <row r="489" spans="4:4" ht="15.75" customHeight="1" x14ac:dyDescent="0.3">
      <c r="D489" s="47"/>
    </row>
    <row r="490" spans="4:4" ht="15.75" customHeight="1" x14ac:dyDescent="0.3">
      <c r="D490" s="47"/>
    </row>
    <row r="491" spans="4:4" ht="15.75" customHeight="1" x14ac:dyDescent="0.3">
      <c r="D491" s="47"/>
    </row>
    <row r="492" spans="4:4" ht="15.75" customHeight="1" x14ac:dyDescent="0.3">
      <c r="D492" s="47"/>
    </row>
    <row r="493" spans="4:4" ht="15.75" customHeight="1" x14ac:dyDescent="0.3">
      <c r="D493" s="47"/>
    </row>
    <row r="494" spans="4:4" ht="15.75" customHeight="1" x14ac:dyDescent="0.3">
      <c r="D494" s="47"/>
    </row>
    <row r="495" spans="4:4" ht="15.75" customHeight="1" x14ac:dyDescent="0.3">
      <c r="D495" s="47"/>
    </row>
    <row r="496" spans="4:4" ht="15.75" customHeight="1" x14ac:dyDescent="0.3">
      <c r="D496" s="47"/>
    </row>
    <row r="497" spans="4:4" ht="15.75" customHeight="1" x14ac:dyDescent="0.3">
      <c r="D497" s="47"/>
    </row>
    <row r="498" spans="4:4" ht="15.75" customHeight="1" x14ac:dyDescent="0.3">
      <c r="D498" s="47"/>
    </row>
    <row r="499" spans="4:4" ht="15.75" customHeight="1" x14ac:dyDescent="0.3">
      <c r="D499" s="47"/>
    </row>
    <row r="500" spans="4:4" ht="15.75" customHeight="1" x14ac:dyDescent="0.3">
      <c r="D500" s="47"/>
    </row>
    <row r="501" spans="4:4" ht="15.75" customHeight="1" x14ac:dyDescent="0.3">
      <c r="D501" s="47"/>
    </row>
    <row r="502" spans="4:4" ht="15.75" customHeight="1" x14ac:dyDescent="0.3">
      <c r="D502" s="47"/>
    </row>
    <row r="503" spans="4:4" ht="15.75" customHeight="1" x14ac:dyDescent="0.3">
      <c r="D503" s="47"/>
    </row>
    <row r="504" spans="4:4" ht="15.75" customHeight="1" x14ac:dyDescent="0.3">
      <c r="D504" s="47"/>
    </row>
    <row r="505" spans="4:4" ht="15.75" customHeight="1" x14ac:dyDescent="0.3">
      <c r="D505" s="47"/>
    </row>
    <row r="506" spans="4:4" ht="15.75" customHeight="1" x14ac:dyDescent="0.3">
      <c r="D506" s="47"/>
    </row>
    <row r="507" spans="4:4" ht="15.75" customHeight="1" x14ac:dyDescent="0.3">
      <c r="D507" s="47"/>
    </row>
    <row r="508" spans="4:4" ht="15.75" customHeight="1" x14ac:dyDescent="0.3">
      <c r="D508" s="47"/>
    </row>
    <row r="509" spans="4:4" ht="15.75" customHeight="1" x14ac:dyDescent="0.3">
      <c r="D509" s="47"/>
    </row>
    <row r="510" spans="4:4" ht="15.75" customHeight="1" x14ac:dyDescent="0.3">
      <c r="D510" s="47"/>
    </row>
    <row r="511" spans="4:4" ht="15.75" customHeight="1" x14ac:dyDescent="0.3">
      <c r="D511" s="47"/>
    </row>
    <row r="512" spans="4:4" ht="15.75" customHeight="1" x14ac:dyDescent="0.3">
      <c r="D512" s="47"/>
    </row>
    <row r="513" spans="4:4" ht="15.75" customHeight="1" x14ac:dyDescent="0.3">
      <c r="D513" s="47"/>
    </row>
    <row r="514" spans="4:4" ht="15.75" customHeight="1" x14ac:dyDescent="0.3">
      <c r="D514" s="47"/>
    </row>
    <row r="515" spans="4:4" ht="15.75" customHeight="1" x14ac:dyDescent="0.3">
      <c r="D515" s="47"/>
    </row>
    <row r="516" spans="4:4" ht="15.75" customHeight="1" x14ac:dyDescent="0.3">
      <c r="D516" s="47"/>
    </row>
    <row r="517" spans="4:4" ht="15.75" customHeight="1" x14ac:dyDescent="0.3">
      <c r="D517" s="47"/>
    </row>
    <row r="518" spans="4:4" ht="15.75" customHeight="1" x14ac:dyDescent="0.3">
      <c r="D518" s="47"/>
    </row>
    <row r="519" spans="4:4" ht="15.75" customHeight="1" x14ac:dyDescent="0.3">
      <c r="D519" s="47"/>
    </row>
    <row r="520" spans="4:4" ht="15.75" customHeight="1" x14ac:dyDescent="0.3">
      <c r="D520" s="47"/>
    </row>
    <row r="521" spans="4:4" ht="15.75" customHeight="1" x14ac:dyDescent="0.3">
      <c r="D521" s="47"/>
    </row>
    <row r="522" spans="4:4" ht="15.75" customHeight="1" x14ac:dyDescent="0.3">
      <c r="D522" s="47"/>
    </row>
    <row r="523" spans="4:4" ht="15.75" customHeight="1" x14ac:dyDescent="0.3">
      <c r="D523" s="47"/>
    </row>
    <row r="524" spans="4:4" ht="15.75" customHeight="1" x14ac:dyDescent="0.3">
      <c r="D524" s="47"/>
    </row>
    <row r="525" spans="4:4" ht="15.75" customHeight="1" x14ac:dyDescent="0.3">
      <c r="D525" s="47"/>
    </row>
    <row r="526" spans="4:4" ht="15.75" customHeight="1" x14ac:dyDescent="0.3">
      <c r="D526" s="47"/>
    </row>
    <row r="527" spans="4:4" ht="15.75" customHeight="1" x14ac:dyDescent="0.3">
      <c r="D527" s="47"/>
    </row>
    <row r="528" spans="4:4" ht="15.75" customHeight="1" x14ac:dyDescent="0.3">
      <c r="D528" s="47"/>
    </row>
    <row r="529" spans="4:4" ht="15.75" customHeight="1" x14ac:dyDescent="0.3">
      <c r="D529" s="47"/>
    </row>
    <row r="530" spans="4:4" ht="15.75" customHeight="1" x14ac:dyDescent="0.3">
      <c r="D530" s="47"/>
    </row>
    <row r="531" spans="4:4" ht="15.75" customHeight="1" x14ac:dyDescent="0.3">
      <c r="D531" s="47"/>
    </row>
    <row r="532" spans="4:4" ht="15.75" customHeight="1" x14ac:dyDescent="0.3">
      <c r="D532" s="47"/>
    </row>
    <row r="533" spans="4:4" ht="15.75" customHeight="1" x14ac:dyDescent="0.3">
      <c r="D533" s="47"/>
    </row>
    <row r="534" spans="4:4" ht="15.75" customHeight="1" x14ac:dyDescent="0.3">
      <c r="D534" s="47"/>
    </row>
    <row r="535" spans="4:4" ht="15.75" customHeight="1" x14ac:dyDescent="0.3">
      <c r="D535" s="47"/>
    </row>
    <row r="536" spans="4:4" ht="15.75" customHeight="1" x14ac:dyDescent="0.3">
      <c r="D536" s="47"/>
    </row>
    <row r="537" spans="4:4" ht="15.75" customHeight="1" x14ac:dyDescent="0.3">
      <c r="D537" s="47"/>
    </row>
    <row r="538" spans="4:4" ht="15.75" customHeight="1" x14ac:dyDescent="0.3">
      <c r="D538" s="47"/>
    </row>
    <row r="539" spans="4:4" ht="15.75" customHeight="1" x14ac:dyDescent="0.3">
      <c r="D539" s="47"/>
    </row>
    <row r="540" spans="4:4" ht="15.75" customHeight="1" x14ac:dyDescent="0.3">
      <c r="D540" s="47"/>
    </row>
    <row r="541" spans="4:4" ht="15.75" customHeight="1" x14ac:dyDescent="0.3">
      <c r="D541" s="47"/>
    </row>
    <row r="542" spans="4:4" ht="15.75" customHeight="1" x14ac:dyDescent="0.3">
      <c r="D542" s="47"/>
    </row>
    <row r="543" spans="4:4" ht="15.75" customHeight="1" x14ac:dyDescent="0.3">
      <c r="D543" s="47"/>
    </row>
    <row r="544" spans="4:4" ht="15.75" customHeight="1" x14ac:dyDescent="0.3">
      <c r="D544" s="47"/>
    </row>
    <row r="545" spans="4:4" ht="15.75" customHeight="1" x14ac:dyDescent="0.3">
      <c r="D545" s="47"/>
    </row>
    <row r="546" spans="4:4" ht="15.75" customHeight="1" x14ac:dyDescent="0.3">
      <c r="D546" s="47"/>
    </row>
    <row r="547" spans="4:4" ht="15.75" customHeight="1" x14ac:dyDescent="0.3">
      <c r="D547" s="47"/>
    </row>
    <row r="548" spans="4:4" ht="15.75" customHeight="1" x14ac:dyDescent="0.3">
      <c r="D548" s="47"/>
    </row>
    <row r="549" spans="4:4" ht="15.75" customHeight="1" x14ac:dyDescent="0.3">
      <c r="D549" s="47"/>
    </row>
    <row r="550" spans="4:4" ht="15.75" customHeight="1" x14ac:dyDescent="0.3">
      <c r="D550" s="47"/>
    </row>
    <row r="551" spans="4:4" ht="15.75" customHeight="1" x14ac:dyDescent="0.3">
      <c r="D551" s="47"/>
    </row>
    <row r="552" spans="4:4" ht="15.75" customHeight="1" x14ac:dyDescent="0.3">
      <c r="D552" s="47"/>
    </row>
    <row r="553" spans="4:4" ht="15.75" customHeight="1" x14ac:dyDescent="0.3">
      <c r="D553" s="47"/>
    </row>
    <row r="554" spans="4:4" ht="15.75" customHeight="1" x14ac:dyDescent="0.3">
      <c r="D554" s="47"/>
    </row>
    <row r="555" spans="4:4" ht="15.75" customHeight="1" x14ac:dyDescent="0.3">
      <c r="D555" s="47"/>
    </row>
    <row r="556" spans="4:4" ht="15.75" customHeight="1" x14ac:dyDescent="0.3">
      <c r="D556" s="47"/>
    </row>
    <row r="557" spans="4:4" ht="15.75" customHeight="1" x14ac:dyDescent="0.3">
      <c r="D557" s="47"/>
    </row>
    <row r="558" spans="4:4" ht="15.75" customHeight="1" x14ac:dyDescent="0.3">
      <c r="D558" s="47"/>
    </row>
    <row r="559" spans="4:4" ht="15.75" customHeight="1" x14ac:dyDescent="0.3">
      <c r="D559" s="47"/>
    </row>
    <row r="560" spans="4:4" ht="15.75" customHeight="1" x14ac:dyDescent="0.3">
      <c r="D560" s="47"/>
    </row>
    <row r="561" spans="4:4" ht="15.75" customHeight="1" x14ac:dyDescent="0.3">
      <c r="D561" s="47"/>
    </row>
    <row r="562" spans="4:4" ht="15.75" customHeight="1" x14ac:dyDescent="0.3">
      <c r="D562" s="47"/>
    </row>
    <row r="563" spans="4:4" ht="15.75" customHeight="1" x14ac:dyDescent="0.3">
      <c r="D563" s="47"/>
    </row>
    <row r="564" spans="4:4" ht="15.75" customHeight="1" x14ac:dyDescent="0.3">
      <c r="D564" s="47"/>
    </row>
    <row r="565" spans="4:4" ht="15.75" customHeight="1" x14ac:dyDescent="0.3">
      <c r="D565" s="47"/>
    </row>
    <row r="566" spans="4:4" ht="15.75" customHeight="1" x14ac:dyDescent="0.3">
      <c r="D566" s="47"/>
    </row>
    <row r="567" spans="4:4" ht="15.75" customHeight="1" x14ac:dyDescent="0.3">
      <c r="D567" s="47"/>
    </row>
    <row r="568" spans="4:4" ht="15.75" customHeight="1" x14ac:dyDescent="0.3">
      <c r="D568" s="47"/>
    </row>
    <row r="569" spans="4:4" ht="15.75" customHeight="1" x14ac:dyDescent="0.3">
      <c r="D569" s="47"/>
    </row>
    <row r="570" spans="4:4" ht="15.75" customHeight="1" x14ac:dyDescent="0.3">
      <c r="D570" s="47"/>
    </row>
    <row r="571" spans="4:4" ht="15.75" customHeight="1" x14ac:dyDescent="0.3">
      <c r="D571" s="47"/>
    </row>
    <row r="572" spans="4:4" ht="15.75" customHeight="1" x14ac:dyDescent="0.3">
      <c r="D572" s="47"/>
    </row>
    <row r="573" spans="4:4" ht="15.75" customHeight="1" x14ac:dyDescent="0.3">
      <c r="D573" s="47"/>
    </row>
    <row r="574" spans="4:4" ht="15.75" customHeight="1" x14ac:dyDescent="0.3">
      <c r="D574" s="47"/>
    </row>
    <row r="575" spans="4:4" ht="15.75" customHeight="1" x14ac:dyDescent="0.3">
      <c r="D575" s="47"/>
    </row>
    <row r="576" spans="4:4" ht="15.75" customHeight="1" x14ac:dyDescent="0.3">
      <c r="D576" s="47"/>
    </row>
    <row r="577" spans="4:4" ht="15.75" customHeight="1" x14ac:dyDescent="0.3">
      <c r="D577" s="47"/>
    </row>
    <row r="578" spans="4:4" ht="15.75" customHeight="1" x14ac:dyDescent="0.3">
      <c r="D578" s="47"/>
    </row>
    <row r="579" spans="4:4" ht="15.75" customHeight="1" x14ac:dyDescent="0.3">
      <c r="D579" s="47"/>
    </row>
    <row r="580" spans="4:4" ht="15.75" customHeight="1" x14ac:dyDescent="0.3">
      <c r="D580" s="47"/>
    </row>
    <row r="581" spans="4:4" ht="15.75" customHeight="1" x14ac:dyDescent="0.3">
      <c r="D581" s="47"/>
    </row>
    <row r="582" spans="4:4" ht="15.75" customHeight="1" x14ac:dyDescent="0.3">
      <c r="D582" s="47"/>
    </row>
    <row r="583" spans="4:4" ht="15.75" customHeight="1" x14ac:dyDescent="0.3">
      <c r="D583" s="47"/>
    </row>
    <row r="584" spans="4:4" ht="15.75" customHeight="1" x14ac:dyDescent="0.3">
      <c r="D584" s="47"/>
    </row>
    <row r="585" spans="4:4" ht="15.75" customHeight="1" x14ac:dyDescent="0.3">
      <c r="D585" s="47"/>
    </row>
    <row r="586" spans="4:4" ht="15.75" customHeight="1" x14ac:dyDescent="0.3">
      <c r="D586" s="47"/>
    </row>
    <row r="587" spans="4:4" ht="15.75" customHeight="1" x14ac:dyDescent="0.3">
      <c r="D587" s="47"/>
    </row>
    <row r="588" spans="4:4" ht="15.75" customHeight="1" x14ac:dyDescent="0.3">
      <c r="D588" s="47"/>
    </row>
    <row r="589" spans="4:4" ht="15.75" customHeight="1" x14ac:dyDescent="0.3">
      <c r="D589" s="47"/>
    </row>
    <row r="590" spans="4:4" ht="15.75" customHeight="1" x14ac:dyDescent="0.3">
      <c r="D590" s="47"/>
    </row>
    <row r="591" spans="4:4" ht="15.75" customHeight="1" x14ac:dyDescent="0.3">
      <c r="D591" s="47"/>
    </row>
    <row r="592" spans="4:4" ht="15.75" customHeight="1" x14ac:dyDescent="0.3">
      <c r="D592" s="47"/>
    </row>
    <row r="593" spans="4:4" ht="15.75" customHeight="1" x14ac:dyDescent="0.3">
      <c r="D593" s="47"/>
    </row>
    <row r="594" spans="4:4" ht="15.75" customHeight="1" x14ac:dyDescent="0.3">
      <c r="D594" s="47"/>
    </row>
    <row r="595" spans="4:4" ht="15.75" customHeight="1" x14ac:dyDescent="0.3">
      <c r="D595" s="47"/>
    </row>
    <row r="596" spans="4:4" ht="15.75" customHeight="1" x14ac:dyDescent="0.3">
      <c r="D596" s="47"/>
    </row>
    <row r="597" spans="4:4" ht="15.75" customHeight="1" x14ac:dyDescent="0.3">
      <c r="D597" s="47"/>
    </row>
    <row r="598" spans="4:4" ht="15.75" customHeight="1" x14ac:dyDescent="0.3">
      <c r="D598" s="47"/>
    </row>
    <row r="599" spans="4:4" ht="15.75" customHeight="1" x14ac:dyDescent="0.3">
      <c r="D599" s="47"/>
    </row>
    <row r="600" spans="4:4" ht="15.75" customHeight="1" x14ac:dyDescent="0.3">
      <c r="D600" s="47"/>
    </row>
    <row r="601" spans="4:4" ht="15.75" customHeight="1" x14ac:dyDescent="0.3">
      <c r="D601" s="47"/>
    </row>
    <row r="602" spans="4:4" ht="15.75" customHeight="1" x14ac:dyDescent="0.3">
      <c r="D602" s="47"/>
    </row>
    <row r="603" spans="4:4" ht="15.75" customHeight="1" x14ac:dyDescent="0.3">
      <c r="D603" s="47"/>
    </row>
    <row r="604" spans="4:4" ht="15.75" customHeight="1" x14ac:dyDescent="0.3">
      <c r="D604" s="47"/>
    </row>
    <row r="605" spans="4:4" ht="15.75" customHeight="1" x14ac:dyDescent="0.3">
      <c r="D605" s="47"/>
    </row>
    <row r="606" spans="4:4" ht="15.75" customHeight="1" x14ac:dyDescent="0.3">
      <c r="D606" s="47"/>
    </row>
    <row r="607" spans="4:4" ht="15.75" customHeight="1" x14ac:dyDescent="0.3">
      <c r="D607" s="47"/>
    </row>
    <row r="608" spans="4:4" ht="15.75" customHeight="1" x14ac:dyDescent="0.3">
      <c r="D608" s="47"/>
    </row>
    <row r="609" spans="4:4" ht="15.75" customHeight="1" x14ac:dyDescent="0.3">
      <c r="D609" s="47"/>
    </row>
    <row r="610" spans="4:4" ht="15.75" customHeight="1" x14ac:dyDescent="0.3">
      <c r="D610" s="47"/>
    </row>
    <row r="611" spans="4:4" ht="15.75" customHeight="1" x14ac:dyDescent="0.3">
      <c r="D611" s="47"/>
    </row>
    <row r="612" spans="4:4" ht="15.75" customHeight="1" x14ac:dyDescent="0.3">
      <c r="D612" s="47"/>
    </row>
    <row r="613" spans="4:4" ht="15.75" customHeight="1" x14ac:dyDescent="0.3">
      <c r="D613" s="47"/>
    </row>
    <row r="614" spans="4:4" ht="15.75" customHeight="1" x14ac:dyDescent="0.3">
      <c r="D614" s="47"/>
    </row>
    <row r="615" spans="4:4" ht="15.75" customHeight="1" x14ac:dyDescent="0.3">
      <c r="D615" s="47"/>
    </row>
    <row r="616" spans="4:4" ht="15.75" customHeight="1" x14ac:dyDescent="0.3">
      <c r="D616" s="47"/>
    </row>
    <row r="617" spans="4:4" ht="15.75" customHeight="1" x14ac:dyDescent="0.3">
      <c r="D617" s="47"/>
    </row>
    <row r="618" spans="4:4" ht="15.75" customHeight="1" x14ac:dyDescent="0.3">
      <c r="D618" s="47"/>
    </row>
    <row r="619" spans="4:4" ht="15.75" customHeight="1" x14ac:dyDescent="0.3">
      <c r="D619" s="47"/>
    </row>
    <row r="620" spans="4:4" ht="15.75" customHeight="1" x14ac:dyDescent="0.3">
      <c r="D620" s="47"/>
    </row>
    <row r="621" spans="4:4" ht="15.75" customHeight="1" x14ac:dyDescent="0.3">
      <c r="D621" s="47"/>
    </row>
    <row r="622" spans="4:4" ht="15.75" customHeight="1" x14ac:dyDescent="0.3">
      <c r="D622" s="47"/>
    </row>
    <row r="623" spans="4:4" ht="15.75" customHeight="1" x14ac:dyDescent="0.3">
      <c r="D623" s="47"/>
    </row>
    <row r="624" spans="4:4" ht="15.75" customHeight="1" x14ac:dyDescent="0.3">
      <c r="D624" s="47"/>
    </row>
    <row r="625" spans="4:4" ht="15.75" customHeight="1" x14ac:dyDescent="0.3">
      <c r="D625" s="47"/>
    </row>
    <row r="626" spans="4:4" ht="15.75" customHeight="1" x14ac:dyDescent="0.3">
      <c r="D626" s="47"/>
    </row>
    <row r="627" spans="4:4" ht="15.75" customHeight="1" x14ac:dyDescent="0.3">
      <c r="D627" s="47"/>
    </row>
    <row r="628" spans="4:4" ht="15.75" customHeight="1" x14ac:dyDescent="0.3">
      <c r="D628" s="47"/>
    </row>
    <row r="629" spans="4:4" ht="15.75" customHeight="1" x14ac:dyDescent="0.3">
      <c r="D629" s="47"/>
    </row>
    <row r="630" spans="4:4" ht="15.75" customHeight="1" x14ac:dyDescent="0.3">
      <c r="D630" s="47"/>
    </row>
    <row r="631" spans="4:4" ht="15.75" customHeight="1" x14ac:dyDescent="0.3">
      <c r="D631" s="47"/>
    </row>
    <row r="632" spans="4:4" ht="15.75" customHeight="1" x14ac:dyDescent="0.3">
      <c r="D632" s="47"/>
    </row>
    <row r="633" spans="4:4" ht="15.75" customHeight="1" x14ac:dyDescent="0.3">
      <c r="D633" s="47"/>
    </row>
    <row r="634" spans="4:4" ht="15.75" customHeight="1" x14ac:dyDescent="0.3">
      <c r="D634" s="47"/>
    </row>
    <row r="635" spans="4:4" ht="15.75" customHeight="1" x14ac:dyDescent="0.3">
      <c r="D635" s="47"/>
    </row>
    <row r="636" spans="4:4" ht="15.75" customHeight="1" x14ac:dyDescent="0.3">
      <c r="D636" s="47"/>
    </row>
    <row r="637" spans="4:4" ht="15.75" customHeight="1" x14ac:dyDescent="0.3">
      <c r="D637" s="47"/>
    </row>
    <row r="638" spans="4:4" ht="15.75" customHeight="1" x14ac:dyDescent="0.3">
      <c r="D638" s="47"/>
    </row>
    <row r="639" spans="4:4" ht="15.75" customHeight="1" x14ac:dyDescent="0.3">
      <c r="D639" s="47"/>
    </row>
    <row r="640" spans="4:4" ht="15.75" customHeight="1" x14ac:dyDescent="0.3">
      <c r="D640" s="47"/>
    </row>
    <row r="641" spans="4:4" ht="15.75" customHeight="1" x14ac:dyDescent="0.3">
      <c r="D641" s="47"/>
    </row>
    <row r="642" spans="4:4" ht="15.75" customHeight="1" x14ac:dyDescent="0.3">
      <c r="D642" s="47"/>
    </row>
    <row r="643" spans="4:4" ht="15.75" customHeight="1" x14ac:dyDescent="0.3">
      <c r="D643" s="47"/>
    </row>
    <row r="644" spans="4:4" ht="15.75" customHeight="1" x14ac:dyDescent="0.3">
      <c r="D644" s="47"/>
    </row>
    <row r="645" spans="4:4" ht="15.75" customHeight="1" x14ac:dyDescent="0.3">
      <c r="D645" s="47"/>
    </row>
    <row r="646" spans="4:4" ht="15.75" customHeight="1" x14ac:dyDescent="0.3">
      <c r="D646" s="47"/>
    </row>
    <row r="647" spans="4:4" ht="15.75" customHeight="1" x14ac:dyDescent="0.3">
      <c r="D647" s="47"/>
    </row>
    <row r="648" spans="4:4" ht="15.75" customHeight="1" x14ac:dyDescent="0.3">
      <c r="D648" s="47"/>
    </row>
    <row r="649" spans="4:4" ht="15.75" customHeight="1" x14ac:dyDescent="0.3">
      <c r="D649" s="47"/>
    </row>
    <row r="650" spans="4:4" ht="15.75" customHeight="1" x14ac:dyDescent="0.3">
      <c r="D650" s="47"/>
    </row>
    <row r="651" spans="4:4" ht="15.75" customHeight="1" x14ac:dyDescent="0.3">
      <c r="D651" s="47"/>
    </row>
    <row r="652" spans="4:4" ht="15.75" customHeight="1" x14ac:dyDescent="0.3">
      <c r="D652" s="47"/>
    </row>
    <row r="653" spans="4:4" ht="15.75" customHeight="1" x14ac:dyDescent="0.3">
      <c r="D653" s="47"/>
    </row>
    <row r="654" spans="4:4" ht="15.75" customHeight="1" x14ac:dyDescent="0.3">
      <c r="D654" s="47"/>
    </row>
    <row r="655" spans="4:4" ht="15.75" customHeight="1" x14ac:dyDescent="0.3">
      <c r="D655" s="47"/>
    </row>
    <row r="656" spans="4:4" ht="15.75" customHeight="1" x14ac:dyDescent="0.3">
      <c r="D656" s="47"/>
    </row>
    <row r="657" spans="4:4" ht="15.75" customHeight="1" x14ac:dyDescent="0.3">
      <c r="D657" s="47"/>
    </row>
    <row r="658" spans="4:4" ht="15.75" customHeight="1" x14ac:dyDescent="0.3">
      <c r="D658" s="47"/>
    </row>
    <row r="659" spans="4:4" ht="15.75" customHeight="1" x14ac:dyDescent="0.3">
      <c r="D659" s="47"/>
    </row>
    <row r="660" spans="4:4" ht="15.75" customHeight="1" x14ac:dyDescent="0.3">
      <c r="D660" s="47"/>
    </row>
    <row r="661" spans="4:4" ht="15.75" customHeight="1" x14ac:dyDescent="0.3">
      <c r="D661" s="47"/>
    </row>
    <row r="662" spans="4:4" ht="15.75" customHeight="1" x14ac:dyDescent="0.3">
      <c r="D662" s="47"/>
    </row>
    <row r="663" spans="4:4" ht="15.75" customHeight="1" x14ac:dyDescent="0.3">
      <c r="D663" s="47"/>
    </row>
    <row r="664" spans="4:4" ht="15.75" customHeight="1" x14ac:dyDescent="0.3">
      <c r="D664" s="47"/>
    </row>
    <row r="665" spans="4:4" ht="15.75" customHeight="1" x14ac:dyDescent="0.3">
      <c r="D665" s="47"/>
    </row>
    <row r="666" spans="4:4" ht="15.75" customHeight="1" x14ac:dyDescent="0.3">
      <c r="D666" s="47"/>
    </row>
    <row r="667" spans="4:4" ht="15.75" customHeight="1" x14ac:dyDescent="0.3">
      <c r="D667" s="47"/>
    </row>
    <row r="668" spans="4:4" ht="15.75" customHeight="1" x14ac:dyDescent="0.3">
      <c r="D668" s="47"/>
    </row>
    <row r="669" spans="4:4" ht="15.75" customHeight="1" x14ac:dyDescent="0.3">
      <c r="D669" s="47"/>
    </row>
    <row r="670" spans="4:4" ht="15.75" customHeight="1" x14ac:dyDescent="0.3">
      <c r="D670" s="47"/>
    </row>
    <row r="671" spans="4:4" ht="15.75" customHeight="1" x14ac:dyDescent="0.3">
      <c r="D671" s="47"/>
    </row>
    <row r="672" spans="4:4" ht="15.75" customHeight="1" x14ac:dyDescent="0.3">
      <c r="D672" s="47"/>
    </row>
    <row r="673" spans="4:4" ht="15.75" customHeight="1" x14ac:dyDescent="0.3">
      <c r="D673" s="47"/>
    </row>
    <row r="674" spans="4:4" ht="15.75" customHeight="1" x14ac:dyDescent="0.3">
      <c r="D674" s="47"/>
    </row>
    <row r="675" spans="4:4" ht="15.75" customHeight="1" x14ac:dyDescent="0.3">
      <c r="D675" s="47"/>
    </row>
    <row r="676" spans="4:4" ht="15.75" customHeight="1" x14ac:dyDescent="0.3">
      <c r="D676" s="47"/>
    </row>
    <row r="677" spans="4:4" ht="15.75" customHeight="1" x14ac:dyDescent="0.3">
      <c r="D677" s="47"/>
    </row>
    <row r="678" spans="4:4" ht="15.75" customHeight="1" x14ac:dyDescent="0.3">
      <c r="D678" s="47"/>
    </row>
    <row r="679" spans="4:4" ht="15.75" customHeight="1" x14ac:dyDescent="0.3">
      <c r="D679" s="47"/>
    </row>
    <row r="680" spans="4:4" ht="15.75" customHeight="1" x14ac:dyDescent="0.3">
      <c r="D680" s="47"/>
    </row>
    <row r="681" spans="4:4" ht="15.75" customHeight="1" x14ac:dyDescent="0.3">
      <c r="D681" s="47"/>
    </row>
    <row r="682" spans="4:4" ht="15.75" customHeight="1" x14ac:dyDescent="0.3">
      <c r="D682" s="47"/>
    </row>
    <row r="683" spans="4:4" ht="15.75" customHeight="1" x14ac:dyDescent="0.3">
      <c r="D683" s="47"/>
    </row>
    <row r="684" spans="4:4" ht="15.75" customHeight="1" x14ac:dyDescent="0.3">
      <c r="D684" s="47"/>
    </row>
    <row r="685" spans="4:4" ht="15.75" customHeight="1" x14ac:dyDescent="0.3">
      <c r="D685" s="47"/>
    </row>
    <row r="686" spans="4:4" ht="15.75" customHeight="1" x14ac:dyDescent="0.3">
      <c r="D686" s="47"/>
    </row>
    <row r="687" spans="4:4" ht="15.75" customHeight="1" x14ac:dyDescent="0.3">
      <c r="D687" s="47"/>
    </row>
    <row r="688" spans="4:4" ht="15.75" customHeight="1" x14ac:dyDescent="0.3">
      <c r="D688" s="47"/>
    </row>
    <row r="689" spans="4:4" ht="15.75" customHeight="1" x14ac:dyDescent="0.3">
      <c r="D689" s="47"/>
    </row>
    <row r="690" spans="4:4" ht="15.75" customHeight="1" x14ac:dyDescent="0.3">
      <c r="D690" s="47"/>
    </row>
    <row r="691" spans="4:4" ht="15.75" customHeight="1" x14ac:dyDescent="0.3">
      <c r="D691" s="47"/>
    </row>
    <row r="692" spans="4:4" ht="15.75" customHeight="1" x14ac:dyDescent="0.3">
      <c r="D692" s="47"/>
    </row>
    <row r="693" spans="4:4" ht="15.75" customHeight="1" x14ac:dyDescent="0.3">
      <c r="D693" s="47"/>
    </row>
    <row r="694" spans="4:4" ht="15.75" customHeight="1" x14ac:dyDescent="0.3">
      <c r="D694" s="47"/>
    </row>
    <row r="695" spans="4:4" ht="15.75" customHeight="1" x14ac:dyDescent="0.3">
      <c r="D695" s="47"/>
    </row>
    <row r="696" spans="4:4" ht="15.75" customHeight="1" x14ac:dyDescent="0.3">
      <c r="D696" s="47"/>
    </row>
    <row r="697" spans="4:4" ht="15.75" customHeight="1" x14ac:dyDescent="0.3">
      <c r="D697" s="47"/>
    </row>
    <row r="698" spans="4:4" ht="15.75" customHeight="1" x14ac:dyDescent="0.3">
      <c r="D698" s="47"/>
    </row>
    <row r="699" spans="4:4" ht="15.75" customHeight="1" x14ac:dyDescent="0.3">
      <c r="D699" s="47"/>
    </row>
    <row r="700" spans="4:4" ht="15.75" customHeight="1" x14ac:dyDescent="0.3">
      <c r="D700" s="47"/>
    </row>
    <row r="701" spans="4:4" ht="15.75" customHeight="1" x14ac:dyDescent="0.3">
      <c r="D701" s="47"/>
    </row>
    <row r="702" spans="4:4" ht="15.75" customHeight="1" x14ac:dyDescent="0.3">
      <c r="D702" s="47"/>
    </row>
    <row r="703" spans="4:4" ht="15.75" customHeight="1" x14ac:dyDescent="0.3">
      <c r="D703" s="47"/>
    </row>
    <row r="704" spans="4:4" ht="15.75" customHeight="1" x14ac:dyDescent="0.3">
      <c r="D704" s="47"/>
    </row>
    <row r="705" spans="4:4" ht="15.75" customHeight="1" x14ac:dyDescent="0.3">
      <c r="D705" s="47"/>
    </row>
    <row r="706" spans="4:4" ht="15.75" customHeight="1" x14ac:dyDescent="0.3">
      <c r="D706" s="47"/>
    </row>
    <row r="707" spans="4:4" ht="15.75" customHeight="1" x14ac:dyDescent="0.3">
      <c r="D707" s="47"/>
    </row>
    <row r="708" spans="4:4" ht="15.75" customHeight="1" x14ac:dyDescent="0.3">
      <c r="D708" s="47"/>
    </row>
    <row r="709" spans="4:4" ht="15.75" customHeight="1" x14ac:dyDescent="0.3">
      <c r="D709" s="47"/>
    </row>
    <row r="710" spans="4:4" ht="15.75" customHeight="1" x14ac:dyDescent="0.3">
      <c r="D710" s="47"/>
    </row>
    <row r="711" spans="4:4" ht="15.75" customHeight="1" x14ac:dyDescent="0.3">
      <c r="D711" s="47"/>
    </row>
    <row r="712" spans="4:4" ht="15.75" customHeight="1" x14ac:dyDescent="0.3">
      <c r="D712" s="47"/>
    </row>
    <row r="713" spans="4:4" ht="15.75" customHeight="1" x14ac:dyDescent="0.3">
      <c r="D713" s="47"/>
    </row>
    <row r="714" spans="4:4" ht="15.75" customHeight="1" x14ac:dyDescent="0.3">
      <c r="D714" s="47"/>
    </row>
    <row r="715" spans="4:4" ht="15.75" customHeight="1" x14ac:dyDescent="0.3">
      <c r="D715" s="47"/>
    </row>
    <row r="716" spans="4:4" ht="15.75" customHeight="1" x14ac:dyDescent="0.3">
      <c r="D716" s="47"/>
    </row>
    <row r="717" spans="4:4" ht="15.75" customHeight="1" x14ac:dyDescent="0.3">
      <c r="D717" s="47"/>
    </row>
    <row r="718" spans="4:4" ht="15.75" customHeight="1" x14ac:dyDescent="0.3">
      <c r="D718" s="47"/>
    </row>
    <row r="719" spans="4:4" ht="15.75" customHeight="1" x14ac:dyDescent="0.3">
      <c r="D719" s="47"/>
    </row>
    <row r="720" spans="4:4" ht="15.75" customHeight="1" x14ac:dyDescent="0.3">
      <c r="D720" s="47"/>
    </row>
    <row r="721" spans="4:4" ht="15.75" customHeight="1" x14ac:dyDescent="0.3">
      <c r="D721" s="47"/>
    </row>
    <row r="722" spans="4:4" ht="15.75" customHeight="1" x14ac:dyDescent="0.3">
      <c r="D722" s="47"/>
    </row>
    <row r="723" spans="4:4" ht="15.75" customHeight="1" x14ac:dyDescent="0.3">
      <c r="D723" s="47"/>
    </row>
    <row r="724" spans="4:4" ht="15.75" customHeight="1" x14ac:dyDescent="0.3">
      <c r="D724" s="47"/>
    </row>
    <row r="725" spans="4:4" ht="15.75" customHeight="1" x14ac:dyDescent="0.3">
      <c r="D725" s="47"/>
    </row>
    <row r="726" spans="4:4" ht="15.75" customHeight="1" x14ac:dyDescent="0.3">
      <c r="D726" s="47"/>
    </row>
    <row r="727" spans="4:4" ht="15.75" customHeight="1" x14ac:dyDescent="0.3">
      <c r="D727" s="47"/>
    </row>
    <row r="728" spans="4:4" ht="15.75" customHeight="1" x14ac:dyDescent="0.3">
      <c r="D728" s="47"/>
    </row>
    <row r="729" spans="4:4" ht="15.75" customHeight="1" x14ac:dyDescent="0.3">
      <c r="D729" s="47"/>
    </row>
    <row r="730" spans="4:4" ht="15.75" customHeight="1" x14ac:dyDescent="0.3">
      <c r="D730" s="47"/>
    </row>
    <row r="731" spans="4:4" ht="15.75" customHeight="1" x14ac:dyDescent="0.3">
      <c r="D731" s="47"/>
    </row>
    <row r="732" spans="4:4" ht="15.75" customHeight="1" x14ac:dyDescent="0.3">
      <c r="D732" s="47"/>
    </row>
    <row r="733" spans="4:4" ht="15.75" customHeight="1" x14ac:dyDescent="0.3">
      <c r="D733" s="47"/>
    </row>
    <row r="734" spans="4:4" ht="15.75" customHeight="1" x14ac:dyDescent="0.3">
      <c r="D734" s="47"/>
    </row>
    <row r="735" spans="4:4" ht="15.75" customHeight="1" x14ac:dyDescent="0.3">
      <c r="D735" s="47"/>
    </row>
    <row r="736" spans="4:4" ht="15.75" customHeight="1" x14ac:dyDescent="0.3">
      <c r="D736" s="47"/>
    </row>
    <row r="737" spans="4:4" ht="15.75" customHeight="1" x14ac:dyDescent="0.3">
      <c r="D737" s="47"/>
    </row>
    <row r="738" spans="4:4" ht="15.75" customHeight="1" x14ac:dyDescent="0.3">
      <c r="D738" s="47"/>
    </row>
    <row r="739" spans="4:4" ht="15.75" customHeight="1" x14ac:dyDescent="0.3">
      <c r="D739" s="47"/>
    </row>
    <row r="740" spans="4:4" ht="15.75" customHeight="1" x14ac:dyDescent="0.3">
      <c r="D740" s="47"/>
    </row>
    <row r="741" spans="4:4" ht="15.75" customHeight="1" x14ac:dyDescent="0.3">
      <c r="D741" s="47"/>
    </row>
    <row r="742" spans="4:4" ht="15.75" customHeight="1" x14ac:dyDescent="0.3">
      <c r="D742" s="47"/>
    </row>
    <row r="743" spans="4:4" ht="15.75" customHeight="1" x14ac:dyDescent="0.3">
      <c r="D743" s="47"/>
    </row>
    <row r="744" spans="4:4" ht="15.75" customHeight="1" x14ac:dyDescent="0.3">
      <c r="D744" s="47"/>
    </row>
    <row r="745" spans="4:4" ht="15.75" customHeight="1" x14ac:dyDescent="0.3">
      <c r="D745" s="47"/>
    </row>
    <row r="746" spans="4:4" ht="15.75" customHeight="1" x14ac:dyDescent="0.3">
      <c r="D746" s="47"/>
    </row>
    <row r="747" spans="4:4" ht="15.75" customHeight="1" x14ac:dyDescent="0.3">
      <c r="D747" s="47"/>
    </row>
    <row r="748" spans="4:4" ht="15.75" customHeight="1" x14ac:dyDescent="0.3">
      <c r="D748" s="47"/>
    </row>
    <row r="749" spans="4:4" ht="15.75" customHeight="1" x14ac:dyDescent="0.3">
      <c r="D749" s="47"/>
    </row>
    <row r="750" spans="4:4" ht="15.75" customHeight="1" x14ac:dyDescent="0.3">
      <c r="D750" s="47"/>
    </row>
    <row r="751" spans="4:4" ht="15.75" customHeight="1" x14ac:dyDescent="0.3">
      <c r="D751" s="47"/>
    </row>
    <row r="752" spans="4:4" ht="15.75" customHeight="1" x14ac:dyDescent="0.3">
      <c r="D752" s="47"/>
    </row>
    <row r="753" spans="4:4" ht="15.75" customHeight="1" x14ac:dyDescent="0.3">
      <c r="D753" s="47"/>
    </row>
    <row r="754" spans="4:4" ht="15.75" customHeight="1" x14ac:dyDescent="0.3">
      <c r="D754" s="47"/>
    </row>
    <row r="755" spans="4:4" ht="15.75" customHeight="1" x14ac:dyDescent="0.3">
      <c r="D755" s="47"/>
    </row>
    <row r="756" spans="4:4" ht="15.75" customHeight="1" x14ac:dyDescent="0.3">
      <c r="D756" s="47"/>
    </row>
    <row r="757" spans="4:4" ht="15.75" customHeight="1" x14ac:dyDescent="0.3">
      <c r="D757" s="47"/>
    </row>
    <row r="758" spans="4:4" ht="15.75" customHeight="1" x14ac:dyDescent="0.3">
      <c r="D758" s="47"/>
    </row>
    <row r="759" spans="4:4" ht="15.75" customHeight="1" x14ac:dyDescent="0.3">
      <c r="D759" s="47"/>
    </row>
    <row r="760" spans="4:4" ht="15.75" customHeight="1" x14ac:dyDescent="0.3">
      <c r="D760" s="47"/>
    </row>
    <row r="761" spans="4:4" ht="15.75" customHeight="1" x14ac:dyDescent="0.3">
      <c r="D761" s="47"/>
    </row>
    <row r="762" spans="4:4" ht="15.75" customHeight="1" x14ac:dyDescent="0.3">
      <c r="D762" s="47"/>
    </row>
    <row r="763" spans="4:4" ht="15.75" customHeight="1" x14ac:dyDescent="0.3">
      <c r="D763" s="47"/>
    </row>
    <row r="764" spans="4:4" ht="15.75" customHeight="1" x14ac:dyDescent="0.3">
      <c r="D764" s="47"/>
    </row>
    <row r="765" spans="4:4" ht="15.75" customHeight="1" x14ac:dyDescent="0.3">
      <c r="D765" s="47"/>
    </row>
    <row r="766" spans="4:4" ht="15.75" customHeight="1" x14ac:dyDescent="0.3">
      <c r="D766" s="47"/>
    </row>
    <row r="767" spans="4:4" ht="15.75" customHeight="1" x14ac:dyDescent="0.3">
      <c r="D767" s="47"/>
    </row>
    <row r="768" spans="4:4" ht="15.75" customHeight="1" x14ac:dyDescent="0.3">
      <c r="D768" s="47"/>
    </row>
    <row r="769" spans="4:4" ht="15.75" customHeight="1" x14ac:dyDescent="0.3">
      <c r="D769" s="47"/>
    </row>
    <row r="770" spans="4:4" ht="15.75" customHeight="1" x14ac:dyDescent="0.3">
      <c r="D770" s="47"/>
    </row>
    <row r="771" spans="4:4" ht="15.75" customHeight="1" x14ac:dyDescent="0.3">
      <c r="D771" s="47"/>
    </row>
    <row r="772" spans="4:4" ht="15.75" customHeight="1" x14ac:dyDescent="0.3">
      <c r="D772" s="47"/>
    </row>
    <row r="773" spans="4:4" ht="15.75" customHeight="1" x14ac:dyDescent="0.3">
      <c r="D773" s="47"/>
    </row>
    <row r="774" spans="4:4" ht="15.75" customHeight="1" x14ac:dyDescent="0.3">
      <c r="D774" s="47"/>
    </row>
    <row r="775" spans="4:4" ht="15.75" customHeight="1" x14ac:dyDescent="0.3">
      <c r="D775" s="47"/>
    </row>
    <row r="776" spans="4:4" ht="15.75" customHeight="1" x14ac:dyDescent="0.3">
      <c r="D776" s="47"/>
    </row>
    <row r="777" spans="4:4" ht="15.75" customHeight="1" x14ac:dyDescent="0.3">
      <c r="D777" s="47"/>
    </row>
    <row r="778" spans="4:4" ht="15.75" customHeight="1" x14ac:dyDescent="0.3">
      <c r="D778" s="47"/>
    </row>
    <row r="779" spans="4:4" ht="15.75" customHeight="1" x14ac:dyDescent="0.3">
      <c r="D779" s="47"/>
    </row>
    <row r="780" spans="4:4" ht="15.75" customHeight="1" x14ac:dyDescent="0.3">
      <c r="D780" s="47"/>
    </row>
    <row r="781" spans="4:4" ht="15.75" customHeight="1" x14ac:dyDescent="0.3">
      <c r="D781" s="47"/>
    </row>
    <row r="782" spans="4:4" ht="15.75" customHeight="1" x14ac:dyDescent="0.3">
      <c r="D782" s="47"/>
    </row>
    <row r="783" spans="4:4" ht="15.75" customHeight="1" x14ac:dyDescent="0.3">
      <c r="D783" s="47"/>
    </row>
    <row r="784" spans="4:4" ht="15.75" customHeight="1" x14ac:dyDescent="0.3">
      <c r="D784" s="47"/>
    </row>
    <row r="785" spans="4:4" ht="15.75" customHeight="1" x14ac:dyDescent="0.3">
      <c r="D785" s="47"/>
    </row>
    <row r="786" spans="4:4" ht="15.75" customHeight="1" x14ac:dyDescent="0.3">
      <c r="D786" s="47"/>
    </row>
    <row r="787" spans="4:4" ht="15.75" customHeight="1" x14ac:dyDescent="0.3">
      <c r="D787" s="47"/>
    </row>
    <row r="788" spans="4:4" ht="15.75" customHeight="1" x14ac:dyDescent="0.3">
      <c r="D788" s="47"/>
    </row>
    <row r="789" spans="4:4" ht="15.75" customHeight="1" x14ac:dyDescent="0.3">
      <c r="D789" s="47"/>
    </row>
    <row r="790" spans="4:4" ht="15.75" customHeight="1" x14ac:dyDescent="0.3">
      <c r="D790" s="47"/>
    </row>
    <row r="791" spans="4:4" ht="15.75" customHeight="1" x14ac:dyDescent="0.3">
      <c r="D791" s="47"/>
    </row>
    <row r="792" spans="4:4" ht="15.75" customHeight="1" x14ac:dyDescent="0.3">
      <c r="D792" s="47"/>
    </row>
    <row r="793" spans="4:4" ht="15.75" customHeight="1" x14ac:dyDescent="0.3">
      <c r="D793" s="47"/>
    </row>
    <row r="794" spans="4:4" ht="15.75" customHeight="1" x14ac:dyDescent="0.3">
      <c r="D794" s="47"/>
    </row>
    <row r="795" spans="4:4" ht="15.75" customHeight="1" x14ac:dyDescent="0.3">
      <c r="D795" s="47"/>
    </row>
    <row r="796" spans="4:4" ht="15.75" customHeight="1" x14ac:dyDescent="0.3">
      <c r="D796" s="47"/>
    </row>
    <row r="797" spans="4:4" ht="15.75" customHeight="1" x14ac:dyDescent="0.3">
      <c r="D797" s="47"/>
    </row>
    <row r="798" spans="4:4" ht="15.75" customHeight="1" x14ac:dyDescent="0.3">
      <c r="D798" s="47"/>
    </row>
    <row r="799" spans="4:4" ht="15.75" customHeight="1" x14ac:dyDescent="0.3">
      <c r="D799" s="47"/>
    </row>
    <row r="800" spans="4:4" ht="15.75" customHeight="1" x14ac:dyDescent="0.3">
      <c r="D800" s="47"/>
    </row>
    <row r="801" spans="4:4" ht="15.75" customHeight="1" x14ac:dyDescent="0.3">
      <c r="D801" s="47"/>
    </row>
    <row r="802" spans="4:4" ht="15.75" customHeight="1" x14ac:dyDescent="0.3">
      <c r="D802" s="47"/>
    </row>
    <row r="803" spans="4:4" ht="15.75" customHeight="1" x14ac:dyDescent="0.3">
      <c r="D803" s="47"/>
    </row>
    <row r="804" spans="4:4" ht="15.75" customHeight="1" x14ac:dyDescent="0.3">
      <c r="D804" s="47"/>
    </row>
    <row r="805" spans="4:4" ht="15.75" customHeight="1" x14ac:dyDescent="0.3">
      <c r="D805" s="47"/>
    </row>
    <row r="806" spans="4:4" ht="15.75" customHeight="1" x14ac:dyDescent="0.3">
      <c r="D806" s="47"/>
    </row>
    <row r="807" spans="4:4" ht="15.75" customHeight="1" x14ac:dyDescent="0.3">
      <c r="D807" s="47"/>
    </row>
    <row r="808" spans="4:4" ht="15.75" customHeight="1" x14ac:dyDescent="0.3">
      <c r="D808" s="47"/>
    </row>
    <row r="809" spans="4:4" ht="15.75" customHeight="1" x14ac:dyDescent="0.3">
      <c r="D809" s="47"/>
    </row>
    <row r="810" spans="4:4" ht="15.75" customHeight="1" x14ac:dyDescent="0.3">
      <c r="D810" s="47"/>
    </row>
    <row r="811" spans="4:4" ht="15.75" customHeight="1" x14ac:dyDescent="0.3">
      <c r="D811" s="47"/>
    </row>
    <row r="812" spans="4:4" ht="15.75" customHeight="1" x14ac:dyDescent="0.3">
      <c r="D812" s="47"/>
    </row>
    <row r="813" spans="4:4" ht="15.75" customHeight="1" x14ac:dyDescent="0.3">
      <c r="D813" s="47"/>
    </row>
    <row r="814" spans="4:4" ht="15.75" customHeight="1" x14ac:dyDescent="0.3">
      <c r="D814" s="47"/>
    </row>
    <row r="815" spans="4:4" ht="15.75" customHeight="1" x14ac:dyDescent="0.3">
      <c r="D815" s="47"/>
    </row>
    <row r="816" spans="4:4" ht="15.75" customHeight="1" x14ac:dyDescent="0.3">
      <c r="D816" s="47"/>
    </row>
    <row r="817" spans="4:4" ht="15.75" customHeight="1" x14ac:dyDescent="0.3">
      <c r="D817" s="47"/>
    </row>
    <row r="818" spans="4:4" ht="15.75" customHeight="1" x14ac:dyDescent="0.3">
      <c r="D818" s="47"/>
    </row>
    <row r="819" spans="4:4" ht="15.75" customHeight="1" x14ac:dyDescent="0.3">
      <c r="D819" s="47"/>
    </row>
    <row r="820" spans="4:4" ht="15.75" customHeight="1" x14ac:dyDescent="0.3">
      <c r="D820" s="47"/>
    </row>
    <row r="821" spans="4:4" ht="15.75" customHeight="1" x14ac:dyDescent="0.3">
      <c r="D821" s="47"/>
    </row>
    <row r="822" spans="4:4" ht="15.75" customHeight="1" x14ac:dyDescent="0.3">
      <c r="D822" s="47"/>
    </row>
    <row r="823" spans="4:4" ht="15.75" customHeight="1" x14ac:dyDescent="0.3">
      <c r="D823" s="47"/>
    </row>
    <row r="824" spans="4:4" ht="15.75" customHeight="1" x14ac:dyDescent="0.3">
      <c r="D824" s="47"/>
    </row>
    <row r="825" spans="4:4" ht="15.75" customHeight="1" x14ac:dyDescent="0.3">
      <c r="D825" s="47"/>
    </row>
    <row r="826" spans="4:4" ht="15.75" customHeight="1" x14ac:dyDescent="0.3">
      <c r="D826" s="47"/>
    </row>
    <row r="827" spans="4:4" ht="15.75" customHeight="1" x14ac:dyDescent="0.3">
      <c r="D827" s="47"/>
    </row>
    <row r="828" spans="4:4" ht="15.75" customHeight="1" x14ac:dyDescent="0.3">
      <c r="D828" s="47"/>
    </row>
    <row r="829" spans="4:4" ht="15.75" customHeight="1" x14ac:dyDescent="0.3">
      <c r="D829" s="47"/>
    </row>
    <row r="830" spans="4:4" ht="15.75" customHeight="1" x14ac:dyDescent="0.3">
      <c r="D830" s="47"/>
    </row>
    <row r="831" spans="4:4" ht="15.75" customHeight="1" x14ac:dyDescent="0.3">
      <c r="D831" s="47"/>
    </row>
    <row r="832" spans="4:4" ht="15.75" customHeight="1" x14ac:dyDescent="0.3">
      <c r="D832" s="47"/>
    </row>
    <row r="833" spans="4:4" ht="15.75" customHeight="1" x14ac:dyDescent="0.3">
      <c r="D833" s="47"/>
    </row>
    <row r="834" spans="4:4" ht="15.75" customHeight="1" x14ac:dyDescent="0.3">
      <c r="D834" s="47"/>
    </row>
    <row r="835" spans="4:4" ht="15.75" customHeight="1" x14ac:dyDescent="0.3">
      <c r="D835" s="47"/>
    </row>
    <row r="836" spans="4:4" ht="15.75" customHeight="1" x14ac:dyDescent="0.3">
      <c r="D836" s="47"/>
    </row>
    <row r="837" spans="4:4" ht="15.75" customHeight="1" x14ac:dyDescent="0.3">
      <c r="D837" s="47"/>
    </row>
    <row r="838" spans="4:4" ht="15.75" customHeight="1" x14ac:dyDescent="0.3">
      <c r="D838" s="47"/>
    </row>
    <row r="839" spans="4:4" ht="15.75" customHeight="1" x14ac:dyDescent="0.3">
      <c r="D839" s="47"/>
    </row>
    <row r="840" spans="4:4" ht="15.75" customHeight="1" x14ac:dyDescent="0.3">
      <c r="D840" s="47"/>
    </row>
    <row r="841" spans="4:4" ht="15.75" customHeight="1" x14ac:dyDescent="0.3">
      <c r="D841" s="47"/>
    </row>
    <row r="842" spans="4:4" ht="15.75" customHeight="1" x14ac:dyDescent="0.3">
      <c r="D842" s="47"/>
    </row>
    <row r="843" spans="4:4" ht="15.75" customHeight="1" x14ac:dyDescent="0.3">
      <c r="D843" s="47"/>
    </row>
    <row r="844" spans="4:4" ht="15.75" customHeight="1" x14ac:dyDescent="0.3">
      <c r="D844" s="47"/>
    </row>
    <row r="845" spans="4:4" ht="15.75" customHeight="1" x14ac:dyDescent="0.3">
      <c r="D845" s="47"/>
    </row>
    <row r="846" spans="4:4" ht="15.75" customHeight="1" x14ac:dyDescent="0.3">
      <c r="D846" s="47"/>
    </row>
    <row r="847" spans="4:4" ht="15.75" customHeight="1" x14ac:dyDescent="0.3">
      <c r="D847" s="47"/>
    </row>
    <row r="848" spans="4:4" ht="15.75" customHeight="1" x14ac:dyDescent="0.3">
      <c r="D848" s="47"/>
    </row>
    <row r="849" spans="4:4" ht="15.75" customHeight="1" x14ac:dyDescent="0.3">
      <c r="D849" s="47"/>
    </row>
    <row r="850" spans="4:4" ht="15.75" customHeight="1" x14ac:dyDescent="0.3">
      <c r="D850" s="47"/>
    </row>
    <row r="851" spans="4:4" ht="15.75" customHeight="1" x14ac:dyDescent="0.3">
      <c r="D851" s="47"/>
    </row>
    <row r="852" spans="4:4" ht="15.75" customHeight="1" x14ac:dyDescent="0.3">
      <c r="D852" s="47"/>
    </row>
    <row r="853" spans="4:4" ht="15.75" customHeight="1" x14ac:dyDescent="0.3">
      <c r="D853" s="47"/>
    </row>
    <row r="854" spans="4:4" ht="15.75" customHeight="1" x14ac:dyDescent="0.3">
      <c r="D854" s="47"/>
    </row>
    <row r="855" spans="4:4" ht="15.75" customHeight="1" x14ac:dyDescent="0.3">
      <c r="D855" s="47"/>
    </row>
    <row r="856" spans="4:4" ht="15.75" customHeight="1" x14ac:dyDescent="0.3">
      <c r="D856" s="47"/>
    </row>
    <row r="857" spans="4:4" ht="15.75" customHeight="1" x14ac:dyDescent="0.3">
      <c r="D857" s="47"/>
    </row>
    <row r="858" spans="4:4" ht="15.75" customHeight="1" x14ac:dyDescent="0.3">
      <c r="D858" s="47"/>
    </row>
    <row r="859" spans="4:4" ht="15.75" customHeight="1" x14ac:dyDescent="0.3">
      <c r="D859" s="47"/>
    </row>
    <row r="860" spans="4:4" ht="15.75" customHeight="1" x14ac:dyDescent="0.3">
      <c r="D860" s="47"/>
    </row>
    <row r="861" spans="4:4" ht="15.75" customHeight="1" x14ac:dyDescent="0.3">
      <c r="D861" s="47"/>
    </row>
    <row r="862" spans="4:4" ht="15.75" customHeight="1" x14ac:dyDescent="0.3">
      <c r="D862" s="47"/>
    </row>
    <row r="863" spans="4:4" ht="15.75" customHeight="1" x14ac:dyDescent="0.3">
      <c r="D863" s="47"/>
    </row>
    <row r="864" spans="4:4" ht="15.75" customHeight="1" x14ac:dyDescent="0.3">
      <c r="D864" s="47"/>
    </row>
    <row r="865" spans="4:4" ht="15.75" customHeight="1" x14ac:dyDescent="0.3">
      <c r="D865" s="47"/>
    </row>
    <row r="866" spans="4:4" ht="15.75" customHeight="1" x14ac:dyDescent="0.3">
      <c r="D866" s="47"/>
    </row>
    <row r="867" spans="4:4" ht="15.75" customHeight="1" x14ac:dyDescent="0.3">
      <c r="D867" s="47"/>
    </row>
    <row r="868" spans="4:4" ht="15.75" customHeight="1" x14ac:dyDescent="0.3">
      <c r="D868" s="47"/>
    </row>
    <row r="869" spans="4:4" ht="15.75" customHeight="1" x14ac:dyDescent="0.3">
      <c r="D869" s="47"/>
    </row>
    <row r="870" spans="4:4" ht="15.75" customHeight="1" x14ac:dyDescent="0.3">
      <c r="D870" s="47"/>
    </row>
    <row r="871" spans="4:4" ht="15.75" customHeight="1" x14ac:dyDescent="0.3">
      <c r="D871" s="47"/>
    </row>
    <row r="872" spans="4:4" ht="15.75" customHeight="1" x14ac:dyDescent="0.3">
      <c r="D872" s="47"/>
    </row>
    <row r="873" spans="4:4" ht="15.75" customHeight="1" x14ac:dyDescent="0.3">
      <c r="D873" s="47"/>
    </row>
    <row r="874" spans="4:4" ht="15.75" customHeight="1" x14ac:dyDescent="0.3">
      <c r="D874" s="47"/>
    </row>
    <row r="875" spans="4:4" ht="15.75" customHeight="1" x14ac:dyDescent="0.3">
      <c r="D875" s="47"/>
    </row>
    <row r="876" spans="4:4" ht="15.75" customHeight="1" x14ac:dyDescent="0.3">
      <c r="D876" s="47"/>
    </row>
    <row r="877" spans="4:4" ht="15.75" customHeight="1" x14ac:dyDescent="0.3">
      <c r="D877" s="47"/>
    </row>
    <row r="878" spans="4:4" ht="15.75" customHeight="1" x14ac:dyDescent="0.3">
      <c r="D878" s="47"/>
    </row>
    <row r="879" spans="4:4" ht="15.75" customHeight="1" x14ac:dyDescent="0.3">
      <c r="D879" s="47"/>
    </row>
    <row r="880" spans="4:4" ht="15.75" customHeight="1" x14ac:dyDescent="0.3">
      <c r="D880" s="47"/>
    </row>
    <row r="881" spans="4:4" ht="15.75" customHeight="1" x14ac:dyDescent="0.3">
      <c r="D881" s="47"/>
    </row>
    <row r="882" spans="4:4" ht="15.75" customHeight="1" x14ac:dyDescent="0.3">
      <c r="D882" s="47"/>
    </row>
    <row r="883" spans="4:4" ht="15.75" customHeight="1" x14ac:dyDescent="0.3">
      <c r="D883" s="47"/>
    </row>
    <row r="884" spans="4:4" ht="15.75" customHeight="1" x14ac:dyDescent="0.3">
      <c r="D884" s="47"/>
    </row>
    <row r="885" spans="4:4" ht="15.75" customHeight="1" x14ac:dyDescent="0.3">
      <c r="D885" s="47"/>
    </row>
    <row r="886" spans="4:4" ht="15.75" customHeight="1" x14ac:dyDescent="0.3">
      <c r="D886" s="47"/>
    </row>
    <row r="887" spans="4:4" ht="15.75" customHeight="1" x14ac:dyDescent="0.3">
      <c r="D887" s="47"/>
    </row>
    <row r="888" spans="4:4" ht="15.75" customHeight="1" x14ac:dyDescent="0.3">
      <c r="D888" s="47"/>
    </row>
    <row r="889" spans="4:4" ht="15.75" customHeight="1" x14ac:dyDescent="0.3">
      <c r="D889" s="47"/>
    </row>
    <row r="890" spans="4:4" ht="15.75" customHeight="1" x14ac:dyDescent="0.3">
      <c r="D890" s="47"/>
    </row>
    <row r="891" spans="4:4" ht="15.75" customHeight="1" x14ac:dyDescent="0.3">
      <c r="D891" s="47"/>
    </row>
    <row r="892" spans="4:4" ht="15.75" customHeight="1" x14ac:dyDescent="0.3">
      <c r="D892" s="47"/>
    </row>
    <row r="893" spans="4:4" ht="15.75" customHeight="1" x14ac:dyDescent="0.3">
      <c r="D893" s="47"/>
    </row>
    <row r="894" spans="4:4" ht="15.75" customHeight="1" x14ac:dyDescent="0.3">
      <c r="D894" s="47"/>
    </row>
    <row r="895" spans="4:4" ht="15.75" customHeight="1" x14ac:dyDescent="0.3">
      <c r="D895" s="47"/>
    </row>
    <row r="896" spans="4:4" ht="15.75" customHeight="1" x14ac:dyDescent="0.3">
      <c r="D896" s="47"/>
    </row>
    <row r="897" spans="4:4" ht="15.75" customHeight="1" x14ac:dyDescent="0.3">
      <c r="D897" s="47"/>
    </row>
    <row r="898" spans="4:4" ht="15.75" customHeight="1" x14ac:dyDescent="0.3">
      <c r="D898" s="47"/>
    </row>
    <row r="899" spans="4:4" ht="15.75" customHeight="1" x14ac:dyDescent="0.3">
      <c r="D899" s="47"/>
    </row>
    <row r="900" spans="4:4" ht="15.75" customHeight="1" x14ac:dyDescent="0.3">
      <c r="D900" s="47"/>
    </row>
    <row r="901" spans="4:4" ht="15.75" customHeight="1" x14ac:dyDescent="0.3">
      <c r="D901" s="47"/>
    </row>
    <row r="902" spans="4:4" ht="15.75" customHeight="1" x14ac:dyDescent="0.3">
      <c r="D902" s="47"/>
    </row>
    <row r="903" spans="4:4" ht="15.75" customHeight="1" x14ac:dyDescent="0.3">
      <c r="D903" s="47"/>
    </row>
    <row r="904" spans="4:4" ht="15.75" customHeight="1" x14ac:dyDescent="0.3">
      <c r="D904" s="47"/>
    </row>
    <row r="905" spans="4:4" ht="15.75" customHeight="1" x14ac:dyDescent="0.3">
      <c r="D905" s="47"/>
    </row>
    <row r="906" spans="4:4" ht="15.75" customHeight="1" x14ac:dyDescent="0.3">
      <c r="D906" s="47"/>
    </row>
    <row r="907" spans="4:4" ht="15.75" customHeight="1" x14ac:dyDescent="0.3">
      <c r="D907" s="47"/>
    </row>
    <row r="908" spans="4:4" ht="15.75" customHeight="1" x14ac:dyDescent="0.3">
      <c r="D908" s="47"/>
    </row>
    <row r="909" spans="4:4" ht="15.75" customHeight="1" x14ac:dyDescent="0.3">
      <c r="D909" s="47"/>
    </row>
    <row r="910" spans="4:4" ht="15.75" customHeight="1" x14ac:dyDescent="0.3">
      <c r="D910" s="47"/>
    </row>
    <row r="911" spans="4:4" ht="15.75" customHeight="1" x14ac:dyDescent="0.3">
      <c r="D911" s="47"/>
    </row>
    <row r="912" spans="4:4" ht="15.75" customHeight="1" x14ac:dyDescent="0.3">
      <c r="D912" s="47"/>
    </row>
    <row r="913" spans="4:4" ht="15.75" customHeight="1" x14ac:dyDescent="0.3">
      <c r="D913" s="47"/>
    </row>
    <row r="914" spans="4:4" ht="15.75" customHeight="1" x14ac:dyDescent="0.3">
      <c r="D914" s="47"/>
    </row>
    <row r="915" spans="4:4" ht="15.75" customHeight="1" x14ac:dyDescent="0.3">
      <c r="D915" s="47"/>
    </row>
    <row r="916" spans="4:4" ht="15.75" customHeight="1" x14ac:dyDescent="0.3">
      <c r="D916" s="47"/>
    </row>
    <row r="917" spans="4:4" ht="15.75" customHeight="1" x14ac:dyDescent="0.3">
      <c r="D917" s="47"/>
    </row>
    <row r="918" spans="4:4" ht="15.75" customHeight="1" x14ac:dyDescent="0.3">
      <c r="D918" s="47"/>
    </row>
    <row r="919" spans="4:4" ht="15.75" customHeight="1" x14ac:dyDescent="0.3">
      <c r="D919" s="47"/>
    </row>
    <row r="920" spans="4:4" ht="15.75" customHeight="1" x14ac:dyDescent="0.3">
      <c r="D920" s="47"/>
    </row>
    <row r="921" spans="4:4" ht="15.75" customHeight="1" x14ac:dyDescent="0.3">
      <c r="D921" s="47"/>
    </row>
    <row r="922" spans="4:4" ht="15.75" customHeight="1" x14ac:dyDescent="0.3">
      <c r="D922" s="47"/>
    </row>
    <row r="923" spans="4:4" ht="15.75" customHeight="1" x14ac:dyDescent="0.3">
      <c r="D923" s="47"/>
    </row>
    <row r="924" spans="4:4" ht="15.75" customHeight="1" x14ac:dyDescent="0.3">
      <c r="D924" s="47"/>
    </row>
    <row r="925" spans="4:4" ht="15.75" customHeight="1" x14ac:dyDescent="0.3">
      <c r="D925" s="47"/>
    </row>
    <row r="926" spans="4:4" ht="15.75" customHeight="1" x14ac:dyDescent="0.3">
      <c r="D926" s="47"/>
    </row>
    <row r="927" spans="4:4" ht="15.75" customHeight="1" x14ac:dyDescent="0.3">
      <c r="D927" s="47"/>
    </row>
    <row r="928" spans="4:4" ht="15.75" customHeight="1" x14ac:dyDescent="0.3">
      <c r="D928" s="47"/>
    </row>
    <row r="929" spans="4:4" ht="15.75" customHeight="1" x14ac:dyDescent="0.3">
      <c r="D929" s="47"/>
    </row>
    <row r="930" spans="4:4" ht="15.75" customHeight="1" x14ac:dyDescent="0.3">
      <c r="D930" s="47"/>
    </row>
    <row r="931" spans="4:4" ht="15.75" customHeight="1" x14ac:dyDescent="0.3">
      <c r="D931" s="47"/>
    </row>
    <row r="932" spans="4:4" ht="15.75" customHeight="1" x14ac:dyDescent="0.3">
      <c r="D932" s="47"/>
    </row>
    <row r="933" spans="4:4" ht="15.75" customHeight="1" x14ac:dyDescent="0.3">
      <c r="D933" s="47"/>
    </row>
    <row r="934" spans="4:4" ht="15.75" customHeight="1" x14ac:dyDescent="0.3">
      <c r="D934" s="47"/>
    </row>
    <row r="935" spans="4:4" ht="15.75" customHeight="1" x14ac:dyDescent="0.3">
      <c r="D935" s="47"/>
    </row>
    <row r="936" spans="4:4" ht="15.75" customHeight="1" x14ac:dyDescent="0.3">
      <c r="D936" s="47"/>
    </row>
    <row r="937" spans="4:4" ht="15.75" customHeight="1" x14ac:dyDescent="0.3">
      <c r="D937" s="47"/>
    </row>
    <row r="938" spans="4:4" ht="15.75" customHeight="1" x14ac:dyDescent="0.3">
      <c r="D938" s="47"/>
    </row>
    <row r="939" spans="4:4" ht="15.75" customHeight="1" x14ac:dyDescent="0.3">
      <c r="D939" s="47"/>
    </row>
    <row r="940" spans="4:4" ht="15.75" customHeight="1" x14ac:dyDescent="0.3">
      <c r="D940" s="47"/>
    </row>
    <row r="941" spans="4:4" ht="15.75" customHeight="1" x14ac:dyDescent="0.3">
      <c r="D941" s="47"/>
    </row>
    <row r="942" spans="4:4" ht="15.75" customHeight="1" x14ac:dyDescent="0.3">
      <c r="D942" s="47"/>
    </row>
    <row r="943" spans="4:4" ht="15.75" customHeight="1" x14ac:dyDescent="0.3">
      <c r="D943" s="47"/>
    </row>
    <row r="944" spans="4:4" ht="15.75" customHeight="1" x14ac:dyDescent="0.3">
      <c r="D944" s="47"/>
    </row>
    <row r="945" spans="4:4" ht="15.75" customHeight="1" x14ac:dyDescent="0.3">
      <c r="D945" s="47"/>
    </row>
    <row r="946" spans="4:4" ht="15.75" customHeight="1" x14ac:dyDescent="0.3">
      <c r="D946" s="47"/>
    </row>
    <row r="947" spans="4:4" ht="15.75" customHeight="1" x14ac:dyDescent="0.3">
      <c r="D947" s="47"/>
    </row>
    <row r="948" spans="4:4" ht="15.75" customHeight="1" x14ac:dyDescent="0.3">
      <c r="D948" s="47"/>
    </row>
    <row r="949" spans="4:4" ht="15.75" customHeight="1" x14ac:dyDescent="0.3">
      <c r="D949" s="47"/>
    </row>
    <row r="950" spans="4:4" ht="15.75" customHeight="1" x14ac:dyDescent="0.3">
      <c r="D950" s="47"/>
    </row>
    <row r="951" spans="4:4" ht="15.75" customHeight="1" x14ac:dyDescent="0.3">
      <c r="D951" s="47"/>
    </row>
    <row r="952" spans="4:4" ht="15.75" customHeight="1" x14ac:dyDescent="0.3">
      <c r="D952" s="47"/>
    </row>
    <row r="953" spans="4:4" ht="15.75" customHeight="1" x14ac:dyDescent="0.3">
      <c r="D953" s="47"/>
    </row>
    <row r="954" spans="4:4" ht="15.75" customHeight="1" x14ac:dyDescent="0.3">
      <c r="D954" s="47"/>
    </row>
    <row r="955" spans="4:4" ht="15.75" customHeight="1" x14ac:dyDescent="0.3">
      <c r="D955" s="47"/>
    </row>
    <row r="956" spans="4:4" ht="15.75" customHeight="1" x14ac:dyDescent="0.3">
      <c r="D956" s="47"/>
    </row>
    <row r="957" spans="4:4" ht="15.75" customHeight="1" x14ac:dyDescent="0.3">
      <c r="D957" s="47"/>
    </row>
    <row r="958" spans="4:4" ht="15.75" customHeight="1" x14ac:dyDescent="0.3">
      <c r="D958" s="47"/>
    </row>
    <row r="959" spans="4:4" ht="15.75" customHeight="1" x14ac:dyDescent="0.3">
      <c r="D959" s="47"/>
    </row>
    <row r="960" spans="4:4" ht="15.75" customHeight="1" x14ac:dyDescent="0.3">
      <c r="D960" s="47"/>
    </row>
    <row r="961" spans="4:4" ht="15.75" customHeight="1" x14ac:dyDescent="0.3">
      <c r="D961" s="47"/>
    </row>
    <row r="962" spans="4:4" ht="15.75" customHeight="1" x14ac:dyDescent="0.3">
      <c r="D962" s="47"/>
    </row>
    <row r="963" spans="4:4" ht="15.75" customHeight="1" x14ac:dyDescent="0.3">
      <c r="D963" s="47"/>
    </row>
    <row r="964" spans="4:4" ht="15.75" customHeight="1" x14ac:dyDescent="0.3">
      <c r="D964" s="47"/>
    </row>
    <row r="965" spans="4:4" ht="15.75" customHeight="1" x14ac:dyDescent="0.3">
      <c r="D965" s="47"/>
    </row>
    <row r="966" spans="4:4" ht="15.75" customHeight="1" x14ac:dyDescent="0.3">
      <c r="D966" s="47"/>
    </row>
    <row r="967" spans="4:4" ht="15.75" customHeight="1" x14ac:dyDescent="0.3">
      <c r="D967" s="47"/>
    </row>
    <row r="968" spans="4:4" ht="15.75" customHeight="1" x14ac:dyDescent="0.3">
      <c r="D968" s="47"/>
    </row>
    <row r="969" spans="4:4" ht="15.75" customHeight="1" x14ac:dyDescent="0.3">
      <c r="D969" s="47"/>
    </row>
    <row r="970" spans="4:4" ht="15.75" customHeight="1" x14ac:dyDescent="0.3">
      <c r="D970" s="47"/>
    </row>
    <row r="971" spans="4:4" ht="15.75" customHeight="1" x14ac:dyDescent="0.3">
      <c r="D971" s="47"/>
    </row>
    <row r="972" spans="4:4" ht="15.75" customHeight="1" x14ac:dyDescent="0.3">
      <c r="D972" s="47"/>
    </row>
    <row r="973" spans="4:4" ht="15.75" customHeight="1" x14ac:dyDescent="0.3">
      <c r="D973" s="47"/>
    </row>
    <row r="974" spans="4:4" ht="15.75" customHeight="1" x14ac:dyDescent="0.3">
      <c r="D974" s="47"/>
    </row>
    <row r="975" spans="4:4" ht="15.75" customHeight="1" x14ac:dyDescent="0.3">
      <c r="D975" s="47"/>
    </row>
    <row r="976" spans="4:4" ht="15.75" customHeight="1" x14ac:dyDescent="0.3">
      <c r="D976" s="47"/>
    </row>
    <row r="977" spans="4:4" ht="15.75" customHeight="1" x14ac:dyDescent="0.3">
      <c r="D977" s="47"/>
    </row>
    <row r="978" spans="4:4" ht="15.75" customHeight="1" x14ac:dyDescent="0.3">
      <c r="D978" s="47"/>
    </row>
    <row r="979" spans="4:4" ht="15.75" customHeight="1" x14ac:dyDescent="0.3">
      <c r="D979" s="47"/>
    </row>
    <row r="980" spans="4:4" ht="15.75" customHeight="1" x14ac:dyDescent="0.3">
      <c r="D980" s="47"/>
    </row>
    <row r="981" spans="4:4" ht="15.75" customHeight="1" x14ac:dyDescent="0.3">
      <c r="D981" s="47"/>
    </row>
    <row r="982" spans="4:4" ht="15.75" customHeight="1" x14ac:dyDescent="0.3">
      <c r="D982" s="47"/>
    </row>
    <row r="983" spans="4:4" ht="15.75" customHeight="1" x14ac:dyDescent="0.3">
      <c r="D983" s="47"/>
    </row>
    <row r="984" spans="4:4" ht="15.75" customHeight="1" x14ac:dyDescent="0.3">
      <c r="D984" s="47"/>
    </row>
    <row r="985" spans="4:4" ht="15.75" customHeight="1" x14ac:dyDescent="0.3">
      <c r="D985" s="47"/>
    </row>
    <row r="986" spans="4:4" ht="15.75" customHeight="1" x14ac:dyDescent="0.3">
      <c r="D986" s="47"/>
    </row>
    <row r="987" spans="4:4" ht="15.75" customHeight="1" x14ac:dyDescent="0.3">
      <c r="D987" s="47"/>
    </row>
    <row r="988" spans="4:4" ht="15.75" customHeight="1" x14ac:dyDescent="0.3">
      <c r="D988" s="47"/>
    </row>
    <row r="989" spans="4:4" ht="15.75" customHeight="1" x14ac:dyDescent="0.3">
      <c r="D989" s="47"/>
    </row>
    <row r="990" spans="4:4" ht="15.75" customHeight="1" x14ac:dyDescent="0.3">
      <c r="D990" s="47"/>
    </row>
    <row r="991" spans="4:4" ht="15.75" customHeight="1" x14ac:dyDescent="0.3">
      <c r="D991" s="47"/>
    </row>
    <row r="992" spans="4:4" ht="15.75" customHeight="1" x14ac:dyDescent="0.3">
      <c r="D992" s="47"/>
    </row>
    <row r="993" spans="4:4" ht="15.75" customHeight="1" x14ac:dyDescent="0.3">
      <c r="D993" s="47"/>
    </row>
  </sheetData>
  <autoFilter ref="A5:D179" xr:uid="{00000000-0009-0000-0000-000002000000}">
    <filterColumn colId="2">
      <filters>
        <filter val="POLLO"/>
      </filters>
    </filterColumn>
    <sortState xmlns:xlrd2="http://schemas.microsoft.com/office/spreadsheetml/2017/richdata2" ref="A6:D51">
      <sortCondition ref="A5:A51"/>
    </sortState>
  </autoFilter>
  <mergeCells count="3">
    <mergeCell ref="A1:D1"/>
    <mergeCell ref="A2:D2"/>
    <mergeCell ref="A3:D3"/>
  </mergeCells>
  <dataValidations count="2">
    <dataValidation type="list" allowBlank="1" showErrorMessage="1" sqref="C6:C44" xr:uid="{00000000-0002-0000-0200-000000000000}">
      <formula1>"CANAL,POLLO"</formula1>
    </dataValidation>
    <dataValidation type="list" allowBlank="1" showErrorMessage="1" sqref="B142 B49:B51 B56:B57 B59 B63 B76:B77 B79 B84:B85 B88 B97:B98 B100:B101 B106 B110:B112 B118 B123:B125 B129:B130 B133 B139 B6:B44 B67:B70 B72 B90 B103 B116 B137" xr:uid="{00000000-0002-0000-0200-000001000000}">
      <formula1>"AFRICANA,ASIATICA,AM,CUARENTENA,INFANTIL ,HOSPITAL ,AMERICANA,AMERICANA "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2C98-2B66-402A-8E3B-8E51AB1115D1}">
  <dimension ref="A3:B7"/>
  <sheetViews>
    <sheetView workbookViewId="0">
      <selection activeCell="C10" sqref="C10"/>
    </sheetView>
  </sheetViews>
  <sheetFormatPr baseColWidth="10" defaultRowHeight="14.4" x14ac:dyDescent="0.3"/>
  <cols>
    <col min="1" max="1" width="17.5546875" bestFit="1" customWidth="1"/>
    <col min="2" max="2" width="20.33203125" bestFit="1" customWidth="1"/>
  </cols>
  <sheetData>
    <row r="3" spans="1:2" x14ac:dyDescent="0.3">
      <c r="A3" s="186" t="s">
        <v>236</v>
      </c>
      <c r="B3" s="187" t="s">
        <v>241</v>
      </c>
    </row>
    <row r="4" spans="1:2" x14ac:dyDescent="0.3">
      <c r="A4" s="188" t="s">
        <v>88</v>
      </c>
      <c r="B4" s="187">
        <v>39</v>
      </c>
    </row>
    <row r="5" spans="1:2" x14ac:dyDescent="0.3">
      <c r="A5" s="189" t="s">
        <v>39</v>
      </c>
      <c r="B5" s="195">
        <v>25</v>
      </c>
    </row>
    <row r="6" spans="1:2" x14ac:dyDescent="0.3">
      <c r="A6" s="189" t="s">
        <v>41</v>
      </c>
      <c r="B6" s="195">
        <v>110</v>
      </c>
    </row>
    <row r="7" spans="1:2" x14ac:dyDescent="0.3">
      <c r="A7" s="190" t="s">
        <v>235</v>
      </c>
      <c r="B7" s="185">
        <v>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1C2B-2F09-46D8-B09D-D802125C8847}">
  <dimension ref="A3:B22"/>
  <sheetViews>
    <sheetView workbookViewId="0">
      <selection activeCell="G12" sqref="G12"/>
    </sheetView>
  </sheetViews>
  <sheetFormatPr baseColWidth="10" defaultRowHeight="14.4" x14ac:dyDescent="0.3"/>
  <cols>
    <col min="1" max="1" width="24.44140625" bestFit="1" customWidth="1"/>
    <col min="2" max="2" width="18.88671875" bestFit="1" customWidth="1"/>
  </cols>
  <sheetData>
    <row r="3" spans="1:2" x14ac:dyDescent="0.3">
      <c r="A3" s="186" t="s">
        <v>236</v>
      </c>
      <c r="B3" s="187" t="s">
        <v>237</v>
      </c>
    </row>
    <row r="4" spans="1:2" x14ac:dyDescent="0.3">
      <c r="A4" s="188" t="s">
        <v>44</v>
      </c>
      <c r="B4" s="187">
        <v>758</v>
      </c>
    </row>
    <row r="5" spans="1:2" x14ac:dyDescent="0.3">
      <c r="A5" s="189" t="s">
        <v>109</v>
      </c>
      <c r="B5" s="195">
        <v>6</v>
      </c>
    </row>
    <row r="6" spans="1:2" x14ac:dyDescent="0.3">
      <c r="A6" s="189" t="s">
        <v>97</v>
      </c>
      <c r="B6" s="195">
        <v>21</v>
      </c>
    </row>
    <row r="7" spans="1:2" x14ac:dyDescent="0.3">
      <c r="A7" s="189" t="s">
        <v>107</v>
      </c>
      <c r="B7" s="195">
        <v>4</v>
      </c>
    </row>
    <row r="8" spans="1:2" x14ac:dyDescent="0.3">
      <c r="A8" s="189" t="s">
        <v>101</v>
      </c>
      <c r="B8" s="195">
        <v>23</v>
      </c>
    </row>
    <row r="9" spans="1:2" x14ac:dyDescent="0.3">
      <c r="A9" s="189" t="s">
        <v>108</v>
      </c>
      <c r="B9" s="195">
        <v>8</v>
      </c>
    </row>
    <row r="10" spans="1:2" x14ac:dyDescent="0.3">
      <c r="A10" s="189" t="s">
        <v>100</v>
      </c>
      <c r="B10" s="195">
        <v>22</v>
      </c>
    </row>
    <row r="11" spans="1:2" x14ac:dyDescent="0.3">
      <c r="A11" s="189" t="s">
        <v>215</v>
      </c>
      <c r="B11" s="195">
        <v>1</v>
      </c>
    </row>
    <row r="12" spans="1:2" x14ac:dyDescent="0.3">
      <c r="A12" s="189" t="s">
        <v>106</v>
      </c>
      <c r="B12" s="195">
        <v>1</v>
      </c>
    </row>
    <row r="13" spans="1:2" x14ac:dyDescent="0.3">
      <c r="A13" s="189" t="s">
        <v>105</v>
      </c>
      <c r="B13" s="195">
        <v>1</v>
      </c>
    </row>
    <row r="14" spans="1:2" x14ac:dyDescent="0.3">
      <c r="A14" s="189" t="s">
        <v>103</v>
      </c>
      <c r="B14" s="195">
        <v>3</v>
      </c>
    </row>
    <row r="15" spans="1:2" x14ac:dyDescent="0.3">
      <c r="A15" s="189" t="s">
        <v>98</v>
      </c>
      <c r="B15" s="195">
        <v>25</v>
      </c>
    </row>
    <row r="16" spans="1:2" x14ac:dyDescent="0.3">
      <c r="A16" s="189" t="s">
        <v>99</v>
      </c>
      <c r="B16" s="195">
        <v>40</v>
      </c>
    </row>
    <row r="17" spans="1:2" x14ac:dyDescent="0.3">
      <c r="A17" s="189" t="s">
        <v>110</v>
      </c>
      <c r="B17" s="195">
        <v>4</v>
      </c>
    </row>
    <row r="18" spans="1:2" x14ac:dyDescent="0.3">
      <c r="A18" s="189" t="s">
        <v>219</v>
      </c>
      <c r="B18" s="195">
        <v>3</v>
      </c>
    </row>
    <row r="19" spans="1:2" x14ac:dyDescent="0.3">
      <c r="A19" s="189" t="s">
        <v>96</v>
      </c>
      <c r="B19" s="195">
        <v>2</v>
      </c>
    </row>
    <row r="20" spans="1:2" x14ac:dyDescent="0.3">
      <c r="A20" s="189" t="s">
        <v>54</v>
      </c>
      <c r="B20" s="195">
        <v>1</v>
      </c>
    </row>
    <row r="21" spans="1:2" x14ac:dyDescent="0.3">
      <c r="A21" s="189" t="s">
        <v>234</v>
      </c>
      <c r="B21" s="195"/>
    </row>
    <row r="22" spans="1:2" x14ac:dyDescent="0.3">
      <c r="A22" s="190" t="s">
        <v>235</v>
      </c>
      <c r="B22" s="185">
        <v>923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2"/>
  <sheetViews>
    <sheetView workbookViewId="0">
      <selection activeCell="F6" sqref="F6"/>
    </sheetView>
  </sheetViews>
  <sheetFormatPr baseColWidth="10" defaultColWidth="14.44140625" defaultRowHeight="15" customHeight="1" x14ac:dyDescent="0.3"/>
  <cols>
    <col min="1" max="1" width="11.44140625" customWidth="1"/>
    <col min="2" max="2" width="12.88671875" customWidth="1"/>
    <col min="3" max="3" width="43.109375" customWidth="1"/>
    <col min="4" max="4" width="9.44140625" customWidth="1"/>
    <col min="5" max="5" width="11.44140625" customWidth="1"/>
    <col min="6" max="6" width="35.109375" customWidth="1"/>
    <col min="7" max="7" width="24.44140625" bestFit="1" customWidth="1"/>
    <col min="8" max="8" width="18.88671875" bestFit="1" customWidth="1"/>
    <col min="9" max="24" width="11.44140625" customWidth="1"/>
  </cols>
  <sheetData>
    <row r="1" spans="1:8" ht="14.4" x14ac:dyDescent="0.3">
      <c r="A1" s="359" t="s">
        <v>0</v>
      </c>
      <c r="B1" s="358"/>
      <c r="C1" s="358"/>
      <c r="D1" s="358"/>
    </row>
    <row r="2" spans="1:8" ht="14.4" x14ac:dyDescent="0.3">
      <c r="A2" s="359" t="s">
        <v>82</v>
      </c>
      <c r="B2" s="358"/>
      <c r="C2" s="358"/>
      <c r="D2" s="358"/>
    </row>
    <row r="3" spans="1:8" ht="14.4" x14ac:dyDescent="0.3">
      <c r="A3" s="359" t="s">
        <v>95</v>
      </c>
      <c r="B3" s="358"/>
      <c r="C3" s="358"/>
      <c r="D3" s="358"/>
    </row>
    <row r="4" spans="1:8" ht="14.4" x14ac:dyDescent="0.3">
      <c r="A4" s="42"/>
      <c r="B4" s="28"/>
      <c r="C4" s="28"/>
      <c r="D4" s="27" t="s">
        <v>66</v>
      </c>
    </row>
    <row r="5" spans="1:8" ht="14.4" x14ac:dyDescent="0.3">
      <c r="A5" s="48" t="s">
        <v>84</v>
      </c>
      <c r="B5" s="49" t="s">
        <v>85</v>
      </c>
      <c r="C5" s="49" t="s">
        <v>67</v>
      </c>
      <c r="D5" s="50" t="s">
        <v>86</v>
      </c>
    </row>
    <row r="6" spans="1:8" ht="14.4" x14ac:dyDescent="0.3">
      <c r="A6" s="51">
        <v>46113</v>
      </c>
      <c r="B6" s="46" t="s">
        <v>92</v>
      </c>
      <c r="C6" s="46" t="s">
        <v>96</v>
      </c>
      <c r="D6" s="47">
        <v>2</v>
      </c>
    </row>
    <row r="7" spans="1:8" ht="14.4" x14ac:dyDescent="0.3">
      <c r="A7" s="51">
        <v>46113</v>
      </c>
      <c r="B7" s="46" t="s">
        <v>87</v>
      </c>
      <c r="C7" s="46" t="s">
        <v>44</v>
      </c>
      <c r="D7" s="47">
        <v>34</v>
      </c>
    </row>
    <row r="8" spans="1:8" ht="14.4" x14ac:dyDescent="0.3">
      <c r="A8" s="51">
        <v>46118</v>
      </c>
      <c r="B8" s="46" t="s">
        <v>94</v>
      </c>
      <c r="C8" s="46" t="s">
        <v>97</v>
      </c>
      <c r="D8" s="47">
        <v>4</v>
      </c>
      <c r="G8" s="186" t="s">
        <v>236</v>
      </c>
      <c r="H8" s="187" t="s">
        <v>237</v>
      </c>
    </row>
    <row r="9" spans="1:8" ht="14.4" x14ac:dyDescent="0.3">
      <c r="A9" s="51">
        <v>46118</v>
      </c>
      <c r="B9" s="46" t="s">
        <v>94</v>
      </c>
      <c r="C9" s="46" t="s">
        <v>98</v>
      </c>
      <c r="D9" s="47">
        <v>3</v>
      </c>
      <c r="G9" s="188" t="s">
        <v>44</v>
      </c>
      <c r="H9" s="187">
        <v>758</v>
      </c>
    </row>
    <row r="10" spans="1:8" ht="14.4" x14ac:dyDescent="0.3">
      <c r="A10" s="51">
        <v>46118</v>
      </c>
      <c r="B10" s="46" t="s">
        <v>94</v>
      </c>
      <c r="C10" s="46" t="s">
        <v>99</v>
      </c>
      <c r="D10" s="47">
        <v>3</v>
      </c>
      <c r="G10" s="189" t="s">
        <v>109</v>
      </c>
      <c r="H10" s="195">
        <v>6</v>
      </c>
    </row>
    <row r="11" spans="1:8" ht="14.4" x14ac:dyDescent="0.3">
      <c r="A11" s="51">
        <v>46118</v>
      </c>
      <c r="B11" s="46" t="s">
        <v>94</v>
      </c>
      <c r="C11" s="46" t="s">
        <v>100</v>
      </c>
      <c r="D11" s="47">
        <v>2</v>
      </c>
      <c r="G11" s="189" t="s">
        <v>97</v>
      </c>
      <c r="H11" s="195">
        <v>21</v>
      </c>
    </row>
    <row r="12" spans="1:8" ht="14.4" x14ac:dyDescent="0.3">
      <c r="A12" s="51">
        <v>46118</v>
      </c>
      <c r="B12" s="46" t="s">
        <v>92</v>
      </c>
      <c r="C12" s="46" t="s">
        <v>101</v>
      </c>
      <c r="D12" s="47">
        <v>1</v>
      </c>
      <c r="G12" s="189" t="s">
        <v>107</v>
      </c>
      <c r="H12" s="195">
        <v>4</v>
      </c>
    </row>
    <row r="13" spans="1:8" ht="14.4" x14ac:dyDescent="0.3">
      <c r="A13" s="51">
        <v>46119</v>
      </c>
      <c r="B13" s="46" t="s">
        <v>89</v>
      </c>
      <c r="C13" s="46" t="s">
        <v>44</v>
      </c>
      <c r="D13" s="47">
        <v>100</v>
      </c>
      <c r="G13" s="189" t="s">
        <v>101</v>
      </c>
      <c r="H13" s="195">
        <v>23</v>
      </c>
    </row>
    <row r="14" spans="1:8" ht="14.4" x14ac:dyDescent="0.3">
      <c r="A14" s="51">
        <v>46119</v>
      </c>
      <c r="B14" s="46" t="s">
        <v>87</v>
      </c>
      <c r="C14" s="46" t="s">
        <v>44</v>
      </c>
      <c r="D14" s="47">
        <v>40</v>
      </c>
      <c r="G14" s="189" t="s">
        <v>108</v>
      </c>
      <c r="H14" s="195">
        <v>8</v>
      </c>
    </row>
    <row r="15" spans="1:8" ht="14.4" x14ac:dyDescent="0.3">
      <c r="A15" s="51">
        <v>46119</v>
      </c>
      <c r="B15" s="46" t="s">
        <v>94</v>
      </c>
      <c r="C15" s="46" t="s">
        <v>44</v>
      </c>
      <c r="D15" s="47">
        <v>60</v>
      </c>
      <c r="G15" s="189" t="s">
        <v>100</v>
      </c>
      <c r="H15" s="195">
        <v>22</v>
      </c>
    </row>
    <row r="16" spans="1:8" ht="14.4" x14ac:dyDescent="0.3">
      <c r="A16" s="51">
        <v>46119</v>
      </c>
      <c r="B16" s="46" t="s">
        <v>102</v>
      </c>
      <c r="C16" s="52" t="s">
        <v>100</v>
      </c>
      <c r="D16" s="47">
        <v>1</v>
      </c>
      <c r="G16" s="189" t="s">
        <v>215</v>
      </c>
      <c r="H16" s="195">
        <v>1</v>
      </c>
    </row>
    <row r="17" spans="1:8" ht="14.4" x14ac:dyDescent="0.3">
      <c r="A17" s="51">
        <v>46119</v>
      </c>
      <c r="B17" s="46" t="s">
        <v>94</v>
      </c>
      <c r="C17" s="46" t="s">
        <v>98</v>
      </c>
      <c r="D17" s="47">
        <v>2</v>
      </c>
      <c r="G17" s="189" t="s">
        <v>106</v>
      </c>
      <c r="H17" s="195">
        <v>1</v>
      </c>
    </row>
    <row r="18" spans="1:8" ht="14.4" x14ac:dyDescent="0.3">
      <c r="A18" s="51">
        <v>46119</v>
      </c>
      <c r="B18" s="46" t="s">
        <v>94</v>
      </c>
      <c r="C18" s="46" t="s">
        <v>100</v>
      </c>
      <c r="D18" s="47">
        <v>2</v>
      </c>
      <c r="G18" s="189" t="s">
        <v>105</v>
      </c>
      <c r="H18" s="195">
        <v>1</v>
      </c>
    </row>
    <row r="19" spans="1:8" ht="14.4" x14ac:dyDescent="0.3">
      <c r="A19" s="51">
        <v>46119</v>
      </c>
      <c r="B19" s="46" t="s">
        <v>94</v>
      </c>
      <c r="C19" s="46" t="s">
        <v>97</v>
      </c>
      <c r="D19" s="47">
        <v>4</v>
      </c>
      <c r="G19" s="189" t="s">
        <v>103</v>
      </c>
      <c r="H19" s="195">
        <v>3</v>
      </c>
    </row>
    <row r="20" spans="1:8" ht="14.4" x14ac:dyDescent="0.3">
      <c r="A20" s="51">
        <v>46119</v>
      </c>
      <c r="B20" s="46" t="s">
        <v>94</v>
      </c>
      <c r="C20" s="46" t="s">
        <v>99</v>
      </c>
      <c r="D20" s="47">
        <v>4</v>
      </c>
      <c r="G20" s="189" t="s">
        <v>98</v>
      </c>
      <c r="H20" s="195">
        <v>25</v>
      </c>
    </row>
    <row r="21" spans="1:8" ht="15.75" customHeight="1" x14ac:dyDescent="0.3">
      <c r="A21" s="51">
        <v>46119</v>
      </c>
      <c r="B21" s="46" t="s">
        <v>94</v>
      </c>
      <c r="C21" s="46" t="s">
        <v>103</v>
      </c>
      <c r="D21" s="47">
        <v>1</v>
      </c>
      <c r="G21" s="189" t="s">
        <v>99</v>
      </c>
      <c r="H21" s="195">
        <v>40</v>
      </c>
    </row>
    <row r="22" spans="1:8" ht="15.75" customHeight="1" x14ac:dyDescent="0.3">
      <c r="A22" s="51">
        <v>46119</v>
      </c>
      <c r="B22" s="46" t="s">
        <v>87</v>
      </c>
      <c r="C22" s="46" t="s">
        <v>44</v>
      </c>
      <c r="D22" s="47">
        <v>20</v>
      </c>
      <c r="G22" s="189" t="s">
        <v>110</v>
      </c>
      <c r="H22" s="195">
        <v>4</v>
      </c>
    </row>
    <row r="23" spans="1:8" ht="15.75" customHeight="1" x14ac:dyDescent="0.3">
      <c r="A23" s="51">
        <v>46120</v>
      </c>
      <c r="B23" s="46" t="s">
        <v>92</v>
      </c>
      <c r="C23" s="46" t="s">
        <v>99</v>
      </c>
      <c r="D23" s="47">
        <v>1</v>
      </c>
      <c r="G23" s="189" t="s">
        <v>219</v>
      </c>
      <c r="H23" s="195">
        <v>3</v>
      </c>
    </row>
    <row r="24" spans="1:8" ht="15.75" customHeight="1" x14ac:dyDescent="0.3">
      <c r="A24" s="51">
        <v>46120</v>
      </c>
      <c r="B24" s="46" t="s">
        <v>102</v>
      </c>
      <c r="C24" s="46" t="s">
        <v>97</v>
      </c>
      <c r="D24" s="47">
        <v>1</v>
      </c>
      <c r="G24" s="189" t="s">
        <v>96</v>
      </c>
      <c r="H24" s="195">
        <v>2</v>
      </c>
    </row>
    <row r="25" spans="1:8" ht="15.75" customHeight="1" x14ac:dyDescent="0.3">
      <c r="A25" s="51">
        <v>46122</v>
      </c>
      <c r="B25" s="46" t="s">
        <v>104</v>
      </c>
      <c r="C25" s="46" t="s">
        <v>105</v>
      </c>
      <c r="D25" s="47">
        <v>1</v>
      </c>
      <c r="G25" s="189" t="s">
        <v>54</v>
      </c>
      <c r="H25" s="195">
        <v>1</v>
      </c>
    </row>
    <row r="26" spans="1:8" ht="15.75" customHeight="1" x14ac:dyDescent="0.3">
      <c r="A26" s="51">
        <v>46122</v>
      </c>
      <c r="B26" s="46" t="s">
        <v>104</v>
      </c>
      <c r="C26" s="46" t="s">
        <v>106</v>
      </c>
      <c r="D26" s="47">
        <v>1</v>
      </c>
      <c r="G26" s="189" t="s">
        <v>234</v>
      </c>
      <c r="H26" s="195"/>
    </row>
    <row r="27" spans="1:8" ht="15.75" customHeight="1" x14ac:dyDescent="0.3">
      <c r="A27" s="51">
        <v>46122</v>
      </c>
      <c r="B27" s="46" t="s">
        <v>104</v>
      </c>
      <c r="C27" s="46" t="s">
        <v>107</v>
      </c>
      <c r="D27" s="47">
        <v>1</v>
      </c>
      <c r="G27" s="190" t="s">
        <v>235</v>
      </c>
      <c r="H27" s="185">
        <v>923</v>
      </c>
    </row>
    <row r="28" spans="1:8" ht="15.75" customHeight="1" x14ac:dyDescent="0.3">
      <c r="A28" s="51">
        <v>46122</v>
      </c>
      <c r="B28" s="46" t="s">
        <v>104</v>
      </c>
      <c r="C28" s="46" t="s">
        <v>108</v>
      </c>
      <c r="D28" s="47">
        <v>2</v>
      </c>
    </row>
    <row r="29" spans="1:8" ht="15.75" customHeight="1" x14ac:dyDescent="0.3">
      <c r="A29" s="51">
        <v>46122</v>
      </c>
      <c r="B29" s="46" t="s">
        <v>104</v>
      </c>
      <c r="C29" s="46" t="s">
        <v>101</v>
      </c>
      <c r="D29" s="47">
        <v>2</v>
      </c>
    </row>
    <row r="30" spans="1:8" ht="15.75" customHeight="1" x14ac:dyDescent="0.3">
      <c r="A30" s="51">
        <v>46122</v>
      </c>
      <c r="B30" s="46" t="s">
        <v>104</v>
      </c>
      <c r="C30" s="46" t="s">
        <v>109</v>
      </c>
      <c r="D30" s="47">
        <v>1</v>
      </c>
    </row>
    <row r="31" spans="1:8" ht="15.75" customHeight="1" x14ac:dyDescent="0.3">
      <c r="A31" s="51">
        <v>46122</v>
      </c>
      <c r="B31" s="46" t="s">
        <v>104</v>
      </c>
      <c r="C31" s="46" t="s">
        <v>110</v>
      </c>
      <c r="D31" s="47">
        <v>1</v>
      </c>
    </row>
    <row r="32" spans="1:8" ht="15.75" customHeight="1" x14ac:dyDescent="0.3">
      <c r="A32" s="51">
        <v>46122</v>
      </c>
      <c r="B32" s="46" t="s">
        <v>104</v>
      </c>
      <c r="C32" s="46" t="s">
        <v>100</v>
      </c>
      <c r="D32" s="47">
        <v>1</v>
      </c>
    </row>
    <row r="33" spans="1:4" ht="15.75" customHeight="1" x14ac:dyDescent="0.3">
      <c r="A33" s="51">
        <v>46126</v>
      </c>
      <c r="B33" s="46" t="s">
        <v>87</v>
      </c>
      <c r="C33" s="46" t="s">
        <v>44</v>
      </c>
      <c r="D33" s="47">
        <v>20</v>
      </c>
    </row>
    <row r="34" spans="1:4" ht="15.75" customHeight="1" x14ac:dyDescent="0.3">
      <c r="A34" s="51">
        <v>46126</v>
      </c>
      <c r="B34" s="46" t="s">
        <v>87</v>
      </c>
      <c r="C34" s="46" t="s">
        <v>98</v>
      </c>
      <c r="D34" s="47">
        <v>1</v>
      </c>
    </row>
    <row r="35" spans="1:4" ht="15.75" customHeight="1" x14ac:dyDescent="0.3">
      <c r="A35" s="51">
        <v>46126</v>
      </c>
      <c r="B35" s="46" t="s">
        <v>87</v>
      </c>
      <c r="C35" s="46" t="s">
        <v>99</v>
      </c>
      <c r="D35" s="47">
        <v>7</v>
      </c>
    </row>
    <row r="36" spans="1:4" ht="15.75" customHeight="1" x14ac:dyDescent="0.3">
      <c r="A36" s="51">
        <v>46126</v>
      </c>
      <c r="B36" s="46" t="s">
        <v>89</v>
      </c>
      <c r="C36" s="46" t="s">
        <v>44</v>
      </c>
      <c r="D36" s="47">
        <v>90</v>
      </c>
    </row>
    <row r="37" spans="1:4" ht="15.75" customHeight="1" x14ac:dyDescent="0.3">
      <c r="A37" s="51">
        <v>46126</v>
      </c>
      <c r="B37" s="46" t="s">
        <v>87</v>
      </c>
      <c r="C37" s="46" t="s">
        <v>44</v>
      </c>
      <c r="D37" s="47">
        <v>30</v>
      </c>
    </row>
    <row r="38" spans="1:4" ht="15.75" customHeight="1" x14ac:dyDescent="0.3">
      <c r="A38" s="51">
        <v>46126</v>
      </c>
      <c r="B38" t="s">
        <v>94</v>
      </c>
      <c r="C38" t="s">
        <v>97</v>
      </c>
      <c r="D38" s="47">
        <v>3</v>
      </c>
    </row>
    <row r="39" spans="1:4" ht="15.75" customHeight="1" x14ac:dyDescent="0.3">
      <c r="A39" s="51">
        <v>46126</v>
      </c>
      <c r="B39" t="s">
        <v>94</v>
      </c>
      <c r="C39" t="s">
        <v>99</v>
      </c>
      <c r="D39" s="47">
        <v>4</v>
      </c>
    </row>
    <row r="40" spans="1:4" ht="15.75" customHeight="1" x14ac:dyDescent="0.3">
      <c r="A40" s="51">
        <v>46126</v>
      </c>
      <c r="B40" t="s">
        <v>94</v>
      </c>
      <c r="C40" t="s">
        <v>100</v>
      </c>
      <c r="D40" s="47">
        <v>3</v>
      </c>
    </row>
    <row r="41" spans="1:4" ht="15.75" customHeight="1" x14ac:dyDescent="0.3">
      <c r="A41" s="51">
        <v>46127</v>
      </c>
      <c r="B41" t="s">
        <v>94</v>
      </c>
      <c r="C41" t="s">
        <v>98</v>
      </c>
      <c r="D41" s="47">
        <v>3</v>
      </c>
    </row>
    <row r="42" spans="1:4" ht="15.75" customHeight="1" x14ac:dyDescent="0.3">
      <c r="A42" s="51">
        <v>46128</v>
      </c>
      <c r="B42" t="s">
        <v>102</v>
      </c>
      <c r="C42" t="s">
        <v>109</v>
      </c>
      <c r="D42" s="47">
        <v>1</v>
      </c>
    </row>
    <row r="43" spans="1:4" ht="15.75" customHeight="1" x14ac:dyDescent="0.3">
      <c r="A43" s="51">
        <v>46128</v>
      </c>
      <c r="B43" t="s">
        <v>102</v>
      </c>
      <c r="C43" t="s">
        <v>101</v>
      </c>
      <c r="D43" s="47">
        <v>1</v>
      </c>
    </row>
    <row r="44" spans="1:4" ht="15.75" customHeight="1" x14ac:dyDescent="0.3">
      <c r="A44" s="51">
        <v>46128</v>
      </c>
      <c r="B44" t="s">
        <v>102</v>
      </c>
      <c r="C44" t="s">
        <v>100</v>
      </c>
      <c r="D44" s="47">
        <v>1</v>
      </c>
    </row>
    <row r="45" spans="1:4" ht="15.75" customHeight="1" x14ac:dyDescent="0.3">
      <c r="A45" s="51">
        <v>46128</v>
      </c>
      <c r="B45" t="s">
        <v>102</v>
      </c>
      <c r="C45" s="52" t="s">
        <v>44</v>
      </c>
      <c r="D45" s="47">
        <v>16</v>
      </c>
    </row>
    <row r="46" spans="1:4" ht="15.75" customHeight="1" x14ac:dyDescent="0.3">
      <c r="A46" s="51">
        <v>46128</v>
      </c>
      <c r="B46" t="s">
        <v>94</v>
      </c>
      <c r="C46" t="s">
        <v>44</v>
      </c>
      <c r="D46" s="47">
        <v>30</v>
      </c>
    </row>
    <row r="47" spans="1:4" ht="15.75" customHeight="1" x14ac:dyDescent="0.3">
      <c r="A47" s="51">
        <v>46129</v>
      </c>
      <c r="B47" t="s">
        <v>92</v>
      </c>
      <c r="C47" s="52" t="s">
        <v>54</v>
      </c>
      <c r="D47" s="47">
        <v>1</v>
      </c>
    </row>
    <row r="48" spans="1:4" ht="15.75" customHeight="1" x14ac:dyDescent="0.3">
      <c r="A48" s="51">
        <v>46129</v>
      </c>
      <c r="B48" t="s">
        <v>104</v>
      </c>
      <c r="C48" t="s">
        <v>107</v>
      </c>
      <c r="D48" s="47">
        <v>1</v>
      </c>
    </row>
    <row r="49" spans="1:4" ht="15.75" customHeight="1" x14ac:dyDescent="0.3">
      <c r="A49" s="51">
        <v>46129</v>
      </c>
      <c r="B49" t="s">
        <v>104</v>
      </c>
      <c r="C49" s="52" t="s">
        <v>108</v>
      </c>
      <c r="D49" s="47">
        <v>2</v>
      </c>
    </row>
    <row r="50" spans="1:4" ht="15.75" customHeight="1" x14ac:dyDescent="0.3">
      <c r="A50" s="51">
        <v>46129</v>
      </c>
      <c r="B50" t="s">
        <v>104</v>
      </c>
      <c r="C50" t="s">
        <v>101</v>
      </c>
      <c r="D50" s="47">
        <v>2</v>
      </c>
    </row>
    <row r="51" spans="1:4" ht="15.75" customHeight="1" x14ac:dyDescent="0.3">
      <c r="A51" s="51">
        <v>46129</v>
      </c>
      <c r="B51" t="s">
        <v>104</v>
      </c>
      <c r="C51" t="s">
        <v>109</v>
      </c>
      <c r="D51" s="47">
        <v>1</v>
      </c>
    </row>
    <row r="52" spans="1:4" ht="15.75" customHeight="1" x14ac:dyDescent="0.3">
      <c r="A52" s="51">
        <v>46129</v>
      </c>
      <c r="B52" t="s">
        <v>104</v>
      </c>
      <c r="C52" s="52" t="s">
        <v>100</v>
      </c>
      <c r="D52" s="47">
        <v>2</v>
      </c>
    </row>
    <row r="53" spans="1:4" ht="15.75" customHeight="1" x14ac:dyDescent="0.3">
      <c r="A53" s="51">
        <v>46129</v>
      </c>
      <c r="B53" t="s">
        <v>104</v>
      </c>
      <c r="C53" s="52" t="s">
        <v>219</v>
      </c>
      <c r="D53" s="47">
        <v>1</v>
      </c>
    </row>
    <row r="54" spans="1:4" ht="15.75" customHeight="1" x14ac:dyDescent="0.3">
      <c r="A54" s="51">
        <v>46132</v>
      </c>
      <c r="B54" t="s">
        <v>87</v>
      </c>
      <c r="C54" s="52" t="s">
        <v>98</v>
      </c>
      <c r="D54" s="47">
        <v>6</v>
      </c>
    </row>
    <row r="55" spans="1:4" ht="15.75" customHeight="1" x14ac:dyDescent="0.3">
      <c r="A55" s="51">
        <v>46132</v>
      </c>
      <c r="B55" t="s">
        <v>87</v>
      </c>
      <c r="C55" s="52" t="s">
        <v>101</v>
      </c>
      <c r="D55" s="47">
        <v>5</v>
      </c>
    </row>
    <row r="56" spans="1:4" ht="15.75" customHeight="1" x14ac:dyDescent="0.3">
      <c r="A56" s="51">
        <v>46132</v>
      </c>
      <c r="B56" t="s">
        <v>87</v>
      </c>
      <c r="C56" t="s">
        <v>99</v>
      </c>
      <c r="D56" s="47">
        <v>6</v>
      </c>
    </row>
    <row r="57" spans="1:4" ht="15.75" customHeight="1" x14ac:dyDescent="0.3">
      <c r="A57" s="51">
        <v>46132</v>
      </c>
      <c r="B57" t="s">
        <v>104</v>
      </c>
      <c r="C57" s="52" t="s">
        <v>110</v>
      </c>
      <c r="D57" s="47">
        <v>1</v>
      </c>
    </row>
    <row r="58" spans="1:4" ht="15.75" customHeight="1" x14ac:dyDescent="0.3">
      <c r="A58" s="51">
        <v>46132</v>
      </c>
      <c r="B58" t="s">
        <v>104</v>
      </c>
      <c r="C58" s="52" t="s">
        <v>100</v>
      </c>
      <c r="D58" s="47">
        <v>1</v>
      </c>
    </row>
    <row r="59" spans="1:4" ht="15.75" customHeight="1" x14ac:dyDescent="0.3">
      <c r="A59" s="51">
        <v>46132</v>
      </c>
      <c r="B59" t="s">
        <v>104</v>
      </c>
      <c r="C59" s="52" t="s">
        <v>219</v>
      </c>
      <c r="D59" s="47">
        <v>1</v>
      </c>
    </row>
    <row r="60" spans="1:4" ht="15.75" customHeight="1" x14ac:dyDescent="0.3">
      <c r="A60" s="51">
        <v>46132</v>
      </c>
      <c r="B60" t="s">
        <v>104</v>
      </c>
      <c r="C60" t="s">
        <v>101</v>
      </c>
      <c r="D60" s="47">
        <v>1</v>
      </c>
    </row>
    <row r="61" spans="1:4" ht="15.75" customHeight="1" x14ac:dyDescent="0.3">
      <c r="A61" s="51">
        <v>46132</v>
      </c>
      <c r="B61" t="s">
        <v>92</v>
      </c>
      <c r="C61" t="s">
        <v>98</v>
      </c>
      <c r="D61" s="47">
        <v>1</v>
      </c>
    </row>
    <row r="62" spans="1:4" ht="15.75" customHeight="1" x14ac:dyDescent="0.3">
      <c r="A62" s="51">
        <v>46132</v>
      </c>
      <c r="B62" t="s">
        <v>92</v>
      </c>
      <c r="C62" t="s">
        <v>101</v>
      </c>
      <c r="D62" s="47">
        <v>1</v>
      </c>
    </row>
    <row r="63" spans="1:4" ht="15.75" customHeight="1" x14ac:dyDescent="0.3">
      <c r="A63" s="51">
        <v>46132</v>
      </c>
      <c r="B63" t="s">
        <v>92</v>
      </c>
      <c r="C63" t="s">
        <v>109</v>
      </c>
      <c r="D63" s="47">
        <v>1</v>
      </c>
    </row>
    <row r="64" spans="1:4" ht="15.75" customHeight="1" x14ac:dyDescent="0.3">
      <c r="A64" s="51">
        <v>46133</v>
      </c>
      <c r="B64" t="s">
        <v>94</v>
      </c>
      <c r="C64" t="s">
        <v>44</v>
      </c>
      <c r="D64" s="47">
        <v>10</v>
      </c>
    </row>
    <row r="65" spans="1:4" ht="15.75" customHeight="1" x14ac:dyDescent="0.3">
      <c r="A65" s="51">
        <v>46133</v>
      </c>
      <c r="B65" t="s">
        <v>94</v>
      </c>
      <c r="C65" t="s">
        <v>98</v>
      </c>
      <c r="D65" s="47">
        <v>2</v>
      </c>
    </row>
    <row r="66" spans="1:4" ht="15.75" customHeight="1" x14ac:dyDescent="0.3">
      <c r="A66" s="51">
        <v>46133</v>
      </c>
      <c r="B66" t="s">
        <v>94</v>
      </c>
      <c r="C66" t="s">
        <v>97</v>
      </c>
      <c r="D66" s="47">
        <v>3</v>
      </c>
    </row>
    <row r="67" spans="1:4" ht="15.75" customHeight="1" x14ac:dyDescent="0.3">
      <c r="A67" s="51">
        <v>46133</v>
      </c>
      <c r="B67" t="s">
        <v>94</v>
      </c>
      <c r="C67" s="52" t="s">
        <v>99</v>
      </c>
      <c r="D67" s="47">
        <v>4</v>
      </c>
    </row>
    <row r="68" spans="1:4" ht="15.75" customHeight="1" x14ac:dyDescent="0.3">
      <c r="A68" s="51">
        <v>46133</v>
      </c>
      <c r="B68" t="s">
        <v>94</v>
      </c>
      <c r="C68" t="s">
        <v>100</v>
      </c>
      <c r="D68" s="47">
        <v>2</v>
      </c>
    </row>
    <row r="69" spans="1:4" ht="15.75" customHeight="1" x14ac:dyDescent="0.3">
      <c r="A69" s="51">
        <v>46133</v>
      </c>
      <c r="B69" t="s">
        <v>102</v>
      </c>
      <c r="C69" t="s">
        <v>101</v>
      </c>
      <c r="D69" s="47">
        <v>1</v>
      </c>
    </row>
    <row r="70" spans="1:4" ht="15.75" customHeight="1" x14ac:dyDescent="0.3">
      <c r="A70" s="51">
        <v>46133</v>
      </c>
      <c r="B70" t="s">
        <v>102</v>
      </c>
      <c r="C70" t="s">
        <v>100</v>
      </c>
      <c r="D70" s="47">
        <v>1</v>
      </c>
    </row>
    <row r="71" spans="1:4" ht="15.75" customHeight="1" x14ac:dyDescent="0.3">
      <c r="A71" s="51">
        <v>46133</v>
      </c>
      <c r="B71" t="s">
        <v>102</v>
      </c>
      <c r="C71" t="s">
        <v>109</v>
      </c>
      <c r="D71" s="47">
        <v>1</v>
      </c>
    </row>
    <row r="72" spans="1:4" ht="15.75" customHeight="1" x14ac:dyDescent="0.3">
      <c r="A72" s="51">
        <v>46133</v>
      </c>
      <c r="B72" t="s">
        <v>104</v>
      </c>
      <c r="C72" s="52" t="s">
        <v>108</v>
      </c>
      <c r="D72" s="47">
        <v>2</v>
      </c>
    </row>
    <row r="73" spans="1:4" ht="15.75" customHeight="1" x14ac:dyDescent="0.3">
      <c r="A73" s="51">
        <v>46133</v>
      </c>
      <c r="B73" t="s">
        <v>94</v>
      </c>
      <c r="C73" s="52" t="s">
        <v>44</v>
      </c>
      <c r="D73" s="47">
        <v>40</v>
      </c>
    </row>
    <row r="74" spans="1:4" ht="15.75" customHeight="1" x14ac:dyDescent="0.3">
      <c r="A74" s="51">
        <v>46133</v>
      </c>
      <c r="B74" t="s">
        <v>89</v>
      </c>
      <c r="C74" t="s">
        <v>44</v>
      </c>
      <c r="D74" s="47">
        <v>100</v>
      </c>
    </row>
    <row r="75" spans="1:4" ht="15.75" customHeight="1" x14ac:dyDescent="0.3">
      <c r="A75" s="51">
        <v>46133</v>
      </c>
      <c r="B75" t="s">
        <v>87</v>
      </c>
      <c r="C75" t="s">
        <v>44</v>
      </c>
      <c r="D75" s="47">
        <v>33</v>
      </c>
    </row>
    <row r="76" spans="1:4" ht="15.75" customHeight="1" x14ac:dyDescent="0.3">
      <c r="A76" s="51">
        <v>46135</v>
      </c>
      <c r="B76" s="179" t="s">
        <v>87</v>
      </c>
      <c r="C76" s="52" t="s">
        <v>103</v>
      </c>
      <c r="D76" s="47">
        <v>1</v>
      </c>
    </row>
    <row r="77" spans="1:4" ht="15.75" customHeight="1" x14ac:dyDescent="0.3">
      <c r="A77" s="51">
        <v>46140</v>
      </c>
      <c r="B77" s="179" t="s">
        <v>102</v>
      </c>
      <c r="C77" s="52" t="s">
        <v>101</v>
      </c>
      <c r="D77" s="47">
        <v>1</v>
      </c>
    </row>
    <row r="78" spans="1:4" ht="15.75" customHeight="1" x14ac:dyDescent="0.3">
      <c r="A78" s="51">
        <v>46140</v>
      </c>
      <c r="B78" s="179" t="s">
        <v>102</v>
      </c>
      <c r="C78" s="52" t="s">
        <v>100</v>
      </c>
      <c r="D78" s="47">
        <v>1</v>
      </c>
    </row>
    <row r="79" spans="1:4" ht="15.75" customHeight="1" x14ac:dyDescent="0.3">
      <c r="A79" s="51">
        <v>46140</v>
      </c>
      <c r="B79" s="179" t="s">
        <v>104</v>
      </c>
      <c r="C79" s="179" t="s">
        <v>107</v>
      </c>
      <c r="D79" s="47">
        <v>2</v>
      </c>
    </row>
    <row r="80" spans="1:4" ht="15.75" customHeight="1" x14ac:dyDescent="0.3">
      <c r="A80" s="51">
        <v>46140</v>
      </c>
      <c r="B80" s="179" t="s">
        <v>104</v>
      </c>
      <c r="C80" s="179" t="s">
        <v>100</v>
      </c>
      <c r="D80" s="47">
        <v>2</v>
      </c>
    </row>
    <row r="81" spans="1:4" ht="15.75" customHeight="1" x14ac:dyDescent="0.3">
      <c r="A81" s="51">
        <v>46140</v>
      </c>
      <c r="B81" s="179" t="s">
        <v>104</v>
      </c>
      <c r="C81" s="52" t="s">
        <v>110</v>
      </c>
      <c r="D81" s="47">
        <v>1</v>
      </c>
    </row>
    <row r="82" spans="1:4" ht="15.75" customHeight="1" x14ac:dyDescent="0.3">
      <c r="A82" s="51">
        <v>46140</v>
      </c>
      <c r="B82" s="179" t="s">
        <v>104</v>
      </c>
      <c r="C82" s="179" t="s">
        <v>108</v>
      </c>
      <c r="D82" s="47">
        <v>2</v>
      </c>
    </row>
    <row r="83" spans="1:4" ht="15.75" customHeight="1" x14ac:dyDescent="0.3">
      <c r="A83" s="51">
        <v>46140</v>
      </c>
      <c r="B83" s="179" t="s">
        <v>104</v>
      </c>
      <c r="C83" s="52" t="s">
        <v>110</v>
      </c>
      <c r="D83" s="47">
        <v>1</v>
      </c>
    </row>
    <row r="84" spans="1:4" ht="15.75" customHeight="1" x14ac:dyDescent="0.3">
      <c r="A84" s="51">
        <v>46140</v>
      </c>
      <c r="B84" s="179" t="s">
        <v>104</v>
      </c>
      <c r="C84" s="52" t="s">
        <v>109</v>
      </c>
      <c r="D84" s="47">
        <v>1</v>
      </c>
    </row>
    <row r="85" spans="1:4" ht="15.75" customHeight="1" x14ac:dyDescent="0.3">
      <c r="A85" s="51">
        <v>46140</v>
      </c>
      <c r="B85" s="179" t="s">
        <v>104</v>
      </c>
      <c r="C85" s="52" t="s">
        <v>215</v>
      </c>
      <c r="D85" s="47">
        <v>1</v>
      </c>
    </row>
    <row r="86" spans="1:4" ht="15.75" customHeight="1" x14ac:dyDescent="0.3">
      <c r="A86" s="51">
        <v>46140</v>
      </c>
      <c r="B86" s="179" t="s">
        <v>104</v>
      </c>
      <c r="C86" s="179" t="s">
        <v>101</v>
      </c>
      <c r="D86" s="47">
        <v>2</v>
      </c>
    </row>
    <row r="87" spans="1:4" ht="15.75" customHeight="1" x14ac:dyDescent="0.3">
      <c r="A87" s="51">
        <v>46140</v>
      </c>
      <c r="B87" s="179" t="s">
        <v>104</v>
      </c>
      <c r="C87" s="179" t="s">
        <v>219</v>
      </c>
      <c r="D87" s="47">
        <v>1</v>
      </c>
    </row>
    <row r="88" spans="1:4" ht="15.75" customHeight="1" x14ac:dyDescent="0.3">
      <c r="A88" s="51">
        <v>46140</v>
      </c>
      <c r="B88" s="179" t="s">
        <v>87</v>
      </c>
      <c r="C88" s="52" t="s">
        <v>103</v>
      </c>
      <c r="D88" s="47">
        <v>1</v>
      </c>
    </row>
    <row r="89" spans="1:4" ht="15.75" customHeight="1" x14ac:dyDescent="0.3">
      <c r="A89" s="51">
        <v>46140</v>
      </c>
      <c r="B89" s="179" t="s">
        <v>87</v>
      </c>
      <c r="C89" s="52" t="s">
        <v>101</v>
      </c>
      <c r="D89" s="47">
        <v>4</v>
      </c>
    </row>
    <row r="90" spans="1:4" ht="15.75" customHeight="1" x14ac:dyDescent="0.3">
      <c r="A90" s="51">
        <v>46140</v>
      </c>
      <c r="B90" s="179" t="s">
        <v>87</v>
      </c>
      <c r="C90" s="52" t="s">
        <v>98</v>
      </c>
      <c r="D90" s="47">
        <v>4</v>
      </c>
    </row>
    <row r="91" spans="1:4" ht="15.75" customHeight="1" x14ac:dyDescent="0.3">
      <c r="A91" s="51">
        <v>46140</v>
      </c>
      <c r="B91" s="179" t="s">
        <v>87</v>
      </c>
      <c r="C91" s="179" t="s">
        <v>99</v>
      </c>
      <c r="D91" s="47">
        <v>6</v>
      </c>
    </row>
    <row r="92" spans="1:4" ht="15.75" customHeight="1" x14ac:dyDescent="0.3">
      <c r="A92" s="51">
        <v>46140</v>
      </c>
      <c r="B92" s="179" t="s">
        <v>94</v>
      </c>
      <c r="C92" s="179" t="s">
        <v>100</v>
      </c>
      <c r="D92" s="47">
        <v>3</v>
      </c>
    </row>
    <row r="93" spans="1:4" ht="15.75" customHeight="1" x14ac:dyDescent="0.3">
      <c r="A93" s="51">
        <v>46140</v>
      </c>
      <c r="B93" s="179" t="s">
        <v>94</v>
      </c>
      <c r="C93" s="179" t="s">
        <v>98</v>
      </c>
      <c r="D93" s="47">
        <v>2</v>
      </c>
    </row>
    <row r="94" spans="1:4" ht="15.75" customHeight="1" x14ac:dyDescent="0.3">
      <c r="A94" s="51">
        <v>46140</v>
      </c>
      <c r="B94" s="179" t="s">
        <v>94</v>
      </c>
      <c r="C94" s="179" t="s">
        <v>97</v>
      </c>
      <c r="D94" s="47">
        <v>6</v>
      </c>
    </row>
    <row r="95" spans="1:4" ht="15.75" customHeight="1" x14ac:dyDescent="0.3">
      <c r="A95" s="51">
        <v>46140</v>
      </c>
      <c r="B95" s="179" t="s">
        <v>94</v>
      </c>
      <c r="C95" s="52" t="s">
        <v>99</v>
      </c>
      <c r="D95" s="47">
        <v>5</v>
      </c>
    </row>
    <row r="96" spans="1:4" ht="15.75" customHeight="1" x14ac:dyDescent="0.3">
      <c r="A96" s="51">
        <v>46140</v>
      </c>
      <c r="B96" s="179" t="s">
        <v>92</v>
      </c>
      <c r="C96" s="179" t="s">
        <v>101</v>
      </c>
      <c r="D96" s="47">
        <v>2</v>
      </c>
    </row>
    <row r="97" spans="1:4" ht="15.75" customHeight="1" x14ac:dyDescent="0.3">
      <c r="A97" s="51">
        <v>46140</v>
      </c>
      <c r="B97" s="179" t="s">
        <v>92</v>
      </c>
      <c r="C97" s="52" t="s">
        <v>98</v>
      </c>
      <c r="D97" s="47">
        <v>1</v>
      </c>
    </row>
    <row r="98" spans="1:4" ht="15.75" customHeight="1" x14ac:dyDescent="0.3">
      <c r="A98" s="51">
        <v>46141</v>
      </c>
      <c r="B98" s="179" t="s">
        <v>89</v>
      </c>
      <c r="C98" s="52" t="s">
        <v>44</v>
      </c>
      <c r="D98" s="47">
        <v>80</v>
      </c>
    </row>
    <row r="99" spans="1:4" ht="15.75" customHeight="1" x14ac:dyDescent="0.3">
      <c r="A99" s="51">
        <v>46141</v>
      </c>
      <c r="B99" s="179" t="s">
        <v>94</v>
      </c>
      <c r="C99" s="179" t="s">
        <v>44</v>
      </c>
      <c r="D99" s="47">
        <v>30</v>
      </c>
    </row>
    <row r="100" spans="1:4" ht="15.75" customHeight="1" x14ac:dyDescent="0.3">
      <c r="A100" s="51">
        <v>46141</v>
      </c>
      <c r="B100" s="179" t="s">
        <v>87</v>
      </c>
      <c r="C100" s="179" t="s">
        <v>44</v>
      </c>
      <c r="D100" s="47">
        <v>25</v>
      </c>
    </row>
    <row r="101" spans="1:4" ht="15.75" customHeight="1" x14ac:dyDescent="0.3">
      <c r="A101" s="51"/>
      <c r="B101" s="179"/>
      <c r="C101" s="179"/>
      <c r="D101" s="47"/>
    </row>
    <row r="102" spans="1:4" ht="15.75" customHeight="1" x14ac:dyDescent="0.3">
      <c r="A102" s="53" t="s">
        <v>231</v>
      </c>
      <c r="B102" s="54" t="s">
        <v>87</v>
      </c>
      <c r="C102" s="54" t="s">
        <v>44</v>
      </c>
      <c r="D102" s="55" t="s">
        <v>230</v>
      </c>
    </row>
    <row r="103" spans="1:4" ht="15.75" customHeight="1" x14ac:dyDescent="0.3">
      <c r="D103" s="55" t="s">
        <v>230</v>
      </c>
    </row>
    <row r="104" spans="1:4" ht="15.75" customHeight="1" x14ac:dyDescent="0.3">
      <c r="D104" s="47"/>
    </row>
    <row r="105" spans="1:4" ht="15.75" customHeight="1" x14ac:dyDescent="0.3">
      <c r="D105" s="47"/>
    </row>
    <row r="106" spans="1:4" ht="15.75" customHeight="1" x14ac:dyDescent="0.3">
      <c r="D106" s="47"/>
    </row>
    <row r="107" spans="1:4" ht="15.75" customHeight="1" x14ac:dyDescent="0.3">
      <c r="D107" s="47"/>
    </row>
    <row r="108" spans="1:4" ht="15.75" customHeight="1" x14ac:dyDescent="0.3">
      <c r="D108" s="47"/>
    </row>
    <row r="109" spans="1:4" ht="15.75" customHeight="1" x14ac:dyDescent="0.3">
      <c r="D109" s="47"/>
    </row>
    <row r="110" spans="1:4" ht="15.75" customHeight="1" x14ac:dyDescent="0.3">
      <c r="D110" s="47"/>
    </row>
    <row r="111" spans="1:4" ht="15.75" customHeight="1" x14ac:dyDescent="0.3">
      <c r="D111" s="47"/>
    </row>
    <row r="112" spans="1:4" ht="15.75" customHeight="1" x14ac:dyDescent="0.3">
      <c r="D112" s="47"/>
    </row>
    <row r="113" spans="4:4" ht="15.75" customHeight="1" x14ac:dyDescent="0.3">
      <c r="D113" s="47"/>
    </row>
    <row r="114" spans="4:4" ht="15.75" customHeight="1" x14ac:dyDescent="0.3">
      <c r="D114" s="47"/>
    </row>
    <row r="115" spans="4:4" ht="15.75" customHeight="1" x14ac:dyDescent="0.3">
      <c r="D115" s="47"/>
    </row>
    <row r="116" spans="4:4" ht="15.75" customHeight="1" x14ac:dyDescent="0.3">
      <c r="D116" s="47"/>
    </row>
    <row r="117" spans="4:4" ht="15.75" customHeight="1" x14ac:dyDescent="0.3">
      <c r="D117" s="47"/>
    </row>
    <row r="118" spans="4:4" ht="15.75" customHeight="1" x14ac:dyDescent="0.3">
      <c r="D118" s="47"/>
    </row>
    <row r="119" spans="4:4" ht="15.75" customHeight="1" x14ac:dyDescent="0.3">
      <c r="D119" s="47"/>
    </row>
    <row r="120" spans="4:4" ht="15.75" customHeight="1" x14ac:dyDescent="0.3">
      <c r="D120" s="47"/>
    </row>
    <row r="121" spans="4:4" ht="15.75" customHeight="1" x14ac:dyDescent="0.3">
      <c r="D121" s="47"/>
    </row>
    <row r="122" spans="4:4" ht="15.75" customHeight="1" x14ac:dyDescent="0.3">
      <c r="D122" s="47"/>
    </row>
    <row r="123" spans="4:4" ht="15.75" customHeight="1" x14ac:dyDescent="0.3">
      <c r="D123" s="47"/>
    </row>
    <row r="124" spans="4:4" ht="15.75" customHeight="1" x14ac:dyDescent="0.3">
      <c r="D124" s="47"/>
    </row>
    <row r="125" spans="4:4" ht="15.75" customHeight="1" x14ac:dyDescent="0.3">
      <c r="D125" s="47"/>
    </row>
    <row r="126" spans="4:4" ht="15.75" customHeight="1" x14ac:dyDescent="0.3">
      <c r="D126" s="47"/>
    </row>
    <row r="127" spans="4:4" ht="15.75" customHeight="1" x14ac:dyDescent="0.3">
      <c r="D127" s="47"/>
    </row>
    <row r="128" spans="4:4" ht="15.75" customHeight="1" x14ac:dyDescent="0.3">
      <c r="D128" s="47"/>
    </row>
    <row r="129" spans="4:4" ht="15.75" customHeight="1" x14ac:dyDescent="0.3">
      <c r="D129" s="47"/>
    </row>
    <row r="130" spans="4:4" ht="15.75" customHeight="1" x14ac:dyDescent="0.3">
      <c r="D130" s="47"/>
    </row>
    <row r="131" spans="4:4" ht="15.75" customHeight="1" x14ac:dyDescent="0.3">
      <c r="D131" s="47"/>
    </row>
    <row r="132" spans="4:4" ht="15.75" customHeight="1" x14ac:dyDescent="0.3">
      <c r="D132" s="47"/>
    </row>
    <row r="133" spans="4:4" ht="15.75" customHeight="1" x14ac:dyDescent="0.3">
      <c r="D133" s="47"/>
    </row>
    <row r="134" spans="4:4" ht="15.75" customHeight="1" x14ac:dyDescent="0.3">
      <c r="D134" s="47"/>
    </row>
    <row r="135" spans="4:4" ht="15.75" customHeight="1" x14ac:dyDescent="0.3">
      <c r="D135" s="47"/>
    </row>
    <row r="136" spans="4:4" ht="15.75" customHeight="1" x14ac:dyDescent="0.3">
      <c r="D136" s="47"/>
    </row>
    <row r="137" spans="4:4" ht="15.75" customHeight="1" x14ac:dyDescent="0.3">
      <c r="D137" s="47"/>
    </row>
    <row r="138" spans="4:4" ht="15.75" customHeight="1" x14ac:dyDescent="0.3">
      <c r="D138" s="47"/>
    </row>
    <row r="139" spans="4:4" ht="15.75" customHeight="1" x14ac:dyDescent="0.3">
      <c r="D139" s="47"/>
    </row>
    <row r="140" spans="4:4" ht="15.75" customHeight="1" x14ac:dyDescent="0.3">
      <c r="D140" s="47"/>
    </row>
    <row r="141" spans="4:4" ht="15.75" customHeight="1" x14ac:dyDescent="0.3">
      <c r="D141" s="47"/>
    </row>
    <row r="142" spans="4:4" ht="15.75" customHeight="1" x14ac:dyDescent="0.3">
      <c r="D142" s="47"/>
    </row>
    <row r="143" spans="4:4" ht="15.75" customHeight="1" x14ac:dyDescent="0.3">
      <c r="D143" s="47"/>
    </row>
    <row r="144" spans="4:4" ht="15.75" customHeight="1" x14ac:dyDescent="0.3">
      <c r="D144" s="47"/>
    </row>
    <row r="145" spans="4:4" ht="15.75" customHeight="1" x14ac:dyDescent="0.3">
      <c r="D145" s="47"/>
    </row>
    <row r="146" spans="4:4" ht="15.75" customHeight="1" x14ac:dyDescent="0.3">
      <c r="D146" s="47"/>
    </row>
    <row r="147" spans="4:4" ht="15.75" customHeight="1" x14ac:dyDescent="0.3">
      <c r="D147" s="47"/>
    </row>
    <row r="148" spans="4:4" ht="15.75" customHeight="1" x14ac:dyDescent="0.3">
      <c r="D148" s="47"/>
    </row>
    <row r="149" spans="4:4" ht="15.75" customHeight="1" x14ac:dyDescent="0.3">
      <c r="D149" s="47"/>
    </row>
    <row r="150" spans="4:4" ht="15.75" customHeight="1" x14ac:dyDescent="0.3">
      <c r="D150" s="47"/>
    </row>
    <row r="151" spans="4:4" ht="15.75" customHeight="1" x14ac:dyDescent="0.3">
      <c r="D151" s="47"/>
    </row>
    <row r="152" spans="4:4" ht="15.75" customHeight="1" x14ac:dyDescent="0.3">
      <c r="D152" s="47"/>
    </row>
    <row r="153" spans="4:4" ht="15.75" customHeight="1" x14ac:dyDescent="0.3">
      <c r="D153" s="47"/>
    </row>
    <row r="154" spans="4:4" ht="15.75" customHeight="1" x14ac:dyDescent="0.3">
      <c r="D154" s="47"/>
    </row>
    <row r="155" spans="4:4" ht="15.75" customHeight="1" x14ac:dyDescent="0.3">
      <c r="D155" s="47"/>
    </row>
    <row r="156" spans="4:4" ht="15.75" customHeight="1" x14ac:dyDescent="0.3">
      <c r="D156" s="47"/>
    </row>
    <row r="157" spans="4:4" ht="15.75" customHeight="1" x14ac:dyDescent="0.3">
      <c r="D157" s="47"/>
    </row>
    <row r="158" spans="4:4" ht="15.75" customHeight="1" x14ac:dyDescent="0.3">
      <c r="D158" s="47"/>
    </row>
    <row r="159" spans="4:4" ht="15.75" customHeight="1" x14ac:dyDescent="0.3">
      <c r="D159" s="47"/>
    </row>
    <row r="160" spans="4:4" ht="15.75" customHeight="1" x14ac:dyDescent="0.3">
      <c r="D160" s="47"/>
    </row>
    <row r="161" spans="4:4" ht="15.75" customHeight="1" x14ac:dyDescent="0.3">
      <c r="D161" s="47"/>
    </row>
    <row r="162" spans="4:4" ht="15.75" customHeight="1" x14ac:dyDescent="0.3">
      <c r="D162" s="47"/>
    </row>
    <row r="163" spans="4:4" ht="15.75" customHeight="1" x14ac:dyDescent="0.3">
      <c r="D163" s="47"/>
    </row>
    <row r="164" spans="4:4" ht="15.75" customHeight="1" x14ac:dyDescent="0.3">
      <c r="D164" s="47"/>
    </row>
    <row r="165" spans="4:4" ht="15.75" customHeight="1" x14ac:dyDescent="0.3">
      <c r="D165" s="47"/>
    </row>
    <row r="166" spans="4:4" ht="15.75" customHeight="1" x14ac:dyDescent="0.3">
      <c r="D166" s="47"/>
    </row>
    <row r="167" spans="4:4" ht="15.75" customHeight="1" x14ac:dyDescent="0.3">
      <c r="D167" s="47"/>
    </row>
    <row r="168" spans="4:4" ht="15.75" customHeight="1" x14ac:dyDescent="0.3">
      <c r="D168" s="47"/>
    </row>
    <row r="169" spans="4:4" ht="15.75" customHeight="1" x14ac:dyDescent="0.3">
      <c r="D169" s="47"/>
    </row>
    <row r="170" spans="4:4" ht="15.75" customHeight="1" x14ac:dyDescent="0.3">
      <c r="D170" s="47"/>
    </row>
    <row r="171" spans="4:4" ht="15.75" customHeight="1" x14ac:dyDescent="0.3">
      <c r="D171" s="47"/>
    </row>
    <row r="172" spans="4:4" ht="15.75" customHeight="1" x14ac:dyDescent="0.3">
      <c r="D172" s="47"/>
    </row>
    <row r="173" spans="4:4" ht="15.75" customHeight="1" x14ac:dyDescent="0.3">
      <c r="D173" s="47"/>
    </row>
    <row r="174" spans="4:4" ht="15.75" customHeight="1" x14ac:dyDescent="0.3">
      <c r="D174" s="47"/>
    </row>
    <row r="175" spans="4:4" ht="15.75" customHeight="1" x14ac:dyDescent="0.3">
      <c r="D175" s="47"/>
    </row>
    <row r="176" spans="4:4" ht="15.75" customHeight="1" x14ac:dyDescent="0.3">
      <c r="D176" s="47"/>
    </row>
    <row r="177" spans="4:4" ht="15.75" customHeight="1" x14ac:dyDescent="0.3">
      <c r="D177" s="47"/>
    </row>
    <row r="178" spans="4:4" ht="15.75" customHeight="1" x14ac:dyDescent="0.3">
      <c r="D178" s="47"/>
    </row>
    <row r="179" spans="4:4" ht="15.75" customHeight="1" x14ac:dyDescent="0.3">
      <c r="D179" s="47"/>
    </row>
    <row r="180" spans="4:4" ht="15.75" customHeight="1" x14ac:dyDescent="0.3">
      <c r="D180" s="47"/>
    </row>
    <row r="181" spans="4:4" ht="15.75" customHeight="1" x14ac:dyDescent="0.3">
      <c r="D181" s="47"/>
    </row>
    <row r="182" spans="4:4" ht="15.75" customHeight="1" x14ac:dyDescent="0.3">
      <c r="D182" s="47"/>
    </row>
    <row r="183" spans="4:4" ht="15.75" customHeight="1" x14ac:dyDescent="0.3">
      <c r="D183" s="47"/>
    </row>
    <row r="184" spans="4:4" ht="15.75" customHeight="1" x14ac:dyDescent="0.3">
      <c r="D184" s="47"/>
    </row>
    <row r="185" spans="4:4" ht="15.75" customHeight="1" x14ac:dyDescent="0.3">
      <c r="D185" s="47"/>
    </row>
    <row r="186" spans="4:4" ht="15.75" customHeight="1" x14ac:dyDescent="0.3">
      <c r="D186" s="47"/>
    </row>
    <row r="187" spans="4:4" ht="15.75" customHeight="1" x14ac:dyDescent="0.3">
      <c r="D187" s="47"/>
    </row>
    <row r="188" spans="4:4" ht="15.75" customHeight="1" x14ac:dyDescent="0.3">
      <c r="D188" s="47"/>
    </row>
    <row r="189" spans="4:4" ht="15.75" customHeight="1" x14ac:dyDescent="0.3">
      <c r="D189" s="47"/>
    </row>
    <row r="190" spans="4:4" ht="15.75" customHeight="1" x14ac:dyDescent="0.3">
      <c r="D190" s="47"/>
    </row>
    <row r="191" spans="4:4" ht="15.75" customHeight="1" x14ac:dyDescent="0.3">
      <c r="D191" s="47"/>
    </row>
    <row r="192" spans="4:4" ht="15.75" customHeight="1" x14ac:dyDescent="0.3">
      <c r="D192" s="47"/>
    </row>
    <row r="193" spans="4:4" ht="15.75" customHeight="1" x14ac:dyDescent="0.3">
      <c r="D193" s="47"/>
    </row>
    <row r="194" spans="4:4" ht="15.75" customHeight="1" x14ac:dyDescent="0.3">
      <c r="D194" s="47"/>
    </row>
    <row r="195" spans="4:4" ht="15.75" customHeight="1" x14ac:dyDescent="0.3">
      <c r="D195" s="47"/>
    </row>
    <row r="196" spans="4:4" ht="15.75" customHeight="1" x14ac:dyDescent="0.3">
      <c r="D196" s="47"/>
    </row>
    <row r="197" spans="4:4" ht="15.75" customHeight="1" x14ac:dyDescent="0.3">
      <c r="D197" s="47"/>
    </row>
    <row r="198" spans="4:4" ht="15.75" customHeight="1" x14ac:dyDescent="0.3">
      <c r="D198" s="47"/>
    </row>
    <row r="199" spans="4:4" ht="15.75" customHeight="1" x14ac:dyDescent="0.3">
      <c r="D199" s="47"/>
    </row>
    <row r="200" spans="4:4" ht="15.75" customHeight="1" x14ac:dyDescent="0.3">
      <c r="D200" s="47"/>
    </row>
    <row r="201" spans="4:4" ht="15.75" customHeight="1" x14ac:dyDescent="0.3">
      <c r="D201" s="47"/>
    </row>
    <row r="202" spans="4:4" ht="15.75" customHeight="1" x14ac:dyDescent="0.3">
      <c r="D202" s="47"/>
    </row>
    <row r="203" spans="4:4" ht="15.75" customHeight="1" x14ac:dyDescent="0.3">
      <c r="D203" s="47"/>
    </row>
    <row r="204" spans="4:4" ht="15.75" customHeight="1" x14ac:dyDescent="0.3">
      <c r="D204" s="47"/>
    </row>
    <row r="205" spans="4:4" ht="15.75" customHeight="1" x14ac:dyDescent="0.3">
      <c r="D205" s="47"/>
    </row>
    <row r="206" spans="4:4" ht="15.75" customHeight="1" x14ac:dyDescent="0.3">
      <c r="D206" s="47"/>
    </row>
    <row r="207" spans="4:4" ht="15.75" customHeight="1" x14ac:dyDescent="0.3">
      <c r="D207" s="47"/>
    </row>
    <row r="208" spans="4:4" ht="15.75" customHeight="1" x14ac:dyDescent="0.3">
      <c r="D208" s="47"/>
    </row>
    <row r="209" spans="4:4" ht="15.75" customHeight="1" x14ac:dyDescent="0.3">
      <c r="D209" s="47"/>
    </row>
    <row r="210" spans="4:4" ht="15.75" customHeight="1" x14ac:dyDescent="0.3">
      <c r="D210" s="47"/>
    </row>
    <row r="211" spans="4:4" ht="15.75" customHeight="1" x14ac:dyDescent="0.3">
      <c r="D211" s="47"/>
    </row>
    <row r="212" spans="4:4" ht="15.75" customHeight="1" x14ac:dyDescent="0.3">
      <c r="D212" s="47"/>
    </row>
    <row r="213" spans="4:4" ht="15.75" customHeight="1" x14ac:dyDescent="0.3">
      <c r="D213" s="47"/>
    </row>
    <row r="214" spans="4:4" ht="15.75" customHeight="1" x14ac:dyDescent="0.3">
      <c r="D214" s="47"/>
    </row>
    <row r="215" spans="4:4" ht="15.75" customHeight="1" x14ac:dyDescent="0.3">
      <c r="D215" s="47"/>
    </row>
    <row r="216" spans="4:4" ht="15.75" customHeight="1" x14ac:dyDescent="0.3">
      <c r="D216" s="47"/>
    </row>
    <row r="217" spans="4:4" ht="15.75" customHeight="1" x14ac:dyDescent="0.3">
      <c r="D217" s="47"/>
    </row>
    <row r="218" spans="4:4" ht="15.75" customHeight="1" x14ac:dyDescent="0.3">
      <c r="D218" s="47"/>
    </row>
    <row r="219" spans="4:4" ht="15.75" customHeight="1" x14ac:dyDescent="0.3">
      <c r="D219" s="47"/>
    </row>
    <row r="220" spans="4:4" ht="15.75" customHeight="1" x14ac:dyDescent="0.3">
      <c r="D220" s="47"/>
    </row>
    <row r="221" spans="4:4" ht="15.75" customHeight="1" x14ac:dyDescent="0.3">
      <c r="D221" s="47"/>
    </row>
    <row r="222" spans="4:4" ht="15.75" customHeight="1" x14ac:dyDescent="0.3">
      <c r="D222" s="47"/>
    </row>
    <row r="223" spans="4:4" ht="15.75" customHeight="1" x14ac:dyDescent="0.3">
      <c r="D223" s="47"/>
    </row>
    <row r="224" spans="4:4" ht="15.75" customHeight="1" x14ac:dyDescent="0.3">
      <c r="D224" s="47"/>
    </row>
    <row r="225" spans="4:4" ht="15.75" customHeight="1" x14ac:dyDescent="0.3">
      <c r="D225" s="47"/>
    </row>
    <row r="226" spans="4:4" ht="15.75" customHeight="1" x14ac:dyDescent="0.3">
      <c r="D226" s="47"/>
    </row>
    <row r="227" spans="4:4" ht="15.75" customHeight="1" x14ac:dyDescent="0.3">
      <c r="D227" s="47"/>
    </row>
    <row r="228" spans="4:4" ht="15.75" customHeight="1" x14ac:dyDescent="0.3">
      <c r="D228" s="47"/>
    </row>
    <row r="229" spans="4:4" ht="15.75" customHeight="1" x14ac:dyDescent="0.3">
      <c r="D229" s="47"/>
    </row>
    <row r="230" spans="4:4" ht="15.75" customHeight="1" x14ac:dyDescent="0.3">
      <c r="D230" s="47"/>
    </row>
    <row r="231" spans="4:4" ht="15.75" customHeight="1" x14ac:dyDescent="0.3">
      <c r="D231" s="47"/>
    </row>
    <row r="232" spans="4:4" ht="15.75" customHeight="1" x14ac:dyDescent="0.3">
      <c r="D232" s="47"/>
    </row>
    <row r="233" spans="4:4" ht="15.75" customHeight="1" x14ac:dyDescent="0.3">
      <c r="D233" s="47"/>
    </row>
    <row r="234" spans="4:4" ht="15.75" customHeight="1" x14ac:dyDescent="0.3">
      <c r="D234" s="47"/>
    </row>
    <row r="235" spans="4:4" ht="15.75" customHeight="1" x14ac:dyDescent="0.3">
      <c r="D235" s="47"/>
    </row>
    <row r="236" spans="4:4" ht="15.75" customHeight="1" x14ac:dyDescent="0.3">
      <c r="D236" s="47"/>
    </row>
    <row r="237" spans="4:4" ht="15.75" customHeight="1" x14ac:dyDescent="0.3">
      <c r="D237" s="47"/>
    </row>
    <row r="238" spans="4:4" ht="15.75" customHeight="1" x14ac:dyDescent="0.3">
      <c r="D238" s="47"/>
    </row>
    <row r="239" spans="4:4" ht="15.75" customHeight="1" x14ac:dyDescent="0.3">
      <c r="D239" s="47"/>
    </row>
    <row r="240" spans="4:4" ht="15.75" customHeight="1" x14ac:dyDescent="0.3">
      <c r="D240" s="47"/>
    </row>
    <row r="241" spans="4:4" ht="15.75" customHeight="1" x14ac:dyDescent="0.3">
      <c r="D241" s="47"/>
    </row>
    <row r="242" spans="4:4" ht="15.75" customHeight="1" x14ac:dyDescent="0.3">
      <c r="D242" s="47"/>
    </row>
    <row r="243" spans="4:4" ht="15.75" customHeight="1" x14ac:dyDescent="0.3">
      <c r="D243" s="47"/>
    </row>
    <row r="244" spans="4:4" ht="15.75" customHeight="1" x14ac:dyDescent="0.3">
      <c r="D244" s="47"/>
    </row>
    <row r="245" spans="4:4" ht="15.75" customHeight="1" x14ac:dyDescent="0.3">
      <c r="D245" s="47"/>
    </row>
    <row r="246" spans="4:4" ht="15.75" customHeight="1" x14ac:dyDescent="0.3">
      <c r="D246" s="47"/>
    </row>
    <row r="247" spans="4:4" ht="15.75" customHeight="1" x14ac:dyDescent="0.3">
      <c r="D247" s="47"/>
    </row>
    <row r="248" spans="4:4" ht="15.75" customHeight="1" x14ac:dyDescent="0.3">
      <c r="D248" s="47"/>
    </row>
    <row r="249" spans="4:4" ht="15.75" customHeight="1" x14ac:dyDescent="0.3">
      <c r="D249" s="47"/>
    </row>
    <row r="250" spans="4:4" ht="15.75" customHeight="1" x14ac:dyDescent="0.3">
      <c r="D250" s="47"/>
    </row>
    <row r="251" spans="4:4" ht="15.75" customHeight="1" x14ac:dyDescent="0.3">
      <c r="D251" s="47"/>
    </row>
    <row r="252" spans="4:4" ht="15.75" customHeight="1" x14ac:dyDescent="0.3">
      <c r="D252" s="47"/>
    </row>
    <row r="253" spans="4:4" ht="15.75" customHeight="1" x14ac:dyDescent="0.3">
      <c r="D253" s="47"/>
    </row>
    <row r="254" spans="4:4" ht="15.75" customHeight="1" x14ac:dyDescent="0.3">
      <c r="D254" s="47"/>
    </row>
    <row r="255" spans="4:4" ht="15.75" customHeight="1" x14ac:dyDescent="0.3">
      <c r="D255" s="47"/>
    </row>
    <row r="256" spans="4:4" ht="15.75" customHeight="1" x14ac:dyDescent="0.3">
      <c r="D256" s="47"/>
    </row>
    <row r="257" spans="4:4" ht="15.75" customHeight="1" x14ac:dyDescent="0.3">
      <c r="D257" s="47"/>
    </row>
    <row r="258" spans="4:4" ht="15.75" customHeight="1" x14ac:dyDescent="0.3">
      <c r="D258" s="47"/>
    </row>
    <row r="259" spans="4:4" ht="15.75" customHeight="1" x14ac:dyDescent="0.3">
      <c r="D259" s="47"/>
    </row>
    <row r="260" spans="4:4" ht="15.75" customHeight="1" x14ac:dyDescent="0.3">
      <c r="D260" s="47"/>
    </row>
    <row r="261" spans="4:4" ht="15.75" customHeight="1" x14ac:dyDescent="0.3">
      <c r="D261" s="47"/>
    </row>
    <row r="262" spans="4:4" ht="15.75" customHeight="1" x14ac:dyDescent="0.3">
      <c r="D262" s="47"/>
    </row>
    <row r="263" spans="4:4" ht="15.75" customHeight="1" x14ac:dyDescent="0.3">
      <c r="D263" s="47"/>
    </row>
    <row r="264" spans="4:4" ht="15.75" customHeight="1" x14ac:dyDescent="0.3">
      <c r="D264" s="47"/>
    </row>
    <row r="265" spans="4:4" ht="15.75" customHeight="1" x14ac:dyDescent="0.3">
      <c r="D265" s="47"/>
    </row>
    <row r="266" spans="4:4" ht="15.75" customHeight="1" x14ac:dyDescent="0.3">
      <c r="D266" s="47"/>
    </row>
    <row r="267" spans="4:4" ht="15.75" customHeight="1" x14ac:dyDescent="0.3">
      <c r="D267" s="47"/>
    </row>
    <row r="268" spans="4:4" ht="15.75" customHeight="1" x14ac:dyDescent="0.3">
      <c r="D268" s="47"/>
    </row>
    <row r="269" spans="4:4" ht="15.75" customHeight="1" x14ac:dyDescent="0.3">
      <c r="D269" s="47"/>
    </row>
    <row r="270" spans="4:4" ht="15.75" customHeight="1" x14ac:dyDescent="0.3">
      <c r="D270" s="47"/>
    </row>
    <row r="271" spans="4:4" ht="15.75" customHeight="1" x14ac:dyDescent="0.3">
      <c r="D271" s="47"/>
    </row>
    <row r="272" spans="4:4" ht="15.75" customHeight="1" x14ac:dyDescent="0.3">
      <c r="D272" s="47"/>
    </row>
    <row r="273" spans="4:4" ht="15.75" customHeight="1" x14ac:dyDescent="0.3">
      <c r="D273" s="47"/>
    </row>
    <row r="274" spans="4:4" ht="15.75" customHeight="1" x14ac:dyDescent="0.3">
      <c r="D274" s="47"/>
    </row>
    <row r="275" spans="4:4" ht="15.75" customHeight="1" x14ac:dyDescent="0.3">
      <c r="D275" s="47"/>
    </row>
    <row r="276" spans="4:4" ht="15.75" customHeight="1" x14ac:dyDescent="0.3">
      <c r="D276" s="47"/>
    </row>
    <row r="277" spans="4:4" ht="15.75" customHeight="1" x14ac:dyDescent="0.3">
      <c r="D277" s="47"/>
    </row>
    <row r="278" spans="4:4" ht="15.75" customHeight="1" x14ac:dyDescent="0.3">
      <c r="D278" s="47"/>
    </row>
    <row r="279" spans="4:4" ht="15.75" customHeight="1" x14ac:dyDescent="0.3">
      <c r="D279" s="47"/>
    </row>
    <row r="280" spans="4:4" ht="15.75" customHeight="1" x14ac:dyDescent="0.3">
      <c r="D280" s="47"/>
    </row>
    <row r="281" spans="4:4" ht="15.75" customHeight="1" x14ac:dyDescent="0.3">
      <c r="D281" s="47"/>
    </row>
    <row r="282" spans="4:4" ht="15.75" customHeight="1" x14ac:dyDescent="0.3">
      <c r="D282" s="47"/>
    </row>
    <row r="283" spans="4:4" ht="15.75" customHeight="1" x14ac:dyDescent="0.3">
      <c r="D283" s="47"/>
    </row>
    <row r="284" spans="4:4" ht="15.75" customHeight="1" x14ac:dyDescent="0.3">
      <c r="D284" s="47"/>
    </row>
    <row r="285" spans="4:4" ht="15.75" customHeight="1" x14ac:dyDescent="0.3">
      <c r="D285" s="47"/>
    </row>
    <row r="286" spans="4:4" ht="15.75" customHeight="1" x14ac:dyDescent="0.3">
      <c r="D286" s="47"/>
    </row>
    <row r="287" spans="4:4" ht="15.75" customHeight="1" x14ac:dyDescent="0.3">
      <c r="D287" s="47"/>
    </row>
    <row r="288" spans="4:4" ht="15.75" customHeight="1" x14ac:dyDescent="0.3">
      <c r="D288" s="47"/>
    </row>
    <row r="289" spans="4:4" ht="15.75" customHeight="1" x14ac:dyDescent="0.3">
      <c r="D289" s="47"/>
    </row>
    <row r="290" spans="4:4" ht="15.75" customHeight="1" x14ac:dyDescent="0.3">
      <c r="D290" s="47"/>
    </row>
    <row r="291" spans="4:4" ht="15.75" customHeight="1" x14ac:dyDescent="0.3">
      <c r="D291" s="47"/>
    </row>
    <row r="292" spans="4:4" ht="15.75" customHeight="1" x14ac:dyDescent="0.3">
      <c r="D292" s="47"/>
    </row>
    <row r="293" spans="4:4" ht="15.75" customHeight="1" x14ac:dyDescent="0.3">
      <c r="D293" s="47"/>
    </row>
    <row r="294" spans="4:4" ht="15.75" customHeight="1" x14ac:dyDescent="0.3">
      <c r="D294" s="47"/>
    </row>
    <row r="295" spans="4:4" ht="15.75" customHeight="1" x14ac:dyDescent="0.3">
      <c r="D295" s="47"/>
    </row>
    <row r="296" spans="4:4" ht="15.75" customHeight="1" x14ac:dyDescent="0.3">
      <c r="D296" s="47"/>
    </row>
    <row r="297" spans="4:4" ht="15.75" customHeight="1" x14ac:dyDescent="0.3">
      <c r="D297" s="47"/>
    </row>
    <row r="298" spans="4:4" ht="15.75" customHeight="1" x14ac:dyDescent="0.3">
      <c r="D298" s="47"/>
    </row>
    <row r="299" spans="4:4" ht="15.75" customHeight="1" x14ac:dyDescent="0.3">
      <c r="D299" s="47"/>
    </row>
    <row r="300" spans="4:4" ht="15.75" customHeight="1" x14ac:dyDescent="0.3">
      <c r="D300" s="47"/>
    </row>
    <row r="301" spans="4:4" ht="15.75" customHeight="1" x14ac:dyDescent="0.3">
      <c r="D301" s="47"/>
    </row>
    <row r="302" spans="4:4" ht="15.75" customHeight="1" x14ac:dyDescent="0.3">
      <c r="D302" s="47"/>
    </row>
    <row r="303" spans="4:4" ht="15.75" customHeight="1" x14ac:dyDescent="0.3">
      <c r="D303" s="47"/>
    </row>
    <row r="304" spans="4:4" ht="15.75" customHeight="1" x14ac:dyDescent="0.3">
      <c r="D304" s="47"/>
    </row>
    <row r="305" spans="4:4" ht="15.75" customHeight="1" x14ac:dyDescent="0.3">
      <c r="D305" s="47"/>
    </row>
    <row r="306" spans="4:4" ht="15.75" customHeight="1" x14ac:dyDescent="0.3">
      <c r="D306" s="47"/>
    </row>
    <row r="307" spans="4:4" ht="15.75" customHeight="1" x14ac:dyDescent="0.3">
      <c r="D307" s="47"/>
    </row>
    <row r="308" spans="4:4" ht="15.75" customHeight="1" x14ac:dyDescent="0.3">
      <c r="D308" s="47"/>
    </row>
    <row r="309" spans="4:4" ht="15.75" customHeight="1" x14ac:dyDescent="0.3">
      <c r="D309" s="47"/>
    </row>
    <row r="310" spans="4:4" ht="15.75" customHeight="1" x14ac:dyDescent="0.3">
      <c r="D310" s="47"/>
    </row>
    <row r="311" spans="4:4" ht="15.75" customHeight="1" x14ac:dyDescent="0.3">
      <c r="D311" s="47"/>
    </row>
    <row r="312" spans="4:4" ht="15.75" customHeight="1" x14ac:dyDescent="0.3">
      <c r="D312" s="47"/>
    </row>
    <row r="313" spans="4:4" ht="15.75" customHeight="1" x14ac:dyDescent="0.3">
      <c r="D313" s="47"/>
    </row>
    <row r="314" spans="4:4" ht="15.75" customHeight="1" x14ac:dyDescent="0.3">
      <c r="D314" s="47"/>
    </row>
    <row r="315" spans="4:4" ht="15.75" customHeight="1" x14ac:dyDescent="0.3">
      <c r="D315" s="47"/>
    </row>
    <row r="316" spans="4:4" ht="15.75" customHeight="1" x14ac:dyDescent="0.3">
      <c r="D316" s="47"/>
    </row>
    <row r="317" spans="4:4" ht="15.75" customHeight="1" x14ac:dyDescent="0.3">
      <c r="D317" s="47"/>
    </row>
    <row r="318" spans="4:4" ht="15.75" customHeight="1" x14ac:dyDescent="0.3">
      <c r="D318" s="47"/>
    </row>
    <row r="319" spans="4:4" ht="15.75" customHeight="1" x14ac:dyDescent="0.3">
      <c r="D319" s="47"/>
    </row>
    <row r="320" spans="4:4" ht="15.75" customHeight="1" x14ac:dyDescent="0.3">
      <c r="D320" s="47"/>
    </row>
    <row r="321" spans="4:4" ht="15.75" customHeight="1" x14ac:dyDescent="0.3">
      <c r="D321" s="47"/>
    </row>
    <row r="322" spans="4:4" ht="15.75" customHeight="1" x14ac:dyDescent="0.3">
      <c r="D322" s="47"/>
    </row>
    <row r="323" spans="4:4" ht="15.75" customHeight="1" x14ac:dyDescent="0.3">
      <c r="D323" s="47"/>
    </row>
    <row r="324" spans="4:4" ht="15.75" customHeight="1" x14ac:dyDescent="0.3">
      <c r="D324" s="47"/>
    </row>
    <row r="325" spans="4:4" ht="15.75" customHeight="1" x14ac:dyDescent="0.3">
      <c r="D325" s="47"/>
    </row>
    <row r="326" spans="4:4" ht="15.75" customHeight="1" x14ac:dyDescent="0.3">
      <c r="D326" s="47"/>
    </row>
    <row r="327" spans="4:4" ht="15.75" customHeight="1" x14ac:dyDescent="0.3">
      <c r="D327" s="47"/>
    </row>
    <row r="328" spans="4:4" ht="15.75" customHeight="1" x14ac:dyDescent="0.3">
      <c r="D328" s="47"/>
    </row>
    <row r="329" spans="4:4" ht="15.75" customHeight="1" x14ac:dyDescent="0.3">
      <c r="D329" s="47"/>
    </row>
    <row r="330" spans="4:4" ht="15.75" customHeight="1" x14ac:dyDescent="0.3">
      <c r="D330" s="47"/>
    </row>
    <row r="331" spans="4:4" ht="15.75" customHeight="1" x14ac:dyDescent="0.3">
      <c r="D331" s="47"/>
    </row>
    <row r="332" spans="4:4" ht="15.75" customHeight="1" x14ac:dyDescent="0.3">
      <c r="D332" s="47"/>
    </row>
    <row r="333" spans="4:4" ht="15.75" customHeight="1" x14ac:dyDescent="0.3">
      <c r="D333" s="47"/>
    </row>
    <row r="334" spans="4:4" ht="15.75" customHeight="1" x14ac:dyDescent="0.3">
      <c r="D334" s="47"/>
    </row>
    <row r="335" spans="4:4" ht="15.75" customHeight="1" x14ac:dyDescent="0.3">
      <c r="D335" s="47"/>
    </row>
    <row r="336" spans="4:4" ht="15.75" customHeight="1" x14ac:dyDescent="0.3">
      <c r="D336" s="47"/>
    </row>
    <row r="337" spans="4:4" ht="15.75" customHeight="1" x14ac:dyDescent="0.3">
      <c r="D337" s="47"/>
    </row>
    <row r="338" spans="4:4" ht="15.75" customHeight="1" x14ac:dyDescent="0.3">
      <c r="D338" s="47"/>
    </row>
    <row r="339" spans="4:4" ht="15.75" customHeight="1" x14ac:dyDescent="0.3">
      <c r="D339" s="47"/>
    </row>
    <row r="340" spans="4:4" ht="15.75" customHeight="1" x14ac:dyDescent="0.3">
      <c r="D340" s="47"/>
    </row>
    <row r="341" spans="4:4" ht="15.75" customHeight="1" x14ac:dyDescent="0.3">
      <c r="D341" s="47"/>
    </row>
    <row r="342" spans="4:4" ht="15.75" customHeight="1" x14ac:dyDescent="0.3">
      <c r="D342" s="47"/>
    </row>
    <row r="343" spans="4:4" ht="15.75" customHeight="1" x14ac:dyDescent="0.3">
      <c r="D343" s="47"/>
    </row>
    <row r="344" spans="4:4" ht="15.75" customHeight="1" x14ac:dyDescent="0.3">
      <c r="D344" s="47"/>
    </row>
    <row r="345" spans="4:4" ht="15.75" customHeight="1" x14ac:dyDescent="0.3">
      <c r="D345" s="47"/>
    </row>
    <row r="346" spans="4:4" ht="15.75" customHeight="1" x14ac:dyDescent="0.3">
      <c r="D346" s="47"/>
    </row>
    <row r="347" spans="4:4" ht="15.75" customHeight="1" x14ac:dyDescent="0.3">
      <c r="D347" s="47"/>
    </row>
    <row r="348" spans="4:4" ht="15.75" customHeight="1" x14ac:dyDescent="0.3">
      <c r="D348" s="47"/>
    </row>
    <row r="349" spans="4:4" ht="15.75" customHeight="1" x14ac:dyDescent="0.3">
      <c r="D349" s="47"/>
    </row>
    <row r="350" spans="4:4" ht="15.75" customHeight="1" x14ac:dyDescent="0.3">
      <c r="D350" s="47"/>
    </row>
    <row r="351" spans="4:4" ht="15.75" customHeight="1" x14ac:dyDescent="0.3">
      <c r="D351" s="47"/>
    </row>
    <row r="352" spans="4:4" ht="15.75" customHeight="1" x14ac:dyDescent="0.3">
      <c r="D352" s="47"/>
    </row>
    <row r="353" spans="4:4" ht="15.75" customHeight="1" x14ac:dyDescent="0.3">
      <c r="D353" s="47"/>
    </row>
    <row r="354" spans="4:4" ht="15.75" customHeight="1" x14ac:dyDescent="0.3">
      <c r="D354" s="47"/>
    </row>
    <row r="355" spans="4:4" ht="15.75" customHeight="1" x14ac:dyDescent="0.3">
      <c r="D355" s="47"/>
    </row>
    <row r="356" spans="4:4" ht="15.75" customHeight="1" x14ac:dyDescent="0.3">
      <c r="D356" s="47"/>
    </row>
    <row r="357" spans="4:4" ht="15.75" customHeight="1" x14ac:dyDescent="0.3">
      <c r="D357" s="47"/>
    </row>
    <row r="358" spans="4:4" ht="15.75" customHeight="1" x14ac:dyDescent="0.3">
      <c r="D358" s="47"/>
    </row>
    <row r="359" spans="4:4" ht="15.75" customHeight="1" x14ac:dyDescent="0.3">
      <c r="D359" s="47"/>
    </row>
    <row r="360" spans="4:4" ht="15.75" customHeight="1" x14ac:dyDescent="0.3">
      <c r="D360" s="47"/>
    </row>
    <row r="361" spans="4:4" ht="15.75" customHeight="1" x14ac:dyDescent="0.3">
      <c r="D361" s="47"/>
    </row>
    <row r="362" spans="4:4" ht="15.75" customHeight="1" x14ac:dyDescent="0.3">
      <c r="D362" s="47"/>
    </row>
    <row r="363" spans="4:4" ht="15.75" customHeight="1" x14ac:dyDescent="0.3">
      <c r="D363" s="47"/>
    </row>
    <row r="364" spans="4:4" ht="15.75" customHeight="1" x14ac:dyDescent="0.3">
      <c r="D364" s="47"/>
    </row>
    <row r="365" spans="4:4" ht="15.75" customHeight="1" x14ac:dyDescent="0.3">
      <c r="D365" s="47"/>
    </row>
    <row r="366" spans="4:4" ht="15.75" customHeight="1" x14ac:dyDescent="0.3">
      <c r="D366" s="47"/>
    </row>
    <row r="367" spans="4:4" ht="15.75" customHeight="1" x14ac:dyDescent="0.3">
      <c r="D367" s="47"/>
    </row>
    <row r="368" spans="4:4" ht="15.75" customHeight="1" x14ac:dyDescent="0.3">
      <c r="D368" s="47"/>
    </row>
    <row r="369" spans="4:4" ht="15.75" customHeight="1" x14ac:dyDescent="0.3">
      <c r="D369" s="47"/>
    </row>
    <row r="370" spans="4:4" ht="15.75" customHeight="1" x14ac:dyDescent="0.3">
      <c r="D370" s="47"/>
    </row>
    <row r="371" spans="4:4" ht="15.75" customHeight="1" x14ac:dyDescent="0.3">
      <c r="D371" s="47"/>
    </row>
    <row r="372" spans="4:4" ht="15.75" customHeight="1" x14ac:dyDescent="0.3">
      <c r="D372" s="47"/>
    </row>
    <row r="373" spans="4:4" ht="15.75" customHeight="1" x14ac:dyDescent="0.3">
      <c r="D373" s="47"/>
    </row>
    <row r="374" spans="4:4" ht="15.75" customHeight="1" x14ac:dyDescent="0.3">
      <c r="D374" s="47"/>
    </row>
    <row r="375" spans="4:4" ht="15.75" customHeight="1" x14ac:dyDescent="0.3">
      <c r="D375" s="47"/>
    </row>
    <row r="376" spans="4:4" ht="15.75" customHeight="1" x14ac:dyDescent="0.3">
      <c r="D376" s="47"/>
    </row>
    <row r="377" spans="4:4" ht="15.75" customHeight="1" x14ac:dyDescent="0.3">
      <c r="D377" s="47"/>
    </row>
    <row r="378" spans="4:4" ht="15.75" customHeight="1" x14ac:dyDescent="0.3">
      <c r="D378" s="47"/>
    </row>
    <row r="379" spans="4:4" ht="15.75" customHeight="1" x14ac:dyDescent="0.3">
      <c r="D379" s="47"/>
    </row>
    <row r="380" spans="4:4" ht="15.75" customHeight="1" x14ac:dyDescent="0.3">
      <c r="D380" s="47"/>
    </row>
    <row r="381" spans="4:4" ht="15.75" customHeight="1" x14ac:dyDescent="0.3">
      <c r="D381" s="47"/>
    </row>
    <row r="382" spans="4:4" ht="15.75" customHeight="1" x14ac:dyDescent="0.3">
      <c r="D382" s="47"/>
    </row>
    <row r="383" spans="4:4" ht="15.75" customHeight="1" x14ac:dyDescent="0.3">
      <c r="D383" s="47"/>
    </row>
    <row r="384" spans="4:4" ht="15.75" customHeight="1" x14ac:dyDescent="0.3">
      <c r="D384" s="47"/>
    </row>
    <row r="385" spans="4:4" ht="15.75" customHeight="1" x14ac:dyDescent="0.3">
      <c r="D385" s="47"/>
    </row>
    <row r="386" spans="4:4" ht="15.75" customHeight="1" x14ac:dyDescent="0.3">
      <c r="D386" s="47"/>
    </row>
    <row r="387" spans="4:4" ht="15.75" customHeight="1" x14ac:dyDescent="0.3">
      <c r="D387" s="47"/>
    </row>
    <row r="388" spans="4:4" ht="15.75" customHeight="1" x14ac:dyDescent="0.3">
      <c r="D388" s="47"/>
    </row>
    <row r="389" spans="4:4" ht="15.75" customHeight="1" x14ac:dyDescent="0.3">
      <c r="D389" s="47"/>
    </row>
    <row r="390" spans="4:4" ht="15.75" customHeight="1" x14ac:dyDescent="0.3">
      <c r="D390" s="47"/>
    </row>
    <row r="391" spans="4:4" ht="15.75" customHeight="1" x14ac:dyDescent="0.3">
      <c r="D391" s="47"/>
    </row>
    <row r="392" spans="4:4" ht="15.75" customHeight="1" x14ac:dyDescent="0.3">
      <c r="D392" s="47"/>
    </row>
    <row r="393" spans="4:4" ht="15.75" customHeight="1" x14ac:dyDescent="0.3">
      <c r="D393" s="47"/>
    </row>
    <row r="394" spans="4:4" ht="15.75" customHeight="1" x14ac:dyDescent="0.3">
      <c r="D394" s="47"/>
    </row>
    <row r="395" spans="4:4" ht="15.75" customHeight="1" x14ac:dyDescent="0.3">
      <c r="D395" s="47"/>
    </row>
    <row r="396" spans="4:4" ht="15.75" customHeight="1" x14ac:dyDescent="0.3">
      <c r="D396" s="47"/>
    </row>
    <row r="397" spans="4:4" ht="15.75" customHeight="1" x14ac:dyDescent="0.3">
      <c r="D397" s="47"/>
    </row>
    <row r="398" spans="4:4" ht="15.75" customHeight="1" x14ac:dyDescent="0.3">
      <c r="D398" s="47"/>
    </row>
    <row r="399" spans="4:4" ht="15.75" customHeight="1" x14ac:dyDescent="0.3">
      <c r="D399" s="47"/>
    </row>
    <row r="400" spans="4:4" ht="15.75" customHeight="1" x14ac:dyDescent="0.3">
      <c r="D400" s="47"/>
    </row>
    <row r="401" spans="4:4" ht="15.75" customHeight="1" x14ac:dyDescent="0.3">
      <c r="D401" s="47"/>
    </row>
    <row r="402" spans="4:4" ht="15.75" customHeight="1" x14ac:dyDescent="0.3">
      <c r="D402" s="47"/>
    </row>
    <row r="403" spans="4:4" ht="15.75" customHeight="1" x14ac:dyDescent="0.3">
      <c r="D403" s="47"/>
    </row>
    <row r="404" spans="4:4" ht="15.75" customHeight="1" x14ac:dyDescent="0.3">
      <c r="D404" s="47"/>
    </row>
    <row r="405" spans="4:4" ht="15.75" customHeight="1" x14ac:dyDescent="0.3">
      <c r="D405" s="47"/>
    </row>
    <row r="406" spans="4:4" ht="15.75" customHeight="1" x14ac:dyDescent="0.3">
      <c r="D406" s="47"/>
    </row>
    <row r="407" spans="4:4" ht="15.75" customHeight="1" x14ac:dyDescent="0.3">
      <c r="D407" s="47"/>
    </row>
    <row r="408" spans="4:4" ht="15.75" customHeight="1" x14ac:dyDescent="0.3">
      <c r="D408" s="47"/>
    </row>
    <row r="409" spans="4:4" ht="15.75" customHeight="1" x14ac:dyDescent="0.3">
      <c r="D409" s="47"/>
    </row>
    <row r="410" spans="4:4" ht="15.75" customHeight="1" x14ac:dyDescent="0.3">
      <c r="D410" s="47"/>
    </row>
    <row r="411" spans="4:4" ht="15.75" customHeight="1" x14ac:dyDescent="0.3">
      <c r="D411" s="47"/>
    </row>
    <row r="412" spans="4:4" ht="15.75" customHeight="1" x14ac:dyDescent="0.3">
      <c r="D412" s="47"/>
    </row>
    <row r="413" spans="4:4" ht="15.75" customHeight="1" x14ac:dyDescent="0.3">
      <c r="D413" s="47"/>
    </row>
    <row r="414" spans="4:4" ht="15.75" customHeight="1" x14ac:dyDescent="0.3">
      <c r="D414" s="47"/>
    </row>
    <row r="415" spans="4:4" ht="15.75" customHeight="1" x14ac:dyDescent="0.3">
      <c r="D415" s="47"/>
    </row>
    <row r="416" spans="4:4" ht="15.75" customHeight="1" x14ac:dyDescent="0.3">
      <c r="D416" s="47"/>
    </row>
    <row r="417" spans="4:4" ht="15.75" customHeight="1" x14ac:dyDescent="0.3">
      <c r="D417" s="47"/>
    </row>
    <row r="418" spans="4:4" ht="15.75" customHeight="1" x14ac:dyDescent="0.3">
      <c r="D418" s="47"/>
    </row>
    <row r="419" spans="4:4" ht="15.75" customHeight="1" x14ac:dyDescent="0.3">
      <c r="D419" s="47"/>
    </row>
    <row r="420" spans="4:4" ht="15.75" customHeight="1" x14ac:dyDescent="0.3">
      <c r="D420" s="47"/>
    </row>
    <row r="421" spans="4:4" ht="15.75" customHeight="1" x14ac:dyDescent="0.3">
      <c r="D421" s="47"/>
    </row>
    <row r="422" spans="4:4" ht="15.75" customHeight="1" x14ac:dyDescent="0.3">
      <c r="D422" s="47"/>
    </row>
    <row r="423" spans="4:4" ht="15.75" customHeight="1" x14ac:dyDescent="0.3">
      <c r="D423" s="47"/>
    </row>
    <row r="424" spans="4:4" ht="15.75" customHeight="1" x14ac:dyDescent="0.3">
      <c r="D424" s="47"/>
    </row>
    <row r="425" spans="4:4" ht="15.75" customHeight="1" x14ac:dyDescent="0.3">
      <c r="D425" s="47"/>
    </row>
    <row r="426" spans="4:4" ht="15.75" customHeight="1" x14ac:dyDescent="0.3">
      <c r="D426" s="47"/>
    </row>
    <row r="427" spans="4:4" ht="15.75" customHeight="1" x14ac:dyDescent="0.3">
      <c r="D427" s="47"/>
    </row>
    <row r="428" spans="4:4" ht="15.75" customHeight="1" x14ac:dyDescent="0.3">
      <c r="D428" s="47"/>
    </row>
    <row r="429" spans="4:4" ht="15.75" customHeight="1" x14ac:dyDescent="0.3">
      <c r="D429" s="47"/>
    </row>
    <row r="430" spans="4:4" ht="15.75" customHeight="1" x14ac:dyDescent="0.3">
      <c r="D430" s="47"/>
    </row>
    <row r="431" spans="4:4" ht="15.75" customHeight="1" x14ac:dyDescent="0.3">
      <c r="D431" s="47"/>
    </row>
    <row r="432" spans="4:4" ht="15.75" customHeight="1" x14ac:dyDescent="0.3">
      <c r="D432" s="47"/>
    </row>
    <row r="433" spans="4:4" ht="15.75" customHeight="1" x14ac:dyDescent="0.3">
      <c r="D433" s="47"/>
    </row>
    <row r="434" spans="4:4" ht="15.75" customHeight="1" x14ac:dyDescent="0.3">
      <c r="D434" s="47"/>
    </row>
    <row r="435" spans="4:4" ht="15.75" customHeight="1" x14ac:dyDescent="0.3">
      <c r="D435" s="47"/>
    </row>
    <row r="436" spans="4:4" ht="15.75" customHeight="1" x14ac:dyDescent="0.3">
      <c r="D436" s="47"/>
    </row>
    <row r="437" spans="4:4" ht="15.75" customHeight="1" x14ac:dyDescent="0.3">
      <c r="D437" s="47"/>
    </row>
    <row r="438" spans="4:4" ht="15.75" customHeight="1" x14ac:dyDescent="0.3">
      <c r="D438" s="47"/>
    </row>
    <row r="439" spans="4:4" ht="15.75" customHeight="1" x14ac:dyDescent="0.3">
      <c r="D439" s="47"/>
    </row>
    <row r="440" spans="4:4" ht="15.75" customHeight="1" x14ac:dyDescent="0.3">
      <c r="D440" s="47"/>
    </row>
    <row r="441" spans="4:4" ht="15.75" customHeight="1" x14ac:dyDescent="0.3">
      <c r="D441" s="47"/>
    </row>
    <row r="442" spans="4:4" ht="15.75" customHeight="1" x14ac:dyDescent="0.3">
      <c r="D442" s="47"/>
    </row>
    <row r="443" spans="4:4" ht="15.75" customHeight="1" x14ac:dyDescent="0.3">
      <c r="D443" s="47"/>
    </row>
    <row r="444" spans="4:4" ht="15.75" customHeight="1" x14ac:dyDescent="0.3">
      <c r="D444" s="47"/>
    </row>
    <row r="445" spans="4:4" ht="15.75" customHeight="1" x14ac:dyDescent="0.3">
      <c r="D445" s="47"/>
    </row>
    <row r="446" spans="4:4" ht="15.75" customHeight="1" x14ac:dyDescent="0.3">
      <c r="D446" s="47"/>
    </row>
    <row r="447" spans="4:4" ht="15.75" customHeight="1" x14ac:dyDescent="0.3">
      <c r="D447" s="47"/>
    </row>
    <row r="448" spans="4:4" ht="15.75" customHeight="1" x14ac:dyDescent="0.3">
      <c r="D448" s="47"/>
    </row>
    <row r="449" spans="4:4" ht="15.75" customHeight="1" x14ac:dyDescent="0.3">
      <c r="D449" s="47"/>
    </row>
    <row r="450" spans="4:4" ht="15.75" customHeight="1" x14ac:dyDescent="0.3">
      <c r="D450" s="47"/>
    </row>
    <row r="451" spans="4:4" ht="15.75" customHeight="1" x14ac:dyDescent="0.3">
      <c r="D451" s="47"/>
    </row>
    <row r="452" spans="4:4" ht="15.75" customHeight="1" x14ac:dyDescent="0.3">
      <c r="D452" s="47"/>
    </row>
    <row r="453" spans="4:4" ht="15.75" customHeight="1" x14ac:dyDescent="0.3">
      <c r="D453" s="47"/>
    </row>
    <row r="454" spans="4:4" ht="15.75" customHeight="1" x14ac:dyDescent="0.3">
      <c r="D454" s="47"/>
    </row>
    <row r="455" spans="4:4" ht="15.75" customHeight="1" x14ac:dyDescent="0.3">
      <c r="D455" s="47"/>
    </row>
    <row r="456" spans="4:4" ht="15.75" customHeight="1" x14ac:dyDescent="0.3">
      <c r="D456" s="47"/>
    </row>
    <row r="457" spans="4:4" ht="15.75" customHeight="1" x14ac:dyDescent="0.3">
      <c r="D457" s="47"/>
    </row>
    <row r="458" spans="4:4" ht="15.75" customHeight="1" x14ac:dyDescent="0.3">
      <c r="D458" s="47"/>
    </row>
    <row r="459" spans="4:4" ht="15.75" customHeight="1" x14ac:dyDescent="0.3">
      <c r="D459" s="47"/>
    </row>
    <row r="460" spans="4:4" ht="15.75" customHeight="1" x14ac:dyDescent="0.3">
      <c r="D460" s="47"/>
    </row>
    <row r="461" spans="4:4" ht="15.75" customHeight="1" x14ac:dyDescent="0.3">
      <c r="D461" s="47"/>
    </row>
    <row r="462" spans="4:4" ht="15.75" customHeight="1" x14ac:dyDescent="0.3">
      <c r="D462" s="47"/>
    </row>
    <row r="463" spans="4:4" ht="15.75" customHeight="1" x14ac:dyDescent="0.3">
      <c r="D463" s="47"/>
    </row>
    <row r="464" spans="4:4" ht="15.75" customHeight="1" x14ac:dyDescent="0.3">
      <c r="D464" s="47"/>
    </row>
    <row r="465" spans="4:4" ht="15.75" customHeight="1" x14ac:dyDescent="0.3">
      <c r="D465" s="47"/>
    </row>
    <row r="466" spans="4:4" ht="15.75" customHeight="1" x14ac:dyDescent="0.3">
      <c r="D466" s="47"/>
    </row>
    <row r="467" spans="4:4" ht="15.75" customHeight="1" x14ac:dyDescent="0.3">
      <c r="D467" s="47"/>
    </row>
    <row r="468" spans="4:4" ht="15.75" customHeight="1" x14ac:dyDescent="0.3">
      <c r="D468" s="47"/>
    </row>
    <row r="469" spans="4:4" ht="15.75" customHeight="1" x14ac:dyDescent="0.3">
      <c r="D469" s="47"/>
    </row>
    <row r="470" spans="4:4" ht="15.75" customHeight="1" x14ac:dyDescent="0.3">
      <c r="D470" s="47"/>
    </row>
    <row r="471" spans="4:4" ht="15.75" customHeight="1" x14ac:dyDescent="0.3">
      <c r="D471" s="47"/>
    </row>
    <row r="472" spans="4:4" ht="15.75" customHeight="1" x14ac:dyDescent="0.3">
      <c r="D472" s="47"/>
    </row>
    <row r="473" spans="4:4" ht="15.75" customHeight="1" x14ac:dyDescent="0.3">
      <c r="D473" s="47"/>
    </row>
    <row r="474" spans="4:4" ht="15.75" customHeight="1" x14ac:dyDescent="0.3">
      <c r="D474" s="47"/>
    </row>
    <row r="475" spans="4:4" ht="15.75" customHeight="1" x14ac:dyDescent="0.3">
      <c r="D475" s="47"/>
    </row>
    <row r="476" spans="4:4" ht="15.75" customHeight="1" x14ac:dyDescent="0.3">
      <c r="D476" s="47"/>
    </row>
    <row r="477" spans="4:4" ht="15.75" customHeight="1" x14ac:dyDescent="0.3">
      <c r="D477" s="47"/>
    </row>
    <row r="478" spans="4:4" ht="15.75" customHeight="1" x14ac:dyDescent="0.3">
      <c r="D478" s="47"/>
    </row>
    <row r="479" spans="4:4" ht="15.75" customHeight="1" x14ac:dyDescent="0.3">
      <c r="D479" s="47"/>
    </row>
    <row r="480" spans="4:4" ht="15.75" customHeight="1" x14ac:dyDescent="0.3">
      <c r="D480" s="47"/>
    </row>
    <row r="481" spans="4:4" ht="15.75" customHeight="1" x14ac:dyDescent="0.3">
      <c r="D481" s="47"/>
    </row>
    <row r="482" spans="4:4" ht="15.75" customHeight="1" x14ac:dyDescent="0.3">
      <c r="D482" s="47"/>
    </row>
    <row r="483" spans="4:4" ht="15.75" customHeight="1" x14ac:dyDescent="0.3">
      <c r="D483" s="47"/>
    </row>
    <row r="484" spans="4:4" ht="15.75" customHeight="1" x14ac:dyDescent="0.3">
      <c r="D484" s="47"/>
    </row>
    <row r="485" spans="4:4" ht="15.75" customHeight="1" x14ac:dyDescent="0.3">
      <c r="D485" s="47"/>
    </row>
    <row r="486" spans="4:4" ht="15.75" customHeight="1" x14ac:dyDescent="0.3">
      <c r="D486" s="47"/>
    </row>
    <row r="487" spans="4:4" ht="15.75" customHeight="1" x14ac:dyDescent="0.3">
      <c r="D487" s="47"/>
    </row>
    <row r="488" spans="4:4" ht="15.75" customHeight="1" x14ac:dyDescent="0.3">
      <c r="D488" s="47"/>
    </row>
    <row r="489" spans="4:4" ht="15.75" customHeight="1" x14ac:dyDescent="0.3">
      <c r="D489" s="47"/>
    </row>
    <row r="490" spans="4:4" ht="15.75" customHeight="1" x14ac:dyDescent="0.3">
      <c r="D490" s="47"/>
    </row>
    <row r="491" spans="4:4" ht="15.75" customHeight="1" x14ac:dyDescent="0.3">
      <c r="D491" s="47"/>
    </row>
    <row r="492" spans="4:4" ht="15.75" customHeight="1" x14ac:dyDescent="0.3">
      <c r="D492" s="47"/>
    </row>
    <row r="493" spans="4:4" ht="15.75" customHeight="1" x14ac:dyDescent="0.3">
      <c r="D493" s="47"/>
    </row>
    <row r="494" spans="4:4" ht="15.75" customHeight="1" x14ac:dyDescent="0.3">
      <c r="D494" s="47"/>
    </row>
    <row r="495" spans="4:4" ht="15.75" customHeight="1" x14ac:dyDescent="0.3">
      <c r="D495" s="47"/>
    </row>
    <row r="496" spans="4:4" ht="15.75" customHeight="1" x14ac:dyDescent="0.3">
      <c r="D496" s="47"/>
    </row>
    <row r="497" spans="4:4" ht="15.75" customHeight="1" x14ac:dyDescent="0.3">
      <c r="D497" s="47"/>
    </row>
    <row r="498" spans="4:4" ht="15.75" customHeight="1" x14ac:dyDescent="0.3">
      <c r="D498" s="47"/>
    </row>
    <row r="499" spans="4:4" ht="15.75" customHeight="1" x14ac:dyDescent="0.3">
      <c r="D499" s="47"/>
    </row>
    <row r="500" spans="4:4" ht="15.75" customHeight="1" x14ac:dyDescent="0.3">
      <c r="D500" s="47"/>
    </row>
    <row r="501" spans="4:4" ht="15.75" customHeight="1" x14ac:dyDescent="0.3">
      <c r="D501" s="47"/>
    </row>
    <row r="502" spans="4:4" ht="15.75" customHeight="1" x14ac:dyDescent="0.3">
      <c r="D502" s="47"/>
    </row>
    <row r="503" spans="4:4" ht="15.75" customHeight="1" x14ac:dyDescent="0.3">
      <c r="D503" s="47"/>
    </row>
    <row r="504" spans="4:4" ht="15.75" customHeight="1" x14ac:dyDescent="0.3">
      <c r="D504" s="47"/>
    </row>
    <row r="505" spans="4:4" ht="15.75" customHeight="1" x14ac:dyDescent="0.3">
      <c r="D505" s="47"/>
    </row>
    <row r="506" spans="4:4" ht="15.75" customHeight="1" x14ac:dyDescent="0.3">
      <c r="D506" s="47"/>
    </row>
    <row r="507" spans="4:4" ht="15.75" customHeight="1" x14ac:dyDescent="0.3">
      <c r="D507" s="47"/>
    </row>
    <row r="508" spans="4:4" ht="15.75" customHeight="1" x14ac:dyDescent="0.3">
      <c r="D508" s="47"/>
    </row>
    <row r="509" spans="4:4" ht="15.75" customHeight="1" x14ac:dyDescent="0.3">
      <c r="D509" s="47"/>
    </row>
    <row r="510" spans="4:4" ht="15.75" customHeight="1" x14ac:dyDescent="0.3">
      <c r="D510" s="47"/>
    </row>
    <row r="511" spans="4:4" ht="15.75" customHeight="1" x14ac:dyDescent="0.3">
      <c r="D511" s="47"/>
    </row>
    <row r="512" spans="4:4" ht="15.75" customHeight="1" x14ac:dyDescent="0.3">
      <c r="D512" s="47"/>
    </row>
    <row r="513" spans="4:4" ht="15.75" customHeight="1" x14ac:dyDescent="0.3">
      <c r="D513" s="47"/>
    </row>
    <row r="514" spans="4:4" ht="15.75" customHeight="1" x14ac:dyDescent="0.3">
      <c r="D514" s="47"/>
    </row>
    <row r="515" spans="4:4" ht="15.75" customHeight="1" x14ac:dyDescent="0.3">
      <c r="D515" s="47"/>
    </row>
    <row r="516" spans="4:4" ht="15.75" customHeight="1" x14ac:dyDescent="0.3">
      <c r="D516" s="47"/>
    </row>
    <row r="517" spans="4:4" ht="15.75" customHeight="1" x14ac:dyDescent="0.3">
      <c r="D517" s="47"/>
    </row>
    <row r="518" spans="4:4" ht="15.75" customHeight="1" x14ac:dyDescent="0.3">
      <c r="D518" s="47"/>
    </row>
    <row r="519" spans="4:4" ht="15.75" customHeight="1" x14ac:dyDescent="0.3">
      <c r="D519" s="47"/>
    </row>
    <row r="520" spans="4:4" ht="15.75" customHeight="1" x14ac:dyDescent="0.3">
      <c r="D520" s="47"/>
    </row>
    <row r="521" spans="4:4" ht="15.75" customHeight="1" x14ac:dyDescent="0.3">
      <c r="D521" s="47"/>
    </row>
    <row r="522" spans="4:4" ht="15.75" customHeight="1" x14ac:dyDescent="0.3">
      <c r="D522" s="47"/>
    </row>
    <row r="523" spans="4:4" ht="15.75" customHeight="1" x14ac:dyDescent="0.3">
      <c r="D523" s="47"/>
    </row>
    <row r="524" spans="4:4" ht="15.75" customHeight="1" x14ac:dyDescent="0.3">
      <c r="D524" s="47"/>
    </row>
    <row r="525" spans="4:4" ht="15.75" customHeight="1" x14ac:dyDescent="0.3">
      <c r="D525" s="47"/>
    </row>
    <row r="526" spans="4:4" ht="15.75" customHeight="1" x14ac:dyDescent="0.3">
      <c r="D526" s="47"/>
    </row>
    <row r="527" spans="4:4" ht="15.75" customHeight="1" x14ac:dyDescent="0.3">
      <c r="D527" s="47"/>
    </row>
    <row r="528" spans="4:4" ht="15.75" customHeight="1" x14ac:dyDescent="0.3">
      <c r="D528" s="47"/>
    </row>
    <row r="529" spans="4:4" ht="15.75" customHeight="1" x14ac:dyDescent="0.3">
      <c r="D529" s="47"/>
    </row>
    <row r="530" spans="4:4" ht="15.75" customHeight="1" x14ac:dyDescent="0.3">
      <c r="D530" s="47"/>
    </row>
    <row r="531" spans="4:4" ht="15.75" customHeight="1" x14ac:dyDescent="0.3">
      <c r="D531" s="47"/>
    </row>
    <row r="532" spans="4:4" ht="15.75" customHeight="1" x14ac:dyDescent="0.3">
      <c r="D532" s="47"/>
    </row>
    <row r="533" spans="4:4" ht="15.75" customHeight="1" x14ac:dyDescent="0.3">
      <c r="D533" s="47"/>
    </row>
    <row r="534" spans="4:4" ht="15.75" customHeight="1" x14ac:dyDescent="0.3">
      <c r="D534" s="47"/>
    </row>
    <row r="535" spans="4:4" ht="15.75" customHeight="1" x14ac:dyDescent="0.3">
      <c r="D535" s="47"/>
    </row>
    <row r="536" spans="4:4" ht="15.75" customHeight="1" x14ac:dyDescent="0.3">
      <c r="D536" s="47"/>
    </row>
    <row r="537" spans="4:4" ht="15.75" customHeight="1" x14ac:dyDescent="0.3">
      <c r="D537" s="47"/>
    </row>
    <row r="538" spans="4:4" ht="15.75" customHeight="1" x14ac:dyDescent="0.3">
      <c r="D538" s="47"/>
    </row>
    <row r="539" spans="4:4" ht="15.75" customHeight="1" x14ac:dyDescent="0.3">
      <c r="D539" s="47"/>
    </row>
    <row r="540" spans="4:4" ht="15.75" customHeight="1" x14ac:dyDescent="0.3">
      <c r="D540" s="47"/>
    </row>
    <row r="541" spans="4:4" ht="15.75" customHeight="1" x14ac:dyDescent="0.3">
      <c r="D541" s="47"/>
    </row>
    <row r="542" spans="4:4" ht="15.75" customHeight="1" x14ac:dyDescent="0.3">
      <c r="D542" s="47"/>
    </row>
    <row r="543" spans="4:4" ht="15.75" customHeight="1" x14ac:dyDescent="0.3">
      <c r="D543" s="47"/>
    </row>
    <row r="544" spans="4:4" ht="15.75" customHeight="1" x14ac:dyDescent="0.3">
      <c r="D544" s="47"/>
    </row>
    <row r="545" spans="4:4" ht="15.75" customHeight="1" x14ac:dyDescent="0.3">
      <c r="D545" s="47"/>
    </row>
    <row r="546" spans="4:4" ht="15.75" customHeight="1" x14ac:dyDescent="0.3">
      <c r="D546" s="47"/>
    </row>
    <row r="547" spans="4:4" ht="15.75" customHeight="1" x14ac:dyDescent="0.3">
      <c r="D547" s="47"/>
    </row>
    <row r="548" spans="4:4" ht="15.75" customHeight="1" x14ac:dyDescent="0.3">
      <c r="D548" s="47"/>
    </row>
    <row r="549" spans="4:4" ht="15.75" customHeight="1" x14ac:dyDescent="0.3">
      <c r="D549" s="47"/>
    </row>
    <row r="550" spans="4:4" ht="15.75" customHeight="1" x14ac:dyDescent="0.3">
      <c r="D550" s="47"/>
    </row>
    <row r="551" spans="4:4" ht="15.75" customHeight="1" x14ac:dyDescent="0.3">
      <c r="D551" s="47"/>
    </row>
    <row r="552" spans="4:4" ht="15.75" customHeight="1" x14ac:dyDescent="0.3">
      <c r="D552" s="47"/>
    </row>
    <row r="553" spans="4:4" ht="15.75" customHeight="1" x14ac:dyDescent="0.3">
      <c r="D553" s="47"/>
    </row>
    <row r="554" spans="4:4" ht="15.75" customHeight="1" x14ac:dyDescent="0.3">
      <c r="D554" s="47"/>
    </row>
    <row r="555" spans="4:4" ht="15.75" customHeight="1" x14ac:dyDescent="0.3">
      <c r="D555" s="47"/>
    </row>
    <row r="556" spans="4:4" ht="15.75" customHeight="1" x14ac:dyDescent="0.3">
      <c r="D556" s="47"/>
    </row>
    <row r="557" spans="4:4" ht="15.75" customHeight="1" x14ac:dyDescent="0.3">
      <c r="D557" s="47"/>
    </row>
    <row r="558" spans="4:4" ht="15.75" customHeight="1" x14ac:dyDescent="0.3">
      <c r="D558" s="47"/>
    </row>
    <row r="559" spans="4:4" ht="15.75" customHeight="1" x14ac:dyDescent="0.3">
      <c r="D559" s="47"/>
    </row>
    <row r="560" spans="4:4" ht="15.75" customHeight="1" x14ac:dyDescent="0.3">
      <c r="D560" s="47"/>
    </row>
    <row r="561" spans="4:4" ht="15.75" customHeight="1" x14ac:dyDescent="0.3">
      <c r="D561" s="47"/>
    </row>
    <row r="562" spans="4:4" ht="15.75" customHeight="1" x14ac:dyDescent="0.3">
      <c r="D562" s="47"/>
    </row>
    <row r="563" spans="4:4" ht="15.75" customHeight="1" x14ac:dyDescent="0.3">
      <c r="D563" s="47"/>
    </row>
    <row r="564" spans="4:4" ht="15.75" customHeight="1" x14ac:dyDescent="0.3">
      <c r="D564" s="47"/>
    </row>
    <row r="565" spans="4:4" ht="15.75" customHeight="1" x14ac:dyDescent="0.3">
      <c r="D565" s="47"/>
    </row>
    <row r="566" spans="4:4" ht="15.75" customHeight="1" x14ac:dyDescent="0.3">
      <c r="D566" s="47"/>
    </row>
    <row r="567" spans="4:4" ht="15.75" customHeight="1" x14ac:dyDescent="0.3">
      <c r="D567" s="47"/>
    </row>
    <row r="568" spans="4:4" ht="15.75" customHeight="1" x14ac:dyDescent="0.3">
      <c r="D568" s="47"/>
    </row>
    <row r="569" spans="4:4" ht="15.75" customHeight="1" x14ac:dyDescent="0.3">
      <c r="D569" s="47"/>
    </row>
    <row r="570" spans="4:4" ht="15.75" customHeight="1" x14ac:dyDescent="0.3">
      <c r="D570" s="47"/>
    </row>
    <row r="571" spans="4:4" ht="15.75" customHeight="1" x14ac:dyDescent="0.3">
      <c r="D571" s="47"/>
    </row>
    <row r="572" spans="4:4" ht="15.75" customHeight="1" x14ac:dyDescent="0.3">
      <c r="D572" s="47"/>
    </row>
    <row r="573" spans="4:4" ht="15.75" customHeight="1" x14ac:dyDescent="0.3">
      <c r="D573" s="47"/>
    </row>
    <row r="574" spans="4:4" ht="15.75" customHeight="1" x14ac:dyDescent="0.3">
      <c r="D574" s="47"/>
    </row>
    <row r="575" spans="4:4" ht="15.75" customHeight="1" x14ac:dyDescent="0.3">
      <c r="D575" s="47"/>
    </row>
    <row r="576" spans="4:4" ht="15.75" customHeight="1" x14ac:dyDescent="0.3">
      <c r="D576" s="47"/>
    </row>
    <row r="577" spans="4:4" ht="15.75" customHeight="1" x14ac:dyDescent="0.3">
      <c r="D577" s="47"/>
    </row>
    <row r="578" spans="4:4" ht="15.75" customHeight="1" x14ac:dyDescent="0.3">
      <c r="D578" s="47"/>
    </row>
    <row r="579" spans="4:4" ht="15.75" customHeight="1" x14ac:dyDescent="0.3">
      <c r="D579" s="47"/>
    </row>
    <row r="580" spans="4:4" ht="15.75" customHeight="1" x14ac:dyDescent="0.3">
      <c r="D580" s="47"/>
    </row>
    <row r="581" spans="4:4" ht="15.75" customHeight="1" x14ac:dyDescent="0.3">
      <c r="D581" s="47"/>
    </row>
    <row r="582" spans="4:4" ht="15.75" customHeight="1" x14ac:dyDescent="0.3">
      <c r="D582" s="47"/>
    </row>
    <row r="583" spans="4:4" ht="15.75" customHeight="1" x14ac:dyDescent="0.3">
      <c r="D583" s="47"/>
    </row>
    <row r="584" spans="4:4" ht="15.75" customHeight="1" x14ac:dyDescent="0.3">
      <c r="D584" s="47"/>
    </row>
    <row r="585" spans="4:4" ht="15.75" customHeight="1" x14ac:dyDescent="0.3">
      <c r="D585" s="47"/>
    </row>
    <row r="586" spans="4:4" ht="15.75" customHeight="1" x14ac:dyDescent="0.3">
      <c r="D586" s="47"/>
    </row>
    <row r="587" spans="4:4" ht="15.75" customHeight="1" x14ac:dyDescent="0.3">
      <c r="D587" s="47"/>
    </row>
    <row r="588" spans="4:4" ht="15.75" customHeight="1" x14ac:dyDescent="0.3">
      <c r="D588" s="47"/>
    </row>
    <row r="589" spans="4:4" ht="15.75" customHeight="1" x14ac:dyDescent="0.3">
      <c r="D589" s="47"/>
    </row>
    <row r="590" spans="4:4" ht="15.75" customHeight="1" x14ac:dyDescent="0.3">
      <c r="D590" s="47"/>
    </row>
    <row r="591" spans="4:4" ht="15.75" customHeight="1" x14ac:dyDescent="0.3">
      <c r="D591" s="47"/>
    </row>
    <row r="592" spans="4:4" ht="15.75" customHeight="1" x14ac:dyDescent="0.3">
      <c r="D592" s="47"/>
    </row>
    <row r="593" spans="4:4" ht="15.75" customHeight="1" x14ac:dyDescent="0.3">
      <c r="D593" s="47"/>
    </row>
    <row r="594" spans="4:4" ht="15.75" customHeight="1" x14ac:dyDescent="0.3">
      <c r="D594" s="47"/>
    </row>
    <row r="595" spans="4:4" ht="15.75" customHeight="1" x14ac:dyDescent="0.3">
      <c r="D595" s="47"/>
    </row>
    <row r="596" spans="4:4" ht="15.75" customHeight="1" x14ac:dyDescent="0.3">
      <c r="D596" s="47"/>
    </row>
    <row r="597" spans="4:4" ht="15.75" customHeight="1" x14ac:dyDescent="0.3">
      <c r="D597" s="47"/>
    </row>
    <row r="598" spans="4:4" ht="15.75" customHeight="1" x14ac:dyDescent="0.3">
      <c r="D598" s="47"/>
    </row>
    <row r="599" spans="4:4" ht="15.75" customHeight="1" x14ac:dyDescent="0.3">
      <c r="D599" s="47"/>
    </row>
    <row r="600" spans="4:4" ht="15.75" customHeight="1" x14ac:dyDescent="0.3">
      <c r="D600" s="47"/>
    </row>
    <row r="601" spans="4:4" ht="15.75" customHeight="1" x14ac:dyDescent="0.3">
      <c r="D601" s="47"/>
    </row>
    <row r="602" spans="4:4" ht="15.75" customHeight="1" x14ac:dyDescent="0.3">
      <c r="D602" s="47"/>
    </row>
    <row r="603" spans="4:4" ht="15.75" customHeight="1" x14ac:dyDescent="0.3">
      <c r="D603" s="47"/>
    </row>
    <row r="604" spans="4:4" ht="15.75" customHeight="1" x14ac:dyDescent="0.3">
      <c r="D604" s="47"/>
    </row>
    <row r="605" spans="4:4" ht="15.75" customHeight="1" x14ac:dyDescent="0.3">
      <c r="D605" s="47"/>
    </row>
    <row r="606" spans="4:4" ht="15.75" customHeight="1" x14ac:dyDescent="0.3">
      <c r="D606" s="47"/>
    </row>
    <row r="607" spans="4:4" ht="15.75" customHeight="1" x14ac:dyDescent="0.3">
      <c r="D607" s="47"/>
    </row>
    <row r="608" spans="4:4" ht="15.75" customHeight="1" x14ac:dyDescent="0.3">
      <c r="D608" s="47"/>
    </row>
    <row r="609" spans="4:4" ht="15.75" customHeight="1" x14ac:dyDescent="0.3">
      <c r="D609" s="47"/>
    </row>
    <row r="610" spans="4:4" ht="15.75" customHeight="1" x14ac:dyDescent="0.3">
      <c r="D610" s="47"/>
    </row>
    <row r="611" spans="4:4" ht="15.75" customHeight="1" x14ac:dyDescent="0.3">
      <c r="D611" s="47"/>
    </row>
    <row r="612" spans="4:4" ht="15.75" customHeight="1" x14ac:dyDescent="0.3">
      <c r="D612" s="47"/>
    </row>
    <row r="613" spans="4:4" ht="15.75" customHeight="1" x14ac:dyDescent="0.3">
      <c r="D613" s="47"/>
    </row>
    <row r="614" spans="4:4" ht="15.75" customHeight="1" x14ac:dyDescent="0.3">
      <c r="D614" s="47"/>
    </row>
    <row r="615" spans="4:4" ht="15.75" customHeight="1" x14ac:dyDescent="0.3">
      <c r="D615" s="47"/>
    </row>
    <row r="616" spans="4:4" ht="15.75" customHeight="1" x14ac:dyDescent="0.3">
      <c r="D616" s="47"/>
    </row>
    <row r="617" spans="4:4" ht="15.75" customHeight="1" x14ac:dyDescent="0.3">
      <c r="D617" s="47"/>
    </row>
    <row r="618" spans="4:4" ht="15.75" customHeight="1" x14ac:dyDescent="0.3">
      <c r="D618" s="47"/>
    </row>
    <row r="619" spans="4:4" ht="15.75" customHeight="1" x14ac:dyDescent="0.3">
      <c r="D619" s="47"/>
    </row>
    <row r="620" spans="4:4" ht="15.75" customHeight="1" x14ac:dyDescent="0.3">
      <c r="D620" s="47"/>
    </row>
    <row r="621" spans="4:4" ht="15.75" customHeight="1" x14ac:dyDescent="0.3">
      <c r="D621" s="47"/>
    </row>
    <row r="622" spans="4:4" ht="15.75" customHeight="1" x14ac:dyDescent="0.3">
      <c r="D622" s="47"/>
    </row>
    <row r="623" spans="4:4" ht="15.75" customHeight="1" x14ac:dyDescent="0.3">
      <c r="D623" s="47"/>
    </row>
    <row r="624" spans="4:4" ht="15.75" customHeight="1" x14ac:dyDescent="0.3">
      <c r="D624" s="47"/>
    </row>
    <row r="625" spans="4:4" ht="15.75" customHeight="1" x14ac:dyDescent="0.3">
      <c r="D625" s="47"/>
    </row>
    <row r="626" spans="4:4" ht="15.75" customHeight="1" x14ac:dyDescent="0.3">
      <c r="D626" s="47"/>
    </row>
    <row r="627" spans="4:4" ht="15.75" customHeight="1" x14ac:dyDescent="0.3">
      <c r="D627" s="47"/>
    </row>
    <row r="628" spans="4:4" ht="15.75" customHeight="1" x14ac:dyDescent="0.3">
      <c r="D628" s="47"/>
    </row>
    <row r="629" spans="4:4" ht="15.75" customHeight="1" x14ac:dyDescent="0.3">
      <c r="D629" s="47"/>
    </row>
    <row r="630" spans="4:4" ht="15.75" customHeight="1" x14ac:dyDescent="0.3">
      <c r="D630" s="47"/>
    </row>
    <row r="631" spans="4:4" ht="15.75" customHeight="1" x14ac:dyDescent="0.3">
      <c r="D631" s="47"/>
    </row>
    <row r="632" spans="4:4" ht="15.75" customHeight="1" x14ac:dyDescent="0.3">
      <c r="D632" s="47"/>
    </row>
    <row r="633" spans="4:4" ht="15.75" customHeight="1" x14ac:dyDescent="0.3">
      <c r="D633" s="47"/>
    </row>
    <row r="634" spans="4:4" ht="15.75" customHeight="1" x14ac:dyDescent="0.3">
      <c r="D634" s="47"/>
    </row>
    <row r="635" spans="4:4" ht="15.75" customHeight="1" x14ac:dyDescent="0.3">
      <c r="D635" s="47"/>
    </row>
    <row r="636" spans="4:4" ht="15.75" customHeight="1" x14ac:dyDescent="0.3">
      <c r="D636" s="47"/>
    </row>
    <row r="637" spans="4:4" ht="15.75" customHeight="1" x14ac:dyDescent="0.3">
      <c r="D637" s="47"/>
    </row>
    <row r="638" spans="4:4" ht="15.75" customHeight="1" x14ac:dyDescent="0.3">
      <c r="D638" s="47"/>
    </row>
    <row r="639" spans="4:4" ht="15.75" customHeight="1" x14ac:dyDescent="0.3">
      <c r="D639" s="47"/>
    </row>
    <row r="640" spans="4:4" ht="15.75" customHeight="1" x14ac:dyDescent="0.3">
      <c r="D640" s="47"/>
    </row>
    <row r="641" spans="4:4" ht="15.75" customHeight="1" x14ac:dyDescent="0.3">
      <c r="D641" s="47"/>
    </row>
    <row r="642" spans="4:4" ht="15.75" customHeight="1" x14ac:dyDescent="0.3">
      <c r="D642" s="47"/>
    </row>
    <row r="643" spans="4:4" ht="15.75" customHeight="1" x14ac:dyDescent="0.3">
      <c r="D643" s="47"/>
    </row>
    <row r="644" spans="4:4" ht="15.75" customHeight="1" x14ac:dyDescent="0.3">
      <c r="D644" s="47"/>
    </row>
    <row r="645" spans="4:4" ht="15.75" customHeight="1" x14ac:dyDescent="0.3">
      <c r="D645" s="47"/>
    </row>
    <row r="646" spans="4:4" ht="15.75" customHeight="1" x14ac:dyDescent="0.3">
      <c r="D646" s="47"/>
    </row>
    <row r="647" spans="4:4" ht="15.75" customHeight="1" x14ac:dyDescent="0.3">
      <c r="D647" s="47"/>
    </row>
    <row r="648" spans="4:4" ht="15.75" customHeight="1" x14ac:dyDescent="0.3">
      <c r="D648" s="47"/>
    </row>
    <row r="649" spans="4:4" ht="15.75" customHeight="1" x14ac:dyDescent="0.3">
      <c r="D649" s="47"/>
    </row>
    <row r="650" spans="4:4" ht="15.75" customHeight="1" x14ac:dyDescent="0.3">
      <c r="D650" s="47"/>
    </row>
    <row r="651" spans="4:4" ht="15.75" customHeight="1" x14ac:dyDescent="0.3">
      <c r="D651" s="47"/>
    </row>
    <row r="652" spans="4:4" ht="15.75" customHeight="1" x14ac:dyDescent="0.3">
      <c r="D652" s="47"/>
    </row>
    <row r="653" spans="4:4" ht="15.75" customHeight="1" x14ac:dyDescent="0.3">
      <c r="D653" s="47"/>
    </row>
    <row r="654" spans="4:4" ht="15.75" customHeight="1" x14ac:dyDescent="0.3">
      <c r="D654" s="47"/>
    </row>
    <row r="655" spans="4:4" ht="15.75" customHeight="1" x14ac:dyDescent="0.3">
      <c r="D655" s="47"/>
    </row>
    <row r="656" spans="4:4" ht="15.75" customHeight="1" x14ac:dyDescent="0.3">
      <c r="D656" s="47"/>
    </row>
    <row r="657" spans="4:4" ht="15.75" customHeight="1" x14ac:dyDescent="0.3">
      <c r="D657" s="47"/>
    </row>
    <row r="658" spans="4:4" ht="15.75" customHeight="1" x14ac:dyDescent="0.3">
      <c r="D658" s="47"/>
    </row>
    <row r="659" spans="4:4" ht="15.75" customHeight="1" x14ac:dyDescent="0.3">
      <c r="D659" s="47"/>
    </row>
    <row r="660" spans="4:4" ht="15.75" customHeight="1" x14ac:dyDescent="0.3">
      <c r="D660" s="47"/>
    </row>
    <row r="661" spans="4:4" ht="15.75" customHeight="1" x14ac:dyDescent="0.3">
      <c r="D661" s="47"/>
    </row>
    <row r="662" spans="4:4" ht="15.75" customHeight="1" x14ac:dyDescent="0.3">
      <c r="D662" s="47"/>
    </row>
    <row r="663" spans="4:4" ht="15.75" customHeight="1" x14ac:dyDescent="0.3">
      <c r="D663" s="47"/>
    </row>
    <row r="664" spans="4:4" ht="15.75" customHeight="1" x14ac:dyDescent="0.3">
      <c r="D664" s="47"/>
    </row>
    <row r="665" spans="4:4" ht="15.75" customHeight="1" x14ac:dyDescent="0.3">
      <c r="D665" s="47"/>
    </row>
    <row r="666" spans="4:4" ht="15.75" customHeight="1" x14ac:dyDescent="0.3">
      <c r="D666" s="47"/>
    </row>
    <row r="667" spans="4:4" ht="15.75" customHeight="1" x14ac:dyDescent="0.3">
      <c r="D667" s="47"/>
    </row>
    <row r="668" spans="4:4" ht="15.75" customHeight="1" x14ac:dyDescent="0.3">
      <c r="D668" s="47"/>
    </row>
    <row r="669" spans="4:4" ht="15.75" customHeight="1" x14ac:dyDescent="0.3">
      <c r="D669" s="47"/>
    </row>
    <row r="670" spans="4:4" ht="15.75" customHeight="1" x14ac:dyDescent="0.3">
      <c r="D670" s="47"/>
    </row>
    <row r="671" spans="4:4" ht="15.75" customHeight="1" x14ac:dyDescent="0.3">
      <c r="D671" s="47"/>
    </row>
    <row r="672" spans="4:4" ht="15.75" customHeight="1" x14ac:dyDescent="0.3">
      <c r="D672" s="47"/>
    </row>
    <row r="673" spans="4:4" ht="15.75" customHeight="1" x14ac:dyDescent="0.3">
      <c r="D673" s="47"/>
    </row>
    <row r="674" spans="4:4" ht="15.75" customHeight="1" x14ac:dyDescent="0.3">
      <c r="D674" s="47"/>
    </row>
    <row r="675" spans="4:4" ht="15.75" customHeight="1" x14ac:dyDescent="0.3">
      <c r="D675" s="47"/>
    </row>
    <row r="676" spans="4:4" ht="15.75" customHeight="1" x14ac:dyDescent="0.3">
      <c r="D676" s="47"/>
    </row>
    <row r="677" spans="4:4" ht="15.75" customHeight="1" x14ac:dyDescent="0.3">
      <c r="D677" s="47"/>
    </row>
    <row r="678" spans="4:4" ht="15.75" customHeight="1" x14ac:dyDescent="0.3">
      <c r="D678" s="47"/>
    </row>
    <row r="679" spans="4:4" ht="15.75" customHeight="1" x14ac:dyDescent="0.3">
      <c r="D679" s="47"/>
    </row>
    <row r="680" spans="4:4" ht="15.75" customHeight="1" x14ac:dyDescent="0.3">
      <c r="D680" s="47"/>
    </row>
    <row r="681" spans="4:4" ht="15.75" customHeight="1" x14ac:dyDescent="0.3">
      <c r="D681" s="47"/>
    </row>
    <row r="682" spans="4:4" ht="15.75" customHeight="1" x14ac:dyDescent="0.3">
      <c r="D682" s="47"/>
    </row>
    <row r="683" spans="4:4" ht="15.75" customHeight="1" x14ac:dyDescent="0.3">
      <c r="D683" s="47"/>
    </row>
    <row r="684" spans="4:4" ht="15.75" customHeight="1" x14ac:dyDescent="0.3">
      <c r="D684" s="47"/>
    </row>
    <row r="685" spans="4:4" ht="15.75" customHeight="1" x14ac:dyDescent="0.3">
      <c r="D685" s="47"/>
    </row>
    <row r="686" spans="4:4" ht="15.75" customHeight="1" x14ac:dyDescent="0.3">
      <c r="D686" s="47"/>
    </row>
    <row r="687" spans="4:4" ht="15.75" customHeight="1" x14ac:dyDescent="0.3">
      <c r="D687" s="47"/>
    </row>
    <row r="688" spans="4:4" ht="15.75" customHeight="1" x14ac:dyDescent="0.3">
      <c r="D688" s="47"/>
    </row>
    <row r="689" spans="4:4" ht="15.75" customHeight="1" x14ac:dyDescent="0.3">
      <c r="D689" s="47"/>
    </row>
    <row r="690" spans="4:4" ht="15.75" customHeight="1" x14ac:dyDescent="0.3">
      <c r="D690" s="47"/>
    </row>
    <row r="691" spans="4:4" ht="15.75" customHeight="1" x14ac:dyDescent="0.3">
      <c r="D691" s="47"/>
    </row>
    <row r="692" spans="4:4" ht="15.75" customHeight="1" x14ac:dyDescent="0.3">
      <c r="D692" s="47"/>
    </row>
    <row r="693" spans="4:4" ht="15.75" customHeight="1" x14ac:dyDescent="0.3">
      <c r="D693" s="47"/>
    </row>
    <row r="694" spans="4:4" ht="15.75" customHeight="1" x14ac:dyDescent="0.3">
      <c r="D694" s="47"/>
    </row>
    <row r="695" spans="4:4" ht="15.75" customHeight="1" x14ac:dyDescent="0.3">
      <c r="D695" s="47"/>
    </row>
    <row r="696" spans="4:4" ht="15.75" customHeight="1" x14ac:dyDescent="0.3">
      <c r="D696" s="47"/>
    </row>
    <row r="697" spans="4:4" ht="15.75" customHeight="1" x14ac:dyDescent="0.3">
      <c r="D697" s="47"/>
    </row>
    <row r="698" spans="4:4" ht="15.75" customHeight="1" x14ac:dyDescent="0.3">
      <c r="D698" s="47"/>
    </row>
    <row r="699" spans="4:4" ht="15.75" customHeight="1" x14ac:dyDescent="0.3">
      <c r="D699" s="47"/>
    </row>
    <row r="700" spans="4:4" ht="15.75" customHeight="1" x14ac:dyDescent="0.3">
      <c r="D700" s="47"/>
    </row>
    <row r="701" spans="4:4" ht="15.75" customHeight="1" x14ac:dyDescent="0.3">
      <c r="D701" s="47"/>
    </row>
    <row r="702" spans="4:4" ht="15.75" customHeight="1" x14ac:dyDescent="0.3">
      <c r="D702" s="47"/>
    </row>
    <row r="703" spans="4:4" ht="15.75" customHeight="1" x14ac:dyDescent="0.3">
      <c r="D703" s="47"/>
    </row>
    <row r="704" spans="4:4" ht="15.75" customHeight="1" x14ac:dyDescent="0.3">
      <c r="D704" s="47"/>
    </row>
    <row r="705" spans="4:4" ht="15.75" customHeight="1" x14ac:dyDescent="0.3">
      <c r="D705" s="47"/>
    </row>
    <row r="706" spans="4:4" ht="15.75" customHeight="1" x14ac:dyDescent="0.3">
      <c r="D706" s="47"/>
    </row>
    <row r="707" spans="4:4" ht="15.75" customHeight="1" x14ac:dyDescent="0.3">
      <c r="D707" s="47"/>
    </row>
    <row r="708" spans="4:4" ht="15.75" customHeight="1" x14ac:dyDescent="0.3">
      <c r="D708" s="47"/>
    </row>
    <row r="709" spans="4:4" ht="15.75" customHeight="1" x14ac:dyDescent="0.3">
      <c r="D709" s="47"/>
    </row>
    <row r="710" spans="4:4" ht="15.75" customHeight="1" x14ac:dyDescent="0.3">
      <c r="D710" s="47"/>
    </row>
    <row r="711" spans="4:4" ht="15.75" customHeight="1" x14ac:dyDescent="0.3">
      <c r="D711" s="47"/>
    </row>
    <row r="712" spans="4:4" ht="15.75" customHeight="1" x14ac:dyDescent="0.3">
      <c r="D712" s="47"/>
    </row>
    <row r="713" spans="4:4" ht="15.75" customHeight="1" x14ac:dyDescent="0.3">
      <c r="D713" s="47"/>
    </row>
    <row r="714" spans="4:4" ht="15.75" customHeight="1" x14ac:dyDescent="0.3">
      <c r="D714" s="47"/>
    </row>
    <row r="715" spans="4:4" ht="15.75" customHeight="1" x14ac:dyDescent="0.3">
      <c r="D715" s="47"/>
    </row>
    <row r="716" spans="4:4" ht="15.75" customHeight="1" x14ac:dyDescent="0.3">
      <c r="D716" s="47"/>
    </row>
    <row r="717" spans="4:4" ht="15.75" customHeight="1" x14ac:dyDescent="0.3">
      <c r="D717" s="47"/>
    </row>
    <row r="718" spans="4:4" ht="15.75" customHeight="1" x14ac:dyDescent="0.3">
      <c r="D718" s="47"/>
    </row>
    <row r="719" spans="4:4" ht="15.75" customHeight="1" x14ac:dyDescent="0.3">
      <c r="D719" s="47"/>
    </row>
    <row r="720" spans="4:4" ht="15.75" customHeight="1" x14ac:dyDescent="0.3">
      <c r="D720" s="47"/>
    </row>
    <row r="721" spans="4:4" ht="15.75" customHeight="1" x14ac:dyDescent="0.3">
      <c r="D721" s="47"/>
    </row>
    <row r="722" spans="4:4" ht="15.75" customHeight="1" x14ac:dyDescent="0.3">
      <c r="D722" s="47"/>
    </row>
    <row r="723" spans="4:4" ht="15.75" customHeight="1" x14ac:dyDescent="0.3">
      <c r="D723" s="47"/>
    </row>
    <row r="724" spans="4:4" ht="15.75" customHeight="1" x14ac:dyDescent="0.3">
      <c r="D724" s="47"/>
    </row>
    <row r="725" spans="4:4" ht="15.75" customHeight="1" x14ac:dyDescent="0.3">
      <c r="D725" s="47"/>
    </row>
    <row r="726" spans="4:4" ht="15.75" customHeight="1" x14ac:dyDescent="0.3">
      <c r="D726" s="47"/>
    </row>
    <row r="727" spans="4:4" ht="15.75" customHeight="1" x14ac:dyDescent="0.3">
      <c r="D727" s="47"/>
    </row>
    <row r="728" spans="4:4" ht="15.75" customHeight="1" x14ac:dyDescent="0.3">
      <c r="D728" s="47"/>
    </row>
    <row r="729" spans="4:4" ht="15.75" customHeight="1" x14ac:dyDescent="0.3">
      <c r="D729" s="47"/>
    </row>
    <row r="730" spans="4:4" ht="15.75" customHeight="1" x14ac:dyDescent="0.3">
      <c r="D730" s="47"/>
    </row>
    <row r="731" spans="4:4" ht="15.75" customHeight="1" x14ac:dyDescent="0.3">
      <c r="D731" s="47"/>
    </row>
    <row r="732" spans="4:4" ht="15.75" customHeight="1" x14ac:dyDescent="0.3">
      <c r="D732" s="47"/>
    </row>
    <row r="733" spans="4:4" ht="15.75" customHeight="1" x14ac:dyDescent="0.3">
      <c r="D733" s="47"/>
    </row>
    <row r="734" spans="4:4" ht="15.75" customHeight="1" x14ac:dyDescent="0.3">
      <c r="D734" s="47"/>
    </row>
    <row r="735" spans="4:4" ht="15.75" customHeight="1" x14ac:dyDescent="0.3">
      <c r="D735" s="47"/>
    </row>
    <row r="736" spans="4:4" ht="15.75" customHeight="1" x14ac:dyDescent="0.3">
      <c r="D736" s="47"/>
    </row>
    <row r="737" spans="4:4" ht="15.75" customHeight="1" x14ac:dyDescent="0.3">
      <c r="D737" s="47"/>
    </row>
    <row r="738" spans="4:4" ht="15.75" customHeight="1" x14ac:dyDescent="0.3">
      <c r="D738" s="47"/>
    </row>
    <row r="739" spans="4:4" ht="15.75" customHeight="1" x14ac:dyDescent="0.3">
      <c r="D739" s="47"/>
    </row>
    <row r="740" spans="4:4" ht="15.75" customHeight="1" x14ac:dyDescent="0.3">
      <c r="D740" s="47"/>
    </row>
    <row r="741" spans="4:4" ht="15.75" customHeight="1" x14ac:dyDescent="0.3">
      <c r="D741" s="47"/>
    </row>
    <row r="742" spans="4:4" ht="15.75" customHeight="1" x14ac:dyDescent="0.3">
      <c r="D742" s="47"/>
    </row>
    <row r="743" spans="4:4" ht="15.75" customHeight="1" x14ac:dyDescent="0.3">
      <c r="D743" s="47"/>
    </row>
    <row r="744" spans="4:4" ht="15.75" customHeight="1" x14ac:dyDescent="0.3">
      <c r="D744" s="47"/>
    </row>
    <row r="745" spans="4:4" ht="15.75" customHeight="1" x14ac:dyDescent="0.3">
      <c r="D745" s="47"/>
    </row>
    <row r="746" spans="4:4" ht="15.75" customHeight="1" x14ac:dyDescent="0.3">
      <c r="D746" s="47"/>
    </row>
    <row r="747" spans="4:4" ht="15.75" customHeight="1" x14ac:dyDescent="0.3">
      <c r="D747" s="47"/>
    </row>
    <row r="748" spans="4:4" ht="15.75" customHeight="1" x14ac:dyDescent="0.3">
      <c r="D748" s="47"/>
    </row>
    <row r="749" spans="4:4" ht="15.75" customHeight="1" x14ac:dyDescent="0.3">
      <c r="D749" s="47"/>
    </row>
    <row r="750" spans="4:4" ht="15.75" customHeight="1" x14ac:dyDescent="0.3">
      <c r="D750" s="47"/>
    </row>
    <row r="751" spans="4:4" ht="15.75" customHeight="1" x14ac:dyDescent="0.3">
      <c r="D751" s="47"/>
    </row>
    <row r="752" spans="4:4" ht="15.75" customHeight="1" x14ac:dyDescent="0.3">
      <c r="D752" s="47"/>
    </row>
    <row r="753" spans="4:4" ht="15.75" customHeight="1" x14ac:dyDescent="0.3">
      <c r="D753" s="47"/>
    </row>
    <row r="754" spans="4:4" ht="15.75" customHeight="1" x14ac:dyDescent="0.3">
      <c r="D754" s="47"/>
    </row>
    <row r="755" spans="4:4" ht="15.75" customHeight="1" x14ac:dyDescent="0.3">
      <c r="D755" s="47"/>
    </row>
    <row r="756" spans="4:4" ht="15.75" customHeight="1" x14ac:dyDescent="0.3">
      <c r="D756" s="47"/>
    </row>
    <row r="757" spans="4:4" ht="15.75" customHeight="1" x14ac:dyDescent="0.3">
      <c r="D757" s="47"/>
    </row>
    <row r="758" spans="4:4" ht="15.75" customHeight="1" x14ac:dyDescent="0.3">
      <c r="D758" s="47"/>
    </row>
    <row r="759" spans="4:4" ht="15.75" customHeight="1" x14ac:dyDescent="0.3">
      <c r="D759" s="47"/>
    </row>
    <row r="760" spans="4:4" ht="15.75" customHeight="1" x14ac:dyDescent="0.3">
      <c r="D760" s="47"/>
    </row>
    <row r="761" spans="4:4" ht="15.75" customHeight="1" x14ac:dyDescent="0.3">
      <c r="D761" s="47"/>
    </row>
    <row r="762" spans="4:4" ht="15.75" customHeight="1" x14ac:dyDescent="0.3">
      <c r="D762" s="47"/>
    </row>
    <row r="763" spans="4:4" ht="15.75" customHeight="1" x14ac:dyDescent="0.3">
      <c r="D763" s="47"/>
    </row>
    <row r="764" spans="4:4" ht="15.75" customHeight="1" x14ac:dyDescent="0.3">
      <c r="D764" s="47"/>
    </row>
    <row r="765" spans="4:4" ht="15.75" customHeight="1" x14ac:dyDescent="0.3">
      <c r="D765" s="47"/>
    </row>
    <row r="766" spans="4:4" ht="15.75" customHeight="1" x14ac:dyDescent="0.3">
      <c r="D766" s="47"/>
    </row>
    <row r="767" spans="4:4" ht="15.75" customHeight="1" x14ac:dyDescent="0.3">
      <c r="D767" s="47"/>
    </row>
    <row r="768" spans="4:4" ht="15.75" customHeight="1" x14ac:dyDescent="0.3">
      <c r="D768" s="47"/>
    </row>
    <row r="769" spans="4:4" ht="15.75" customHeight="1" x14ac:dyDescent="0.3">
      <c r="D769" s="47"/>
    </row>
    <row r="770" spans="4:4" ht="15.75" customHeight="1" x14ac:dyDescent="0.3">
      <c r="D770" s="47"/>
    </row>
    <row r="771" spans="4:4" ht="15.75" customHeight="1" x14ac:dyDescent="0.3">
      <c r="D771" s="47"/>
    </row>
    <row r="772" spans="4:4" ht="15.75" customHeight="1" x14ac:dyDescent="0.3">
      <c r="D772" s="47"/>
    </row>
    <row r="773" spans="4:4" ht="15.75" customHeight="1" x14ac:dyDescent="0.3">
      <c r="D773" s="47"/>
    </row>
    <row r="774" spans="4:4" ht="15.75" customHeight="1" x14ac:dyDescent="0.3">
      <c r="D774" s="47"/>
    </row>
    <row r="775" spans="4:4" ht="15.75" customHeight="1" x14ac:dyDescent="0.3">
      <c r="D775" s="47"/>
    </row>
    <row r="776" spans="4:4" ht="15.75" customHeight="1" x14ac:dyDescent="0.3">
      <c r="D776" s="47"/>
    </row>
    <row r="777" spans="4:4" ht="15.75" customHeight="1" x14ac:dyDescent="0.3">
      <c r="D777" s="47"/>
    </row>
    <row r="778" spans="4:4" ht="15.75" customHeight="1" x14ac:dyDescent="0.3">
      <c r="D778" s="47"/>
    </row>
    <row r="779" spans="4:4" ht="15.75" customHeight="1" x14ac:dyDescent="0.3">
      <c r="D779" s="47"/>
    </row>
    <row r="780" spans="4:4" ht="15.75" customHeight="1" x14ac:dyDescent="0.3">
      <c r="D780" s="47"/>
    </row>
    <row r="781" spans="4:4" ht="15.75" customHeight="1" x14ac:dyDescent="0.3">
      <c r="D781" s="47"/>
    </row>
    <row r="782" spans="4:4" ht="15.75" customHeight="1" x14ac:dyDescent="0.3">
      <c r="D782" s="47"/>
    </row>
    <row r="783" spans="4:4" ht="15.75" customHeight="1" x14ac:dyDescent="0.3">
      <c r="D783" s="47"/>
    </row>
    <row r="784" spans="4:4" ht="15.75" customHeight="1" x14ac:dyDescent="0.3">
      <c r="D784" s="47"/>
    </row>
    <row r="785" spans="4:4" ht="15.75" customHeight="1" x14ac:dyDescent="0.3">
      <c r="D785" s="47"/>
    </row>
    <row r="786" spans="4:4" ht="15.75" customHeight="1" x14ac:dyDescent="0.3">
      <c r="D786" s="47"/>
    </row>
    <row r="787" spans="4:4" ht="15.75" customHeight="1" x14ac:dyDescent="0.3">
      <c r="D787" s="47"/>
    </row>
    <row r="788" spans="4:4" ht="15.75" customHeight="1" x14ac:dyDescent="0.3">
      <c r="D788" s="47"/>
    </row>
    <row r="789" spans="4:4" ht="15.75" customHeight="1" x14ac:dyDescent="0.3">
      <c r="D789" s="47"/>
    </row>
    <row r="790" spans="4:4" ht="15.75" customHeight="1" x14ac:dyDescent="0.3">
      <c r="D790" s="47"/>
    </row>
    <row r="791" spans="4:4" ht="15.75" customHeight="1" x14ac:dyDescent="0.3">
      <c r="D791" s="47"/>
    </row>
    <row r="792" spans="4:4" ht="15.75" customHeight="1" x14ac:dyDescent="0.3">
      <c r="D792" s="47"/>
    </row>
    <row r="793" spans="4:4" ht="15.75" customHeight="1" x14ac:dyDescent="0.3">
      <c r="D793" s="47"/>
    </row>
    <row r="794" spans="4:4" ht="15.75" customHeight="1" x14ac:dyDescent="0.3">
      <c r="D794" s="47"/>
    </row>
    <row r="795" spans="4:4" ht="15.75" customHeight="1" x14ac:dyDescent="0.3">
      <c r="D795" s="47"/>
    </row>
    <row r="796" spans="4:4" ht="15.75" customHeight="1" x14ac:dyDescent="0.3">
      <c r="D796" s="47"/>
    </row>
    <row r="797" spans="4:4" ht="15.75" customHeight="1" x14ac:dyDescent="0.3">
      <c r="D797" s="47"/>
    </row>
    <row r="798" spans="4:4" ht="15.75" customHeight="1" x14ac:dyDescent="0.3">
      <c r="D798" s="47"/>
    </row>
    <row r="799" spans="4:4" ht="15.75" customHeight="1" x14ac:dyDescent="0.3">
      <c r="D799" s="47"/>
    </row>
    <row r="800" spans="4:4" ht="15.75" customHeight="1" x14ac:dyDescent="0.3">
      <c r="D800" s="47"/>
    </row>
    <row r="801" spans="4:4" ht="15.75" customHeight="1" x14ac:dyDescent="0.3">
      <c r="D801" s="47"/>
    </row>
    <row r="802" spans="4:4" ht="15.75" customHeight="1" x14ac:dyDescent="0.3">
      <c r="D802" s="47"/>
    </row>
    <row r="803" spans="4:4" ht="15.75" customHeight="1" x14ac:dyDescent="0.3">
      <c r="D803" s="47"/>
    </row>
    <row r="804" spans="4:4" ht="15.75" customHeight="1" x14ac:dyDescent="0.3">
      <c r="D804" s="47"/>
    </row>
    <row r="805" spans="4:4" ht="15.75" customHeight="1" x14ac:dyDescent="0.3">
      <c r="D805" s="47"/>
    </row>
    <row r="806" spans="4:4" ht="15.75" customHeight="1" x14ac:dyDescent="0.3">
      <c r="D806" s="47"/>
    </row>
    <row r="807" spans="4:4" ht="15.75" customHeight="1" x14ac:dyDescent="0.3">
      <c r="D807" s="47"/>
    </row>
    <row r="808" spans="4:4" ht="15.75" customHeight="1" x14ac:dyDescent="0.3">
      <c r="D808" s="47"/>
    </row>
    <row r="809" spans="4:4" ht="15.75" customHeight="1" x14ac:dyDescent="0.3">
      <c r="D809" s="47"/>
    </row>
    <row r="810" spans="4:4" ht="15.75" customHeight="1" x14ac:dyDescent="0.3">
      <c r="D810" s="47"/>
    </row>
    <row r="811" spans="4:4" ht="15.75" customHeight="1" x14ac:dyDescent="0.3">
      <c r="D811" s="47"/>
    </row>
    <row r="812" spans="4:4" ht="15.75" customHeight="1" x14ac:dyDescent="0.3">
      <c r="D812" s="47"/>
    </row>
    <row r="813" spans="4:4" ht="15.75" customHeight="1" x14ac:dyDescent="0.3">
      <c r="D813" s="47"/>
    </row>
    <row r="814" spans="4:4" ht="15.75" customHeight="1" x14ac:dyDescent="0.3">
      <c r="D814" s="47"/>
    </row>
    <row r="815" spans="4:4" ht="15.75" customHeight="1" x14ac:dyDescent="0.3">
      <c r="D815" s="47"/>
    </row>
    <row r="816" spans="4:4" ht="15.75" customHeight="1" x14ac:dyDescent="0.3">
      <c r="D816" s="47"/>
    </row>
    <row r="817" spans="4:4" ht="15.75" customHeight="1" x14ac:dyDescent="0.3">
      <c r="D817" s="47"/>
    </row>
    <row r="818" spans="4:4" ht="15.75" customHeight="1" x14ac:dyDescent="0.3">
      <c r="D818" s="47"/>
    </row>
    <row r="819" spans="4:4" ht="15.75" customHeight="1" x14ac:dyDescent="0.3">
      <c r="D819" s="47"/>
    </row>
    <row r="820" spans="4:4" ht="15.75" customHeight="1" x14ac:dyDescent="0.3">
      <c r="D820" s="47"/>
    </row>
    <row r="821" spans="4:4" ht="15.75" customHeight="1" x14ac:dyDescent="0.3">
      <c r="D821" s="47"/>
    </row>
    <row r="822" spans="4:4" ht="15.75" customHeight="1" x14ac:dyDescent="0.3">
      <c r="D822" s="47"/>
    </row>
    <row r="823" spans="4:4" ht="15.75" customHeight="1" x14ac:dyDescent="0.3">
      <c r="D823" s="47"/>
    </row>
    <row r="824" spans="4:4" ht="15.75" customHeight="1" x14ac:dyDescent="0.3">
      <c r="D824" s="47"/>
    </row>
    <row r="825" spans="4:4" ht="15.75" customHeight="1" x14ac:dyDescent="0.3">
      <c r="D825" s="47"/>
    </row>
    <row r="826" spans="4:4" ht="15.75" customHeight="1" x14ac:dyDescent="0.3">
      <c r="D826" s="47"/>
    </row>
    <row r="827" spans="4:4" ht="15.75" customHeight="1" x14ac:dyDescent="0.3">
      <c r="D827" s="47"/>
    </row>
    <row r="828" spans="4:4" ht="15.75" customHeight="1" x14ac:dyDescent="0.3">
      <c r="D828" s="47"/>
    </row>
    <row r="829" spans="4:4" ht="15.75" customHeight="1" x14ac:dyDescent="0.3">
      <c r="D829" s="47"/>
    </row>
    <row r="830" spans="4:4" ht="15.75" customHeight="1" x14ac:dyDescent="0.3">
      <c r="D830" s="47"/>
    </row>
    <row r="831" spans="4:4" ht="15.75" customHeight="1" x14ac:dyDescent="0.3">
      <c r="D831" s="47"/>
    </row>
    <row r="832" spans="4:4" ht="15.75" customHeight="1" x14ac:dyDescent="0.3">
      <c r="D832" s="47"/>
    </row>
    <row r="833" spans="4:4" ht="15.75" customHeight="1" x14ac:dyDescent="0.3">
      <c r="D833" s="47"/>
    </row>
    <row r="834" spans="4:4" ht="15.75" customHeight="1" x14ac:dyDescent="0.3">
      <c r="D834" s="47"/>
    </row>
    <row r="835" spans="4:4" ht="15.75" customHeight="1" x14ac:dyDescent="0.3">
      <c r="D835" s="47"/>
    </row>
    <row r="836" spans="4:4" ht="15.75" customHeight="1" x14ac:dyDescent="0.3">
      <c r="D836" s="47"/>
    </row>
    <row r="837" spans="4:4" ht="15.75" customHeight="1" x14ac:dyDescent="0.3">
      <c r="D837" s="47"/>
    </row>
    <row r="838" spans="4:4" ht="15.75" customHeight="1" x14ac:dyDescent="0.3">
      <c r="D838" s="47"/>
    </row>
    <row r="839" spans="4:4" ht="15.75" customHeight="1" x14ac:dyDescent="0.3">
      <c r="D839" s="47"/>
    </row>
    <row r="840" spans="4:4" ht="15.75" customHeight="1" x14ac:dyDescent="0.3">
      <c r="D840" s="47"/>
    </row>
    <row r="841" spans="4:4" ht="15.75" customHeight="1" x14ac:dyDescent="0.3">
      <c r="D841" s="47"/>
    </row>
    <row r="842" spans="4:4" ht="15.75" customHeight="1" x14ac:dyDescent="0.3">
      <c r="D842" s="47"/>
    </row>
    <row r="843" spans="4:4" ht="15.75" customHeight="1" x14ac:dyDescent="0.3">
      <c r="D843" s="47"/>
    </row>
    <row r="844" spans="4:4" ht="15.75" customHeight="1" x14ac:dyDescent="0.3">
      <c r="D844" s="47"/>
    </row>
    <row r="845" spans="4:4" ht="15.75" customHeight="1" x14ac:dyDescent="0.3">
      <c r="D845" s="47"/>
    </row>
    <row r="846" spans="4:4" ht="15.75" customHeight="1" x14ac:dyDescent="0.3">
      <c r="D846" s="47"/>
    </row>
    <row r="847" spans="4:4" ht="15.75" customHeight="1" x14ac:dyDescent="0.3">
      <c r="D847" s="47"/>
    </row>
    <row r="848" spans="4:4" ht="15.75" customHeight="1" x14ac:dyDescent="0.3">
      <c r="D848" s="47"/>
    </row>
    <row r="849" spans="4:4" ht="15.75" customHeight="1" x14ac:dyDescent="0.3">
      <c r="D849" s="47"/>
    </row>
    <row r="850" spans="4:4" ht="15.75" customHeight="1" x14ac:dyDescent="0.3">
      <c r="D850" s="47"/>
    </row>
    <row r="851" spans="4:4" ht="15.75" customHeight="1" x14ac:dyDescent="0.3">
      <c r="D851" s="47"/>
    </row>
    <row r="852" spans="4:4" ht="15.75" customHeight="1" x14ac:dyDescent="0.3">
      <c r="D852" s="47"/>
    </row>
    <row r="853" spans="4:4" ht="15.75" customHeight="1" x14ac:dyDescent="0.3">
      <c r="D853" s="47"/>
    </row>
    <row r="854" spans="4:4" ht="15.75" customHeight="1" x14ac:dyDescent="0.3">
      <c r="D854" s="47"/>
    </row>
    <row r="855" spans="4:4" ht="15.75" customHeight="1" x14ac:dyDescent="0.3">
      <c r="D855" s="47"/>
    </row>
    <row r="856" spans="4:4" ht="15.75" customHeight="1" x14ac:dyDescent="0.3">
      <c r="D856" s="47"/>
    </row>
    <row r="857" spans="4:4" ht="15.75" customHeight="1" x14ac:dyDescent="0.3">
      <c r="D857" s="47"/>
    </row>
    <row r="858" spans="4:4" ht="15.75" customHeight="1" x14ac:dyDescent="0.3">
      <c r="D858" s="47"/>
    </row>
    <row r="859" spans="4:4" ht="15.75" customHeight="1" x14ac:dyDescent="0.3">
      <c r="D859" s="47"/>
    </row>
    <row r="860" spans="4:4" ht="15.75" customHeight="1" x14ac:dyDescent="0.3">
      <c r="D860" s="47"/>
    </row>
    <row r="861" spans="4:4" ht="15.75" customHeight="1" x14ac:dyDescent="0.3">
      <c r="D861" s="47"/>
    </row>
    <row r="862" spans="4:4" ht="15.75" customHeight="1" x14ac:dyDescent="0.3">
      <c r="D862" s="47"/>
    </row>
    <row r="863" spans="4:4" ht="15.75" customHeight="1" x14ac:dyDescent="0.3">
      <c r="D863" s="47"/>
    </row>
    <row r="864" spans="4:4" ht="15.75" customHeight="1" x14ac:dyDescent="0.3">
      <c r="D864" s="47"/>
    </row>
    <row r="865" spans="4:4" ht="15.75" customHeight="1" x14ac:dyDescent="0.3">
      <c r="D865" s="47"/>
    </row>
    <row r="866" spans="4:4" ht="15.75" customHeight="1" x14ac:dyDescent="0.3">
      <c r="D866" s="47"/>
    </row>
    <row r="867" spans="4:4" ht="15.75" customHeight="1" x14ac:dyDescent="0.3">
      <c r="D867" s="47"/>
    </row>
    <row r="868" spans="4:4" ht="15.75" customHeight="1" x14ac:dyDescent="0.3">
      <c r="D868" s="47"/>
    </row>
    <row r="869" spans="4:4" ht="15.75" customHeight="1" x14ac:dyDescent="0.3">
      <c r="D869" s="47"/>
    </row>
    <row r="870" spans="4:4" ht="15.75" customHeight="1" x14ac:dyDescent="0.3">
      <c r="D870" s="47"/>
    </row>
    <row r="871" spans="4:4" ht="15.75" customHeight="1" x14ac:dyDescent="0.3">
      <c r="D871" s="47"/>
    </row>
    <row r="872" spans="4:4" ht="15.75" customHeight="1" x14ac:dyDescent="0.3">
      <c r="D872" s="47"/>
    </row>
    <row r="873" spans="4:4" ht="15.75" customHeight="1" x14ac:dyDescent="0.3">
      <c r="D873" s="47"/>
    </row>
    <row r="874" spans="4:4" ht="15.75" customHeight="1" x14ac:dyDescent="0.3">
      <c r="D874" s="47"/>
    </row>
    <row r="875" spans="4:4" ht="15.75" customHeight="1" x14ac:dyDescent="0.3">
      <c r="D875" s="47"/>
    </row>
    <row r="876" spans="4:4" ht="15.75" customHeight="1" x14ac:dyDescent="0.3">
      <c r="D876" s="47"/>
    </row>
    <row r="877" spans="4:4" ht="15.75" customHeight="1" x14ac:dyDescent="0.3">
      <c r="D877" s="47"/>
    </row>
    <row r="878" spans="4:4" ht="15.75" customHeight="1" x14ac:dyDescent="0.3">
      <c r="D878" s="47"/>
    </row>
    <row r="879" spans="4:4" ht="15.75" customHeight="1" x14ac:dyDescent="0.3">
      <c r="D879" s="47"/>
    </row>
    <row r="880" spans="4:4" ht="15.75" customHeight="1" x14ac:dyDescent="0.3">
      <c r="D880" s="47"/>
    </row>
    <row r="881" spans="4:4" ht="15.75" customHeight="1" x14ac:dyDescent="0.3">
      <c r="D881" s="47"/>
    </row>
    <row r="882" spans="4:4" ht="15.75" customHeight="1" x14ac:dyDescent="0.3">
      <c r="D882" s="47"/>
    </row>
    <row r="883" spans="4:4" ht="15.75" customHeight="1" x14ac:dyDescent="0.3">
      <c r="D883" s="47"/>
    </row>
    <row r="884" spans="4:4" ht="15.75" customHeight="1" x14ac:dyDescent="0.3">
      <c r="D884" s="47"/>
    </row>
    <row r="885" spans="4:4" ht="15.75" customHeight="1" x14ac:dyDescent="0.3">
      <c r="D885" s="47"/>
    </row>
    <row r="886" spans="4:4" ht="15.75" customHeight="1" x14ac:dyDescent="0.3">
      <c r="D886" s="47"/>
    </row>
    <row r="887" spans="4:4" ht="15.75" customHeight="1" x14ac:dyDescent="0.3">
      <c r="D887" s="47"/>
    </row>
    <row r="888" spans="4:4" ht="15.75" customHeight="1" x14ac:dyDescent="0.3">
      <c r="D888" s="47"/>
    </row>
    <row r="889" spans="4:4" ht="15.75" customHeight="1" x14ac:dyDescent="0.3">
      <c r="D889" s="47"/>
    </row>
    <row r="890" spans="4:4" ht="15.75" customHeight="1" x14ac:dyDescent="0.3">
      <c r="D890" s="47"/>
    </row>
    <row r="891" spans="4:4" ht="15.75" customHeight="1" x14ac:dyDescent="0.3">
      <c r="D891" s="47"/>
    </row>
    <row r="892" spans="4:4" ht="15.75" customHeight="1" x14ac:dyDescent="0.3">
      <c r="D892" s="47"/>
    </row>
    <row r="893" spans="4:4" ht="15.75" customHeight="1" x14ac:dyDescent="0.3">
      <c r="D893" s="47"/>
    </row>
    <row r="894" spans="4:4" ht="15.75" customHeight="1" x14ac:dyDescent="0.3">
      <c r="D894" s="47"/>
    </row>
    <row r="895" spans="4:4" ht="15.75" customHeight="1" x14ac:dyDescent="0.3">
      <c r="D895" s="47"/>
    </row>
    <row r="896" spans="4:4" ht="15.75" customHeight="1" x14ac:dyDescent="0.3">
      <c r="D896" s="47"/>
    </row>
    <row r="897" spans="4:4" ht="15.75" customHeight="1" x14ac:dyDescent="0.3">
      <c r="D897" s="47"/>
    </row>
    <row r="898" spans="4:4" ht="15.75" customHeight="1" x14ac:dyDescent="0.3">
      <c r="D898" s="47"/>
    </row>
    <row r="899" spans="4:4" ht="15.75" customHeight="1" x14ac:dyDescent="0.3">
      <c r="D899" s="47"/>
    </row>
    <row r="900" spans="4:4" ht="15.75" customHeight="1" x14ac:dyDescent="0.3">
      <c r="D900" s="47"/>
    </row>
    <row r="901" spans="4:4" ht="15.75" customHeight="1" x14ac:dyDescent="0.3">
      <c r="D901" s="47"/>
    </row>
    <row r="902" spans="4:4" ht="15.75" customHeight="1" x14ac:dyDescent="0.3">
      <c r="D902" s="47"/>
    </row>
    <row r="903" spans="4:4" ht="15.75" customHeight="1" x14ac:dyDescent="0.3">
      <c r="D903" s="47"/>
    </row>
    <row r="904" spans="4:4" ht="15.75" customHeight="1" x14ac:dyDescent="0.3">
      <c r="D904" s="47"/>
    </row>
    <row r="905" spans="4:4" ht="15.75" customHeight="1" x14ac:dyDescent="0.3">
      <c r="D905" s="47"/>
    </row>
    <row r="906" spans="4:4" ht="15.75" customHeight="1" x14ac:dyDescent="0.3">
      <c r="D906" s="47"/>
    </row>
    <row r="907" spans="4:4" ht="15.75" customHeight="1" x14ac:dyDescent="0.3">
      <c r="D907" s="47"/>
    </row>
    <row r="908" spans="4:4" ht="15.75" customHeight="1" x14ac:dyDescent="0.3">
      <c r="D908" s="47"/>
    </row>
    <row r="909" spans="4:4" ht="15.75" customHeight="1" x14ac:dyDescent="0.3">
      <c r="D909" s="47"/>
    </row>
    <row r="910" spans="4:4" ht="15.75" customHeight="1" x14ac:dyDescent="0.3">
      <c r="D910" s="47"/>
    </row>
    <row r="911" spans="4:4" ht="15.75" customHeight="1" x14ac:dyDescent="0.3">
      <c r="D911" s="47"/>
    </row>
    <row r="912" spans="4:4" ht="15.75" customHeight="1" x14ac:dyDescent="0.3">
      <c r="D912" s="47"/>
    </row>
    <row r="913" spans="4:4" ht="15.75" customHeight="1" x14ac:dyDescent="0.3">
      <c r="D913" s="47"/>
    </row>
    <row r="914" spans="4:4" ht="15.75" customHeight="1" x14ac:dyDescent="0.3">
      <c r="D914" s="47"/>
    </row>
    <row r="915" spans="4:4" ht="15.75" customHeight="1" x14ac:dyDescent="0.3">
      <c r="D915" s="47"/>
    </row>
    <row r="916" spans="4:4" ht="15.75" customHeight="1" x14ac:dyDescent="0.3">
      <c r="D916" s="47"/>
    </row>
    <row r="917" spans="4:4" ht="15.75" customHeight="1" x14ac:dyDescent="0.3">
      <c r="D917" s="47"/>
    </row>
    <row r="918" spans="4:4" ht="15.75" customHeight="1" x14ac:dyDescent="0.3">
      <c r="D918" s="47"/>
    </row>
    <row r="919" spans="4:4" ht="15.75" customHeight="1" x14ac:dyDescent="0.3">
      <c r="D919" s="47"/>
    </row>
    <row r="920" spans="4:4" ht="15.75" customHeight="1" x14ac:dyDescent="0.3">
      <c r="D920" s="47"/>
    </row>
    <row r="921" spans="4:4" ht="15.75" customHeight="1" x14ac:dyDescent="0.3">
      <c r="D921" s="47"/>
    </row>
    <row r="922" spans="4:4" ht="15.75" customHeight="1" x14ac:dyDescent="0.3">
      <c r="D922" s="47"/>
    </row>
    <row r="923" spans="4:4" ht="15.75" customHeight="1" x14ac:dyDescent="0.3">
      <c r="D923" s="47"/>
    </row>
    <row r="924" spans="4:4" ht="15.75" customHeight="1" x14ac:dyDescent="0.3">
      <c r="D924" s="47"/>
    </row>
    <row r="925" spans="4:4" ht="15.75" customHeight="1" x14ac:dyDescent="0.3">
      <c r="D925" s="47"/>
    </row>
    <row r="926" spans="4:4" ht="15.75" customHeight="1" x14ac:dyDescent="0.3">
      <c r="D926" s="47"/>
    </row>
    <row r="927" spans="4:4" ht="15.75" customHeight="1" x14ac:dyDescent="0.3">
      <c r="D927" s="47"/>
    </row>
    <row r="928" spans="4:4" ht="15.75" customHeight="1" x14ac:dyDescent="0.3">
      <c r="D928" s="47"/>
    </row>
    <row r="929" spans="4:4" ht="15.75" customHeight="1" x14ac:dyDescent="0.3">
      <c r="D929" s="47"/>
    </row>
    <row r="930" spans="4:4" ht="15.75" customHeight="1" x14ac:dyDescent="0.3">
      <c r="D930" s="47"/>
    </row>
    <row r="931" spans="4:4" ht="15.75" customHeight="1" x14ac:dyDescent="0.3">
      <c r="D931" s="47"/>
    </row>
    <row r="932" spans="4:4" ht="15.75" customHeight="1" x14ac:dyDescent="0.3">
      <c r="D932" s="47"/>
    </row>
    <row r="933" spans="4:4" ht="15.75" customHeight="1" x14ac:dyDescent="0.3">
      <c r="D933" s="47"/>
    </row>
    <row r="934" spans="4:4" ht="15.75" customHeight="1" x14ac:dyDescent="0.3">
      <c r="D934" s="47"/>
    </row>
    <row r="935" spans="4:4" ht="15.75" customHeight="1" x14ac:dyDescent="0.3">
      <c r="D935" s="47"/>
    </row>
    <row r="936" spans="4:4" ht="15.75" customHeight="1" x14ac:dyDescent="0.3">
      <c r="D936" s="47"/>
    </row>
    <row r="937" spans="4:4" ht="15.75" customHeight="1" x14ac:dyDescent="0.3">
      <c r="D937" s="47"/>
    </row>
    <row r="938" spans="4:4" ht="15.75" customHeight="1" x14ac:dyDescent="0.3">
      <c r="D938" s="47"/>
    </row>
    <row r="939" spans="4:4" ht="15.75" customHeight="1" x14ac:dyDescent="0.3">
      <c r="D939" s="47"/>
    </row>
    <row r="940" spans="4:4" ht="15.75" customHeight="1" x14ac:dyDescent="0.3">
      <c r="D940" s="47"/>
    </row>
    <row r="941" spans="4:4" ht="15.75" customHeight="1" x14ac:dyDescent="0.3">
      <c r="D941" s="47"/>
    </row>
    <row r="942" spans="4:4" ht="15.75" customHeight="1" x14ac:dyDescent="0.3">
      <c r="D942" s="47"/>
    </row>
    <row r="943" spans="4:4" ht="15.75" customHeight="1" x14ac:dyDescent="0.3">
      <c r="D943" s="47"/>
    </row>
    <row r="944" spans="4:4" ht="15.75" customHeight="1" x14ac:dyDescent="0.3">
      <c r="D944" s="47"/>
    </row>
    <row r="945" spans="4:4" ht="15.75" customHeight="1" x14ac:dyDescent="0.3">
      <c r="D945" s="47"/>
    </row>
    <row r="946" spans="4:4" ht="15.75" customHeight="1" x14ac:dyDescent="0.3">
      <c r="D946" s="47"/>
    </row>
    <row r="947" spans="4:4" ht="15.75" customHeight="1" x14ac:dyDescent="0.3">
      <c r="D947" s="47"/>
    </row>
    <row r="948" spans="4:4" ht="15.75" customHeight="1" x14ac:dyDescent="0.3">
      <c r="D948" s="47"/>
    </row>
    <row r="949" spans="4:4" ht="15.75" customHeight="1" x14ac:dyDescent="0.3">
      <c r="D949" s="47"/>
    </row>
    <row r="950" spans="4:4" ht="15.75" customHeight="1" x14ac:dyDescent="0.3">
      <c r="D950" s="47"/>
    </row>
    <row r="951" spans="4:4" ht="15.75" customHeight="1" x14ac:dyDescent="0.3">
      <c r="D951" s="47"/>
    </row>
    <row r="952" spans="4:4" ht="15.75" customHeight="1" x14ac:dyDescent="0.3">
      <c r="D952" s="47"/>
    </row>
    <row r="953" spans="4:4" ht="15.75" customHeight="1" x14ac:dyDescent="0.3">
      <c r="D953" s="47"/>
    </row>
    <row r="954" spans="4:4" ht="15.75" customHeight="1" x14ac:dyDescent="0.3">
      <c r="D954" s="47"/>
    </row>
    <row r="955" spans="4:4" ht="15.75" customHeight="1" x14ac:dyDescent="0.3">
      <c r="D955" s="47"/>
    </row>
    <row r="956" spans="4:4" ht="15.75" customHeight="1" x14ac:dyDescent="0.3">
      <c r="D956" s="47"/>
    </row>
    <row r="957" spans="4:4" ht="15.75" customHeight="1" x14ac:dyDescent="0.3">
      <c r="D957" s="47"/>
    </row>
    <row r="958" spans="4:4" ht="15.75" customHeight="1" x14ac:dyDescent="0.3">
      <c r="D958" s="47"/>
    </row>
    <row r="959" spans="4:4" ht="15.75" customHeight="1" x14ac:dyDescent="0.3">
      <c r="D959" s="47"/>
    </row>
    <row r="960" spans="4:4" ht="15.75" customHeight="1" x14ac:dyDescent="0.3">
      <c r="D960" s="47"/>
    </row>
    <row r="961" spans="4:4" ht="15.75" customHeight="1" x14ac:dyDescent="0.3">
      <c r="D961" s="47"/>
    </row>
    <row r="962" spans="4:4" ht="15.75" customHeight="1" x14ac:dyDescent="0.3">
      <c r="D962" s="47"/>
    </row>
    <row r="963" spans="4:4" ht="15.75" customHeight="1" x14ac:dyDescent="0.3">
      <c r="D963" s="47"/>
    </row>
    <row r="964" spans="4:4" ht="15.75" customHeight="1" x14ac:dyDescent="0.3">
      <c r="D964" s="47"/>
    </row>
    <row r="965" spans="4:4" ht="15.75" customHeight="1" x14ac:dyDescent="0.3">
      <c r="D965" s="47"/>
    </row>
    <row r="966" spans="4:4" ht="15.75" customHeight="1" x14ac:dyDescent="0.3">
      <c r="D966" s="47"/>
    </row>
    <row r="967" spans="4:4" ht="15.75" customHeight="1" x14ac:dyDescent="0.3">
      <c r="D967" s="47"/>
    </row>
    <row r="968" spans="4:4" ht="15.75" customHeight="1" x14ac:dyDescent="0.3">
      <c r="D968" s="47"/>
    </row>
    <row r="969" spans="4:4" ht="15.75" customHeight="1" x14ac:dyDescent="0.3">
      <c r="D969" s="47"/>
    </row>
    <row r="970" spans="4:4" ht="15.75" customHeight="1" x14ac:dyDescent="0.3">
      <c r="D970" s="47"/>
    </row>
    <row r="971" spans="4:4" ht="15.75" customHeight="1" x14ac:dyDescent="0.3">
      <c r="D971" s="47"/>
    </row>
    <row r="972" spans="4:4" ht="15.75" customHeight="1" x14ac:dyDescent="0.3">
      <c r="D972" s="47"/>
    </row>
    <row r="973" spans="4:4" ht="15.75" customHeight="1" x14ac:dyDescent="0.3">
      <c r="D973" s="47"/>
    </row>
    <row r="974" spans="4:4" ht="15.75" customHeight="1" x14ac:dyDescent="0.3">
      <c r="D974" s="47"/>
    </row>
    <row r="975" spans="4:4" ht="15.75" customHeight="1" x14ac:dyDescent="0.3">
      <c r="D975" s="47"/>
    </row>
    <row r="976" spans="4:4" ht="15.75" customHeight="1" x14ac:dyDescent="0.3">
      <c r="D976" s="47"/>
    </row>
    <row r="977" spans="4:4" ht="15.75" customHeight="1" x14ac:dyDescent="0.3">
      <c r="D977" s="47"/>
    </row>
    <row r="978" spans="4:4" ht="15.75" customHeight="1" x14ac:dyDescent="0.3">
      <c r="D978" s="47"/>
    </row>
    <row r="979" spans="4:4" ht="15.75" customHeight="1" x14ac:dyDescent="0.3">
      <c r="D979" s="47"/>
    </row>
    <row r="980" spans="4:4" ht="15.75" customHeight="1" x14ac:dyDescent="0.3">
      <c r="D980" s="47"/>
    </row>
    <row r="981" spans="4:4" ht="15.75" customHeight="1" x14ac:dyDescent="0.3">
      <c r="D981" s="47"/>
    </row>
    <row r="982" spans="4:4" ht="15.75" customHeight="1" x14ac:dyDescent="0.3">
      <c r="D982" s="47"/>
    </row>
    <row r="983" spans="4:4" ht="15.75" customHeight="1" x14ac:dyDescent="0.3">
      <c r="D983" s="47"/>
    </row>
    <row r="984" spans="4:4" ht="15.75" customHeight="1" x14ac:dyDescent="0.3">
      <c r="D984" s="47"/>
    </row>
    <row r="985" spans="4:4" ht="15.75" customHeight="1" x14ac:dyDescent="0.3">
      <c r="D985" s="47"/>
    </row>
    <row r="986" spans="4:4" ht="15.75" customHeight="1" x14ac:dyDescent="0.3">
      <c r="D986" s="47"/>
    </row>
    <row r="987" spans="4:4" ht="15.75" customHeight="1" x14ac:dyDescent="0.3">
      <c r="D987" s="47"/>
    </row>
    <row r="988" spans="4:4" ht="15.75" customHeight="1" x14ac:dyDescent="0.3">
      <c r="D988" s="47"/>
    </row>
    <row r="989" spans="4:4" ht="15.75" customHeight="1" x14ac:dyDescent="0.3">
      <c r="D989" s="47"/>
    </row>
    <row r="990" spans="4:4" ht="15.75" customHeight="1" x14ac:dyDescent="0.3">
      <c r="D990" s="47"/>
    </row>
    <row r="991" spans="4:4" ht="15.75" customHeight="1" x14ac:dyDescent="0.3">
      <c r="D991" s="47"/>
    </row>
    <row r="992" spans="4:4" ht="15.75" customHeight="1" x14ac:dyDescent="0.3">
      <c r="D992" s="47"/>
    </row>
    <row r="993" spans="4:4" ht="15.75" customHeight="1" x14ac:dyDescent="0.3">
      <c r="D993" s="47"/>
    </row>
    <row r="994" spans="4:4" ht="15.75" customHeight="1" x14ac:dyDescent="0.3">
      <c r="D994" s="47"/>
    </row>
    <row r="995" spans="4:4" ht="15.75" customHeight="1" x14ac:dyDescent="0.3">
      <c r="D995" s="47"/>
    </row>
    <row r="996" spans="4:4" ht="15.75" customHeight="1" x14ac:dyDescent="0.3">
      <c r="D996" s="47"/>
    </row>
    <row r="997" spans="4:4" ht="15.75" customHeight="1" x14ac:dyDescent="0.3">
      <c r="D997" s="47"/>
    </row>
    <row r="998" spans="4:4" ht="15.75" customHeight="1" x14ac:dyDescent="0.3">
      <c r="D998" s="47"/>
    </row>
    <row r="999" spans="4:4" ht="15.75" customHeight="1" x14ac:dyDescent="0.3">
      <c r="D999" s="47"/>
    </row>
    <row r="1000" spans="4:4" ht="15.75" customHeight="1" x14ac:dyDescent="0.3">
      <c r="D1000" s="47"/>
    </row>
    <row r="1001" spans="4:4" ht="15.75" customHeight="1" x14ac:dyDescent="0.3">
      <c r="D1001" s="47"/>
    </row>
    <row r="1002" spans="4:4" ht="15.75" customHeight="1" x14ac:dyDescent="0.3">
      <c r="D1002" s="47"/>
    </row>
  </sheetData>
  <mergeCells count="3">
    <mergeCell ref="A1:D1"/>
    <mergeCell ref="A2:D2"/>
    <mergeCell ref="A3:D3"/>
  </mergeCells>
  <pageMargins left="0.7" right="0.7" top="0.75" bottom="0.75" header="0" footer="0"/>
  <pageSetup orientation="portrait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G23" sqref="G23"/>
    </sheetView>
  </sheetViews>
  <sheetFormatPr baseColWidth="10" defaultColWidth="14.44140625" defaultRowHeight="15" customHeight="1" x14ac:dyDescent="0.3"/>
  <cols>
    <col min="1" max="1" width="11.44140625" customWidth="1"/>
    <col min="2" max="2" width="12.88671875" customWidth="1"/>
    <col min="3" max="3" width="43.109375" customWidth="1"/>
    <col min="4" max="4" width="9.44140625" customWidth="1"/>
    <col min="5" max="5" width="11.44140625" customWidth="1"/>
    <col min="6" max="6" width="35.109375" customWidth="1"/>
    <col min="7" max="7" width="16.6640625" customWidth="1"/>
    <col min="8" max="26" width="11.44140625" customWidth="1"/>
  </cols>
  <sheetData>
    <row r="1" spans="1:14" ht="14.4" x14ac:dyDescent="0.3">
      <c r="A1" s="359" t="s">
        <v>0</v>
      </c>
      <c r="B1" s="358"/>
      <c r="C1" s="358"/>
      <c r="D1" s="358"/>
      <c r="G1" s="47"/>
    </row>
    <row r="2" spans="1:14" ht="14.4" x14ac:dyDescent="0.3">
      <c r="A2" s="359" t="s">
        <v>82</v>
      </c>
      <c r="B2" s="358"/>
      <c r="C2" s="358"/>
      <c r="D2" s="358"/>
      <c r="G2" s="47"/>
    </row>
    <row r="3" spans="1:14" ht="14.4" x14ac:dyDescent="0.3">
      <c r="A3" s="359" t="s">
        <v>111</v>
      </c>
      <c r="B3" s="358"/>
      <c r="C3" s="358"/>
      <c r="D3" s="358"/>
      <c r="G3" s="47"/>
    </row>
    <row r="4" spans="1:14" ht="14.4" x14ac:dyDescent="0.3">
      <c r="A4" s="42"/>
      <c r="B4" s="28"/>
      <c r="C4" s="28"/>
      <c r="D4" s="27" t="s">
        <v>66</v>
      </c>
      <c r="G4" s="47"/>
    </row>
    <row r="5" spans="1:14" ht="14.4" x14ac:dyDescent="0.3">
      <c r="A5" s="48" t="s">
        <v>84</v>
      </c>
      <c r="B5" s="49" t="s">
        <v>85</v>
      </c>
      <c r="C5" s="49" t="s">
        <v>67</v>
      </c>
      <c r="D5" s="50" t="s">
        <v>86</v>
      </c>
    </row>
    <row r="6" spans="1:14" ht="14.4" x14ac:dyDescent="0.3">
      <c r="A6" s="51">
        <v>46126</v>
      </c>
      <c r="B6" s="46" t="s">
        <v>112</v>
      </c>
      <c r="C6" s="46" t="s">
        <v>113</v>
      </c>
      <c r="D6" s="47">
        <v>2</v>
      </c>
      <c r="F6" s="184" t="s">
        <v>85</v>
      </c>
      <c r="G6" s="185" t="s">
        <v>232</v>
      </c>
    </row>
    <row r="7" spans="1:14" ht="14.4" x14ac:dyDescent="0.3">
      <c r="A7" s="51">
        <v>46126</v>
      </c>
      <c r="B7" s="46" t="s">
        <v>112</v>
      </c>
      <c r="C7" s="46" t="s">
        <v>114</v>
      </c>
      <c r="D7" s="47">
        <v>2</v>
      </c>
    </row>
    <row r="8" spans="1:14" ht="14.4" x14ac:dyDescent="0.3">
      <c r="A8" s="51">
        <v>46134</v>
      </c>
      <c r="B8" s="151" t="s">
        <v>112</v>
      </c>
      <c r="C8" s="151" t="s">
        <v>114</v>
      </c>
      <c r="D8" s="47">
        <v>1</v>
      </c>
      <c r="F8" s="186" t="s">
        <v>237</v>
      </c>
      <c r="G8" s="186" t="s">
        <v>233</v>
      </c>
      <c r="H8" s="198"/>
      <c r="I8" s="181"/>
      <c r="J8" s="181"/>
      <c r="K8" s="181"/>
      <c r="L8" s="181"/>
      <c r="M8" s="181"/>
      <c r="N8" s="182"/>
    </row>
    <row r="9" spans="1:14" ht="14.4" x14ac:dyDescent="0.3">
      <c r="A9" s="51">
        <v>46134</v>
      </c>
      <c r="B9" s="151" t="s">
        <v>112</v>
      </c>
      <c r="C9" s="151" t="s">
        <v>113</v>
      </c>
      <c r="D9" s="47">
        <v>1</v>
      </c>
      <c r="F9" s="183"/>
      <c r="G9" s="180">
        <v>1</v>
      </c>
      <c r="H9" s="180" t="s">
        <v>238</v>
      </c>
      <c r="I9" s="180">
        <v>2</v>
      </c>
      <c r="J9" s="181"/>
      <c r="K9" s="180" t="s">
        <v>239</v>
      </c>
      <c r="L9" s="180" t="s">
        <v>234</v>
      </c>
      <c r="M9" s="180" t="s">
        <v>240</v>
      </c>
      <c r="N9" s="187" t="s">
        <v>235</v>
      </c>
    </row>
    <row r="10" spans="1:14" ht="14.4" x14ac:dyDescent="0.3">
      <c r="A10" s="51">
        <v>46140</v>
      </c>
      <c r="B10" s="151" t="s">
        <v>224</v>
      </c>
      <c r="C10" s="151" t="s">
        <v>225</v>
      </c>
      <c r="D10" s="47">
        <v>2</v>
      </c>
      <c r="F10" s="186" t="s">
        <v>236</v>
      </c>
      <c r="G10" s="196">
        <v>46134</v>
      </c>
      <c r="H10" s="183"/>
      <c r="I10" s="196">
        <v>46126</v>
      </c>
      <c r="J10" s="197">
        <v>46140</v>
      </c>
      <c r="K10" s="183"/>
      <c r="L10" s="180" t="s">
        <v>234</v>
      </c>
      <c r="M10" s="183"/>
      <c r="N10" s="195"/>
    </row>
    <row r="11" spans="1:14" ht="14.4" x14ac:dyDescent="0.3">
      <c r="A11" s="51"/>
      <c r="B11" s="46"/>
      <c r="C11" s="46"/>
      <c r="D11" s="47"/>
      <c r="F11" s="188" t="s">
        <v>114</v>
      </c>
      <c r="G11" s="180">
        <v>1</v>
      </c>
      <c r="H11" s="180">
        <v>1</v>
      </c>
      <c r="I11" s="180">
        <v>2</v>
      </c>
      <c r="J11" s="193"/>
      <c r="K11" s="180">
        <v>2</v>
      </c>
      <c r="L11" s="180"/>
      <c r="M11" s="180"/>
      <c r="N11" s="187">
        <v>3</v>
      </c>
    </row>
    <row r="12" spans="1:14" ht="14.4" x14ac:dyDescent="0.3">
      <c r="A12" s="51"/>
      <c r="B12" s="46"/>
      <c r="C12" s="46"/>
      <c r="D12" s="47"/>
      <c r="F12" s="189" t="s">
        <v>225</v>
      </c>
      <c r="G12" s="183"/>
      <c r="H12" s="183"/>
      <c r="I12" s="183"/>
      <c r="J12" s="194">
        <v>2</v>
      </c>
      <c r="K12" s="183">
        <v>2</v>
      </c>
      <c r="L12" s="183"/>
      <c r="M12" s="183"/>
      <c r="N12" s="195">
        <v>2</v>
      </c>
    </row>
    <row r="13" spans="1:14" ht="14.4" x14ac:dyDescent="0.3">
      <c r="A13" s="51"/>
      <c r="B13" s="46"/>
      <c r="C13" s="46"/>
      <c r="D13" s="47"/>
      <c r="F13" s="189" t="s">
        <v>113</v>
      </c>
      <c r="G13" s="183">
        <v>1</v>
      </c>
      <c r="H13" s="183">
        <v>1</v>
      </c>
      <c r="I13" s="183">
        <v>2</v>
      </c>
      <c r="J13" s="194"/>
      <c r="K13" s="183">
        <v>2</v>
      </c>
      <c r="L13" s="183"/>
      <c r="M13" s="183"/>
      <c r="N13" s="195">
        <v>3</v>
      </c>
    </row>
    <row r="14" spans="1:14" ht="14.4" x14ac:dyDescent="0.3">
      <c r="A14" s="51"/>
      <c r="B14" s="46"/>
      <c r="C14" s="46"/>
      <c r="D14" s="47"/>
      <c r="F14" s="189" t="s">
        <v>234</v>
      </c>
      <c r="G14" s="183"/>
      <c r="H14" s="183"/>
      <c r="I14" s="183"/>
      <c r="J14" s="194"/>
      <c r="K14" s="183"/>
      <c r="L14" s="183"/>
      <c r="M14" s="183"/>
      <c r="N14" s="195"/>
    </row>
    <row r="15" spans="1:14" ht="14.4" x14ac:dyDescent="0.3">
      <c r="A15" s="51"/>
      <c r="B15" s="46"/>
      <c r="C15" s="46"/>
      <c r="D15" s="47"/>
      <c r="F15" s="190" t="s">
        <v>235</v>
      </c>
      <c r="G15" s="191">
        <v>2</v>
      </c>
      <c r="H15" s="191">
        <v>2</v>
      </c>
      <c r="I15" s="191">
        <v>4</v>
      </c>
      <c r="J15" s="192">
        <v>2</v>
      </c>
      <c r="K15" s="191">
        <v>6</v>
      </c>
      <c r="L15" s="191"/>
      <c r="M15" s="191"/>
      <c r="N15" s="185">
        <v>8</v>
      </c>
    </row>
    <row r="16" spans="1:14" ht="14.4" x14ac:dyDescent="0.3">
      <c r="A16" s="51"/>
      <c r="B16" s="46"/>
      <c r="C16" s="52"/>
      <c r="D16" s="47"/>
    </row>
    <row r="17" spans="1:7" ht="14.4" x14ac:dyDescent="0.3">
      <c r="A17" s="51"/>
      <c r="B17" s="46"/>
      <c r="C17" s="46"/>
      <c r="D17" s="47"/>
    </row>
    <row r="18" spans="1:7" ht="14.4" x14ac:dyDescent="0.3">
      <c r="A18" s="51"/>
      <c r="B18" s="46"/>
      <c r="C18" s="46"/>
      <c r="D18" s="47"/>
    </row>
    <row r="19" spans="1:7" ht="14.4" x14ac:dyDescent="0.3">
      <c r="A19" s="51"/>
      <c r="B19" s="46"/>
      <c r="C19" s="46"/>
      <c r="D19" s="47"/>
    </row>
    <row r="20" spans="1:7" ht="14.4" x14ac:dyDescent="0.3">
      <c r="A20" s="51"/>
      <c r="B20" s="46"/>
      <c r="C20" s="46"/>
      <c r="D20" s="47"/>
    </row>
    <row r="21" spans="1:7" ht="15.75" customHeight="1" x14ac:dyDescent="0.3">
      <c r="A21" s="51"/>
      <c r="B21" s="46"/>
      <c r="C21" s="46"/>
      <c r="D21" s="47"/>
    </row>
    <row r="22" spans="1:7" ht="15.75" customHeight="1" x14ac:dyDescent="0.3">
      <c r="A22" s="51"/>
      <c r="B22" s="46"/>
      <c r="C22" s="46"/>
      <c r="D22" s="47"/>
    </row>
    <row r="23" spans="1:7" ht="15.75" customHeight="1" x14ac:dyDescent="0.3">
      <c r="A23" s="51"/>
      <c r="B23" s="46"/>
      <c r="C23" s="46"/>
      <c r="D23" s="47"/>
    </row>
    <row r="24" spans="1:7" ht="15.75" customHeight="1" x14ac:dyDescent="0.3">
      <c r="A24" s="51"/>
      <c r="B24" s="46"/>
      <c r="C24" s="46"/>
      <c r="D24" s="47"/>
    </row>
    <row r="25" spans="1:7" ht="15.75" customHeight="1" x14ac:dyDescent="0.3">
      <c r="A25" s="51"/>
      <c r="B25" s="46"/>
      <c r="C25" s="46"/>
      <c r="D25" s="47"/>
      <c r="G25" s="47"/>
    </row>
    <row r="26" spans="1:7" ht="15.75" customHeight="1" x14ac:dyDescent="0.3">
      <c r="A26" s="51"/>
      <c r="B26" s="46"/>
      <c r="C26" s="46"/>
      <c r="D26" s="47"/>
      <c r="G26" s="47"/>
    </row>
    <row r="27" spans="1:7" ht="15.75" customHeight="1" x14ac:dyDescent="0.3">
      <c r="A27" s="51"/>
      <c r="B27" s="46"/>
      <c r="C27" s="46"/>
      <c r="D27" s="47"/>
      <c r="G27" s="47"/>
    </row>
    <row r="28" spans="1:7" ht="15.75" customHeight="1" x14ac:dyDescent="0.3">
      <c r="A28" s="51"/>
      <c r="B28" s="46"/>
      <c r="C28" s="46"/>
      <c r="D28" s="47"/>
      <c r="G28" s="47"/>
    </row>
    <row r="29" spans="1:7" ht="15.75" customHeight="1" x14ac:dyDescent="0.3">
      <c r="A29" s="51"/>
      <c r="B29" s="46"/>
      <c r="C29" s="46"/>
      <c r="D29" s="47"/>
      <c r="G29" s="47"/>
    </row>
    <row r="30" spans="1:7" ht="15.75" customHeight="1" x14ac:dyDescent="0.3">
      <c r="A30" s="51"/>
      <c r="B30" s="46"/>
      <c r="C30" s="46"/>
      <c r="D30" s="47"/>
      <c r="G30" s="47"/>
    </row>
    <row r="31" spans="1:7" ht="15.75" customHeight="1" x14ac:dyDescent="0.3">
      <c r="A31" s="51"/>
      <c r="B31" s="46"/>
      <c r="C31" s="46"/>
      <c r="D31" s="47"/>
      <c r="G31" s="47"/>
    </row>
    <row r="32" spans="1:7" ht="15.75" customHeight="1" x14ac:dyDescent="0.3">
      <c r="A32" s="51"/>
      <c r="B32" s="46"/>
      <c r="C32" s="46"/>
      <c r="D32" s="47"/>
      <c r="G32" s="47"/>
    </row>
    <row r="33" spans="1:7" ht="15.75" customHeight="1" x14ac:dyDescent="0.3">
      <c r="A33" s="51"/>
      <c r="B33" s="46"/>
      <c r="C33" s="46"/>
      <c r="D33" s="47"/>
      <c r="G33" s="47"/>
    </row>
    <row r="34" spans="1:7" ht="15.75" customHeight="1" x14ac:dyDescent="0.3">
      <c r="A34" s="51"/>
      <c r="B34" s="46"/>
      <c r="C34" s="46"/>
      <c r="D34" s="47"/>
      <c r="G34" s="47"/>
    </row>
    <row r="35" spans="1:7" ht="15.75" customHeight="1" x14ac:dyDescent="0.3">
      <c r="A35" s="51"/>
      <c r="B35" s="46"/>
      <c r="C35" s="46"/>
      <c r="D35" s="47"/>
      <c r="G35" s="47"/>
    </row>
    <row r="36" spans="1:7" ht="15.75" customHeight="1" x14ac:dyDescent="0.3">
      <c r="A36" s="51"/>
      <c r="B36" s="46"/>
      <c r="C36" s="46"/>
      <c r="D36" s="47"/>
      <c r="G36" s="47"/>
    </row>
    <row r="37" spans="1:7" ht="15.75" customHeight="1" x14ac:dyDescent="0.3">
      <c r="A37" s="51"/>
      <c r="B37" s="46"/>
      <c r="C37" s="46"/>
      <c r="D37" s="47"/>
      <c r="G37" s="47"/>
    </row>
    <row r="38" spans="1:7" ht="15.75" customHeight="1" x14ac:dyDescent="0.3">
      <c r="A38" s="51"/>
      <c r="B38" s="46"/>
      <c r="C38" s="46"/>
      <c r="D38" s="47"/>
      <c r="G38" s="47"/>
    </row>
    <row r="39" spans="1:7" ht="15.75" customHeight="1" x14ac:dyDescent="0.3">
      <c r="A39" s="51"/>
      <c r="B39" s="46"/>
      <c r="C39" s="46"/>
      <c r="D39" s="47"/>
      <c r="G39" s="47"/>
    </row>
    <row r="40" spans="1:7" ht="15.75" customHeight="1" x14ac:dyDescent="0.3">
      <c r="A40" s="51"/>
      <c r="B40" s="46"/>
      <c r="C40" s="46"/>
      <c r="D40" s="47"/>
      <c r="G40" s="47"/>
    </row>
    <row r="41" spans="1:7" ht="15.75" customHeight="1" x14ac:dyDescent="0.3">
      <c r="A41" s="51"/>
      <c r="B41" s="46"/>
      <c r="C41" s="46"/>
      <c r="D41" s="47"/>
      <c r="G41" s="47"/>
    </row>
    <row r="42" spans="1:7" ht="15.75" customHeight="1" x14ac:dyDescent="0.3">
      <c r="A42" s="51"/>
      <c r="B42" s="46"/>
      <c r="C42" s="46"/>
      <c r="D42" s="47"/>
      <c r="G42" s="47"/>
    </row>
    <row r="43" spans="1:7" ht="15.75" customHeight="1" x14ac:dyDescent="0.3">
      <c r="A43" s="51"/>
      <c r="B43" s="46"/>
      <c r="C43" s="46"/>
      <c r="D43" s="47"/>
      <c r="G43" s="47"/>
    </row>
    <row r="44" spans="1:7" ht="15.75" customHeight="1" x14ac:dyDescent="0.3">
      <c r="A44" s="51"/>
      <c r="B44" s="46"/>
      <c r="C44" s="46"/>
      <c r="D44" s="47"/>
      <c r="G44" s="47"/>
    </row>
    <row r="45" spans="1:7" ht="15.75" customHeight="1" x14ac:dyDescent="0.3">
      <c r="A45" s="51"/>
      <c r="B45" s="46"/>
      <c r="C45" s="52"/>
      <c r="D45" s="47"/>
      <c r="G45" s="47"/>
    </row>
    <row r="46" spans="1:7" ht="15.75" customHeight="1" x14ac:dyDescent="0.3">
      <c r="A46" s="51"/>
      <c r="B46" s="46"/>
      <c r="C46" s="46"/>
      <c r="D46" s="47"/>
      <c r="G46" s="47"/>
    </row>
    <row r="47" spans="1:7" ht="15.75" customHeight="1" x14ac:dyDescent="0.3">
      <c r="A47" s="51"/>
      <c r="B47" s="46"/>
      <c r="C47" s="52"/>
      <c r="D47" s="47"/>
      <c r="G47" s="47"/>
    </row>
    <row r="48" spans="1:7" ht="15.75" customHeight="1" x14ac:dyDescent="0.3">
      <c r="A48" s="51"/>
      <c r="B48" s="46"/>
      <c r="C48" s="46"/>
      <c r="D48" s="47"/>
      <c r="G48" s="47"/>
    </row>
    <row r="49" spans="1:7" ht="15.75" customHeight="1" x14ac:dyDescent="0.3">
      <c r="A49" s="51"/>
      <c r="B49" s="46"/>
      <c r="C49" s="52"/>
      <c r="D49" s="47"/>
      <c r="G49" s="47"/>
    </row>
    <row r="50" spans="1:7" ht="15.75" customHeight="1" x14ac:dyDescent="0.3">
      <c r="A50" s="51"/>
      <c r="B50" s="46"/>
      <c r="C50" s="46"/>
      <c r="D50" s="47"/>
      <c r="G50" s="47"/>
    </row>
    <row r="51" spans="1:7" ht="15.75" customHeight="1" x14ac:dyDescent="0.3">
      <c r="A51" s="51"/>
      <c r="B51" s="46"/>
      <c r="C51" s="46"/>
      <c r="D51" s="47"/>
      <c r="G51" s="47"/>
    </row>
    <row r="52" spans="1:7" ht="15.75" customHeight="1" x14ac:dyDescent="0.3">
      <c r="A52" s="51"/>
      <c r="B52" s="46"/>
      <c r="C52" s="52"/>
      <c r="D52" s="47"/>
      <c r="G52" s="47"/>
    </row>
    <row r="53" spans="1:7" ht="15.75" customHeight="1" x14ac:dyDescent="0.3">
      <c r="A53" s="51"/>
      <c r="B53" s="46"/>
      <c r="C53" s="52"/>
      <c r="D53" s="47"/>
      <c r="G53" s="47"/>
    </row>
    <row r="54" spans="1:7" ht="15.75" customHeight="1" x14ac:dyDescent="0.3">
      <c r="A54" s="51"/>
      <c r="B54" s="46"/>
      <c r="C54" s="52"/>
      <c r="D54" s="47"/>
      <c r="G54" s="47"/>
    </row>
    <row r="55" spans="1:7" ht="15.75" customHeight="1" x14ac:dyDescent="0.3">
      <c r="A55" s="51"/>
      <c r="B55" s="46"/>
      <c r="C55" s="52"/>
      <c r="D55" s="47"/>
      <c r="G55" s="47"/>
    </row>
    <row r="56" spans="1:7" ht="15.75" customHeight="1" x14ac:dyDescent="0.3">
      <c r="A56" s="51"/>
      <c r="B56" s="46"/>
      <c r="C56" s="46"/>
      <c r="D56" s="47"/>
      <c r="G56" s="47"/>
    </row>
    <row r="57" spans="1:7" ht="15.75" customHeight="1" x14ac:dyDescent="0.3">
      <c r="A57" s="51"/>
      <c r="B57" s="46"/>
      <c r="C57" s="52"/>
      <c r="D57" s="47"/>
      <c r="G57" s="47"/>
    </row>
    <row r="58" spans="1:7" ht="15.75" customHeight="1" x14ac:dyDescent="0.3">
      <c r="A58" s="51"/>
      <c r="B58" s="46"/>
      <c r="C58" s="52"/>
      <c r="D58" s="47"/>
      <c r="G58" s="47"/>
    </row>
    <row r="59" spans="1:7" ht="15.75" customHeight="1" x14ac:dyDescent="0.3">
      <c r="A59" s="51"/>
      <c r="B59" s="46"/>
      <c r="C59" s="52"/>
      <c r="D59" s="47"/>
      <c r="G59" s="47"/>
    </row>
    <row r="60" spans="1:7" ht="15.75" customHeight="1" x14ac:dyDescent="0.3">
      <c r="A60" s="51"/>
      <c r="B60" s="46"/>
      <c r="C60" s="46"/>
      <c r="D60" s="47"/>
      <c r="G60" s="47"/>
    </row>
    <row r="61" spans="1:7" ht="15.75" customHeight="1" x14ac:dyDescent="0.3">
      <c r="A61" s="51"/>
      <c r="B61" s="46"/>
      <c r="C61" s="46"/>
      <c r="D61" s="47"/>
      <c r="G61" s="47"/>
    </row>
    <row r="62" spans="1:7" ht="15.75" customHeight="1" x14ac:dyDescent="0.3">
      <c r="A62" s="51"/>
      <c r="B62" s="46"/>
      <c r="C62" s="46"/>
      <c r="D62" s="47"/>
      <c r="G62" s="47"/>
    </row>
    <row r="63" spans="1:7" ht="15.75" customHeight="1" x14ac:dyDescent="0.3">
      <c r="A63" s="51"/>
      <c r="B63" s="46"/>
      <c r="C63" s="46"/>
      <c r="D63" s="47"/>
      <c r="G63" s="47"/>
    </row>
    <row r="64" spans="1:7" ht="15.75" customHeight="1" x14ac:dyDescent="0.3">
      <c r="A64" s="51"/>
      <c r="B64" s="46"/>
      <c r="C64" s="46"/>
      <c r="D64" s="47"/>
      <c r="G64" s="47"/>
    </row>
    <row r="65" spans="1:7" ht="15.75" customHeight="1" x14ac:dyDescent="0.3">
      <c r="A65" s="51"/>
      <c r="B65" s="46"/>
      <c r="C65" s="46"/>
      <c r="D65" s="47"/>
      <c r="G65" s="47"/>
    </row>
    <row r="66" spans="1:7" ht="15.75" customHeight="1" x14ac:dyDescent="0.3">
      <c r="A66" s="51"/>
      <c r="B66" s="46"/>
      <c r="C66" s="46"/>
      <c r="D66" s="47"/>
      <c r="G66" s="47"/>
    </row>
    <row r="67" spans="1:7" ht="15.75" customHeight="1" x14ac:dyDescent="0.3">
      <c r="A67" s="51"/>
      <c r="B67" s="46"/>
      <c r="C67" s="52"/>
      <c r="D67" s="47"/>
      <c r="G67" s="47"/>
    </row>
    <row r="68" spans="1:7" ht="15.75" customHeight="1" x14ac:dyDescent="0.3">
      <c r="A68" s="51"/>
      <c r="B68" s="46"/>
      <c r="C68" s="46"/>
      <c r="D68" s="47"/>
      <c r="G68" s="47"/>
    </row>
    <row r="69" spans="1:7" ht="15.75" customHeight="1" x14ac:dyDescent="0.3">
      <c r="A69" s="51"/>
      <c r="B69" s="46"/>
      <c r="C69" s="46"/>
      <c r="D69" s="47"/>
      <c r="G69" s="47"/>
    </row>
    <row r="70" spans="1:7" ht="15.75" customHeight="1" x14ac:dyDescent="0.3">
      <c r="A70" s="51"/>
      <c r="B70" s="46"/>
      <c r="C70" s="46"/>
      <c r="D70" s="47"/>
      <c r="G70" s="47"/>
    </row>
    <row r="71" spans="1:7" ht="15.75" customHeight="1" x14ac:dyDescent="0.3">
      <c r="A71" s="51"/>
      <c r="B71" s="46"/>
      <c r="C71" s="46"/>
      <c r="D71" s="47"/>
      <c r="G71" s="47"/>
    </row>
    <row r="72" spans="1:7" ht="15.75" customHeight="1" x14ac:dyDescent="0.3">
      <c r="A72" s="51"/>
      <c r="B72" s="46"/>
      <c r="C72" s="52"/>
      <c r="D72" s="47"/>
      <c r="G72" s="47"/>
    </row>
    <row r="73" spans="1:7" ht="15.75" customHeight="1" x14ac:dyDescent="0.3">
      <c r="A73" s="51"/>
      <c r="B73" s="46"/>
      <c r="C73" s="52"/>
      <c r="D73" s="47"/>
      <c r="G73" s="47"/>
    </row>
    <row r="74" spans="1:7" ht="15.75" customHeight="1" x14ac:dyDescent="0.3">
      <c r="A74" s="51"/>
      <c r="B74" s="46"/>
      <c r="C74" s="46"/>
      <c r="D74" s="47"/>
      <c r="G74" s="47"/>
    </row>
    <row r="75" spans="1:7" ht="15.75" customHeight="1" x14ac:dyDescent="0.3">
      <c r="A75" s="51"/>
      <c r="B75" s="46"/>
      <c r="C75" s="46"/>
      <c r="D75" s="47"/>
      <c r="G75" s="47"/>
    </row>
    <row r="76" spans="1:7" ht="15.75" customHeight="1" x14ac:dyDescent="0.3">
      <c r="A76" s="51"/>
      <c r="B76" s="46"/>
      <c r="C76" s="52"/>
      <c r="D76" s="47"/>
      <c r="G76" s="47"/>
    </row>
    <row r="77" spans="1:7" ht="15.75" customHeight="1" x14ac:dyDescent="0.3">
      <c r="A77" s="51"/>
      <c r="B77" s="46"/>
      <c r="C77" s="52"/>
      <c r="D77" s="47"/>
      <c r="G77" s="47"/>
    </row>
    <row r="78" spans="1:7" ht="15.75" customHeight="1" x14ac:dyDescent="0.3">
      <c r="A78" s="51"/>
      <c r="B78" s="46"/>
      <c r="C78" s="52"/>
      <c r="D78" s="47"/>
      <c r="G78" s="47"/>
    </row>
    <row r="79" spans="1:7" ht="15.75" customHeight="1" x14ac:dyDescent="0.3">
      <c r="A79" s="51"/>
      <c r="B79" s="46"/>
      <c r="C79" s="46"/>
      <c r="D79" s="47"/>
      <c r="G79" s="47"/>
    </row>
    <row r="80" spans="1:7" ht="15.75" customHeight="1" x14ac:dyDescent="0.3">
      <c r="A80" s="51"/>
      <c r="B80" s="46"/>
      <c r="C80" s="46"/>
      <c r="D80" s="47"/>
      <c r="G80" s="47"/>
    </row>
    <row r="81" spans="1:7" ht="15.75" customHeight="1" x14ac:dyDescent="0.3">
      <c r="A81" s="51"/>
      <c r="B81" s="46"/>
      <c r="C81" s="52"/>
      <c r="D81" s="47"/>
      <c r="G81" s="47"/>
    </row>
    <row r="82" spans="1:7" ht="15.75" customHeight="1" x14ac:dyDescent="0.3">
      <c r="A82" s="51"/>
      <c r="B82" s="46"/>
      <c r="C82" s="46"/>
      <c r="D82" s="47"/>
      <c r="G82" s="47"/>
    </row>
    <row r="83" spans="1:7" ht="15.75" customHeight="1" x14ac:dyDescent="0.3">
      <c r="A83" s="51"/>
      <c r="B83" s="46"/>
      <c r="C83" s="52"/>
      <c r="D83" s="47"/>
      <c r="G83" s="47"/>
    </row>
    <row r="84" spans="1:7" ht="15.75" customHeight="1" x14ac:dyDescent="0.3">
      <c r="A84" s="51"/>
      <c r="B84" s="46"/>
      <c r="C84" s="52"/>
      <c r="D84" s="47"/>
      <c r="G84" s="47"/>
    </row>
    <row r="85" spans="1:7" ht="15.75" customHeight="1" x14ac:dyDescent="0.3">
      <c r="A85" s="51"/>
      <c r="B85" s="46"/>
      <c r="C85" s="52"/>
      <c r="D85" s="47"/>
      <c r="G85" s="47"/>
    </row>
    <row r="86" spans="1:7" ht="15.75" customHeight="1" x14ac:dyDescent="0.3">
      <c r="A86" s="51"/>
      <c r="B86" s="46"/>
      <c r="C86" s="46"/>
      <c r="D86" s="47"/>
      <c r="G86" s="47"/>
    </row>
    <row r="87" spans="1:7" ht="15.75" customHeight="1" x14ac:dyDescent="0.3">
      <c r="A87" s="51"/>
      <c r="B87" s="46"/>
      <c r="C87" s="46"/>
      <c r="D87" s="47"/>
      <c r="G87" s="47"/>
    </row>
    <row r="88" spans="1:7" ht="15.75" customHeight="1" x14ac:dyDescent="0.3">
      <c r="A88" s="51"/>
      <c r="B88" s="46"/>
      <c r="C88" s="52"/>
      <c r="D88" s="47"/>
      <c r="G88" s="47"/>
    </row>
    <row r="89" spans="1:7" ht="15.75" customHeight="1" x14ac:dyDescent="0.3">
      <c r="A89" s="51"/>
      <c r="B89" s="46"/>
      <c r="C89" s="52"/>
      <c r="D89" s="47"/>
      <c r="G89" s="47"/>
    </row>
    <row r="90" spans="1:7" ht="15.75" customHeight="1" x14ac:dyDescent="0.3">
      <c r="A90" s="51"/>
      <c r="B90" s="46"/>
      <c r="C90" s="52"/>
      <c r="D90" s="47"/>
      <c r="G90" s="47"/>
    </row>
    <row r="91" spans="1:7" ht="15.75" customHeight="1" x14ac:dyDescent="0.3">
      <c r="A91" s="51"/>
      <c r="B91" s="46"/>
      <c r="C91" s="46"/>
      <c r="D91" s="47"/>
      <c r="G91" s="47"/>
    </row>
    <row r="92" spans="1:7" ht="15.75" customHeight="1" x14ac:dyDescent="0.3">
      <c r="A92" s="51"/>
      <c r="B92" s="46"/>
      <c r="C92" s="46"/>
      <c r="D92" s="47"/>
      <c r="G92" s="47"/>
    </row>
    <row r="93" spans="1:7" ht="15.75" customHeight="1" x14ac:dyDescent="0.3">
      <c r="A93" s="51"/>
      <c r="B93" s="46"/>
      <c r="C93" s="46"/>
      <c r="D93" s="47"/>
      <c r="G93" s="47"/>
    </row>
    <row r="94" spans="1:7" ht="15.75" customHeight="1" x14ac:dyDescent="0.3">
      <c r="A94" s="51"/>
      <c r="B94" s="46"/>
      <c r="C94" s="46"/>
      <c r="D94" s="47"/>
      <c r="G94" s="47"/>
    </row>
    <row r="95" spans="1:7" ht="15.75" customHeight="1" x14ac:dyDescent="0.3">
      <c r="A95" s="51"/>
      <c r="B95" s="46"/>
      <c r="C95" s="52"/>
      <c r="D95" s="47"/>
      <c r="G95" s="47"/>
    </row>
    <row r="96" spans="1:7" ht="15.75" customHeight="1" x14ac:dyDescent="0.3">
      <c r="A96" s="51"/>
      <c r="B96" s="46"/>
      <c r="C96" s="46"/>
      <c r="D96" s="47"/>
      <c r="G96" s="47"/>
    </row>
    <row r="97" spans="1:7" ht="15.75" customHeight="1" x14ac:dyDescent="0.3">
      <c r="A97" s="51"/>
      <c r="B97" s="46"/>
      <c r="C97" s="52"/>
      <c r="D97" s="47"/>
      <c r="G97" s="47"/>
    </row>
    <row r="98" spans="1:7" ht="15.75" customHeight="1" x14ac:dyDescent="0.3">
      <c r="A98" s="51"/>
      <c r="B98" s="46"/>
      <c r="C98" s="52"/>
      <c r="D98" s="47"/>
      <c r="G98" s="47"/>
    </row>
    <row r="99" spans="1:7" ht="15.75" customHeight="1" x14ac:dyDescent="0.3">
      <c r="A99" s="51"/>
      <c r="B99" s="46"/>
      <c r="C99" s="46"/>
      <c r="D99" s="47"/>
      <c r="G99" s="47"/>
    </row>
    <row r="100" spans="1:7" ht="15.75" customHeight="1" x14ac:dyDescent="0.3">
      <c r="A100" s="53"/>
      <c r="B100" s="54"/>
      <c r="C100" s="54"/>
      <c r="D100" s="55">
        <f>SUBTOTAL(109,'SALIDA VARIOS '!$D$6:$D$99)</f>
        <v>8</v>
      </c>
      <c r="G100" s="47"/>
    </row>
    <row r="101" spans="1:7" ht="15.75" customHeight="1" x14ac:dyDescent="0.3">
      <c r="D101" s="47"/>
      <c r="G101" s="47"/>
    </row>
    <row r="102" spans="1:7" ht="15.75" customHeight="1" x14ac:dyDescent="0.3">
      <c r="D102" s="47"/>
      <c r="G102" s="47"/>
    </row>
    <row r="103" spans="1:7" ht="15.75" customHeight="1" x14ac:dyDescent="0.3">
      <c r="D103" s="47"/>
      <c r="G103" s="47"/>
    </row>
    <row r="104" spans="1:7" ht="15.75" customHeight="1" x14ac:dyDescent="0.3">
      <c r="D104" s="47"/>
      <c r="G104" s="47"/>
    </row>
    <row r="105" spans="1:7" ht="15.75" customHeight="1" x14ac:dyDescent="0.3">
      <c r="D105" s="47"/>
      <c r="G105" s="47"/>
    </row>
    <row r="106" spans="1:7" ht="15.75" customHeight="1" x14ac:dyDescent="0.3">
      <c r="D106" s="47"/>
      <c r="G106" s="47"/>
    </row>
    <row r="107" spans="1:7" ht="15.75" customHeight="1" x14ac:dyDescent="0.3">
      <c r="D107" s="47"/>
      <c r="G107" s="47"/>
    </row>
    <row r="108" spans="1:7" ht="15.75" customHeight="1" x14ac:dyDescent="0.3">
      <c r="D108" s="47"/>
      <c r="G108" s="47"/>
    </row>
    <row r="109" spans="1:7" ht="15.75" customHeight="1" x14ac:dyDescent="0.3">
      <c r="D109" s="47"/>
      <c r="G109" s="47"/>
    </row>
    <row r="110" spans="1:7" ht="15.75" customHeight="1" x14ac:dyDescent="0.3">
      <c r="D110" s="47"/>
      <c r="G110" s="47"/>
    </row>
    <row r="111" spans="1:7" ht="15.75" customHeight="1" x14ac:dyDescent="0.3">
      <c r="D111" s="47"/>
      <c r="G111" s="47"/>
    </row>
    <row r="112" spans="1:7" ht="15.75" customHeight="1" x14ac:dyDescent="0.3">
      <c r="D112" s="47"/>
      <c r="G112" s="47"/>
    </row>
    <row r="113" spans="4:7" ht="15.75" customHeight="1" x14ac:dyDescent="0.3">
      <c r="D113" s="47"/>
      <c r="G113" s="47"/>
    </row>
    <row r="114" spans="4:7" ht="15.75" customHeight="1" x14ac:dyDescent="0.3">
      <c r="D114" s="47"/>
      <c r="G114" s="47"/>
    </row>
    <row r="115" spans="4:7" ht="15.75" customHeight="1" x14ac:dyDescent="0.3">
      <c r="D115" s="47"/>
      <c r="G115" s="47"/>
    </row>
    <row r="116" spans="4:7" ht="15.75" customHeight="1" x14ac:dyDescent="0.3">
      <c r="D116" s="47"/>
      <c r="G116" s="47"/>
    </row>
    <row r="117" spans="4:7" ht="15.75" customHeight="1" x14ac:dyDescent="0.3">
      <c r="D117" s="47"/>
      <c r="G117" s="47"/>
    </row>
    <row r="118" spans="4:7" ht="15.75" customHeight="1" x14ac:dyDescent="0.3">
      <c r="D118" s="47"/>
      <c r="G118" s="47"/>
    </row>
    <row r="119" spans="4:7" ht="15.75" customHeight="1" x14ac:dyDescent="0.3">
      <c r="D119" s="47"/>
      <c r="G119" s="47"/>
    </row>
    <row r="120" spans="4:7" ht="15.75" customHeight="1" x14ac:dyDescent="0.3">
      <c r="D120" s="47"/>
      <c r="G120" s="47"/>
    </row>
    <row r="121" spans="4:7" ht="15.75" customHeight="1" x14ac:dyDescent="0.3">
      <c r="D121" s="47"/>
      <c r="G121" s="47"/>
    </row>
    <row r="122" spans="4:7" ht="15.75" customHeight="1" x14ac:dyDescent="0.3">
      <c r="D122" s="47"/>
      <c r="G122" s="47"/>
    </row>
    <row r="123" spans="4:7" ht="15.75" customHeight="1" x14ac:dyDescent="0.3">
      <c r="D123" s="47"/>
      <c r="G123" s="47"/>
    </row>
    <row r="124" spans="4:7" ht="15.75" customHeight="1" x14ac:dyDescent="0.3">
      <c r="D124" s="47"/>
      <c r="G124" s="47"/>
    </row>
    <row r="125" spans="4:7" ht="15.75" customHeight="1" x14ac:dyDescent="0.3">
      <c r="D125" s="47"/>
      <c r="G125" s="47"/>
    </row>
    <row r="126" spans="4:7" ht="15.75" customHeight="1" x14ac:dyDescent="0.3">
      <c r="D126" s="47"/>
      <c r="G126" s="47"/>
    </row>
    <row r="127" spans="4:7" ht="15.75" customHeight="1" x14ac:dyDescent="0.3">
      <c r="D127" s="47"/>
      <c r="G127" s="47"/>
    </row>
    <row r="128" spans="4:7" ht="15.75" customHeight="1" x14ac:dyDescent="0.3">
      <c r="D128" s="47"/>
      <c r="G128" s="47"/>
    </row>
    <row r="129" spans="4:7" ht="15.75" customHeight="1" x14ac:dyDescent="0.3">
      <c r="D129" s="47"/>
      <c r="G129" s="47"/>
    </row>
    <row r="130" spans="4:7" ht="15.75" customHeight="1" x14ac:dyDescent="0.3">
      <c r="D130" s="47"/>
      <c r="G130" s="47"/>
    </row>
    <row r="131" spans="4:7" ht="15.75" customHeight="1" x14ac:dyDescent="0.3">
      <c r="D131" s="47"/>
      <c r="G131" s="47"/>
    </row>
    <row r="132" spans="4:7" ht="15.75" customHeight="1" x14ac:dyDescent="0.3">
      <c r="D132" s="47"/>
      <c r="G132" s="47"/>
    </row>
    <row r="133" spans="4:7" ht="15.75" customHeight="1" x14ac:dyDescent="0.3">
      <c r="D133" s="47"/>
      <c r="G133" s="47"/>
    </row>
    <row r="134" spans="4:7" ht="15.75" customHeight="1" x14ac:dyDescent="0.3">
      <c r="D134" s="47"/>
      <c r="G134" s="47"/>
    </row>
    <row r="135" spans="4:7" ht="15.75" customHeight="1" x14ac:dyDescent="0.3">
      <c r="D135" s="47"/>
      <c r="G135" s="47"/>
    </row>
    <row r="136" spans="4:7" ht="15.75" customHeight="1" x14ac:dyDescent="0.3">
      <c r="D136" s="47"/>
      <c r="G136" s="47"/>
    </row>
    <row r="137" spans="4:7" ht="15.75" customHeight="1" x14ac:dyDescent="0.3">
      <c r="D137" s="47"/>
      <c r="G137" s="47"/>
    </row>
    <row r="138" spans="4:7" ht="15.75" customHeight="1" x14ac:dyDescent="0.3">
      <c r="D138" s="47"/>
      <c r="G138" s="47"/>
    </row>
    <row r="139" spans="4:7" ht="15.75" customHeight="1" x14ac:dyDescent="0.3">
      <c r="D139" s="47"/>
      <c r="G139" s="47"/>
    </row>
    <row r="140" spans="4:7" ht="15.75" customHeight="1" x14ac:dyDescent="0.3">
      <c r="D140" s="47"/>
      <c r="G140" s="47"/>
    </row>
    <row r="141" spans="4:7" ht="15.75" customHeight="1" x14ac:dyDescent="0.3">
      <c r="D141" s="47"/>
      <c r="G141" s="47"/>
    </row>
    <row r="142" spans="4:7" ht="15.75" customHeight="1" x14ac:dyDescent="0.3">
      <c r="D142" s="47"/>
      <c r="G142" s="47"/>
    </row>
    <row r="143" spans="4:7" ht="15.75" customHeight="1" x14ac:dyDescent="0.3">
      <c r="D143" s="47"/>
      <c r="G143" s="47"/>
    </row>
    <row r="144" spans="4:7" ht="15.75" customHeight="1" x14ac:dyDescent="0.3">
      <c r="D144" s="47"/>
      <c r="G144" s="47"/>
    </row>
    <row r="145" spans="4:7" ht="15.75" customHeight="1" x14ac:dyDescent="0.3">
      <c r="D145" s="47"/>
      <c r="G145" s="47"/>
    </row>
    <row r="146" spans="4:7" ht="15.75" customHeight="1" x14ac:dyDescent="0.3">
      <c r="D146" s="47"/>
      <c r="G146" s="47"/>
    </row>
    <row r="147" spans="4:7" ht="15.75" customHeight="1" x14ac:dyDescent="0.3">
      <c r="D147" s="47"/>
      <c r="G147" s="47"/>
    </row>
    <row r="148" spans="4:7" ht="15.75" customHeight="1" x14ac:dyDescent="0.3">
      <c r="D148" s="47"/>
      <c r="G148" s="47"/>
    </row>
    <row r="149" spans="4:7" ht="15.75" customHeight="1" x14ac:dyDescent="0.3">
      <c r="D149" s="47"/>
      <c r="G149" s="47"/>
    </row>
    <row r="150" spans="4:7" ht="15.75" customHeight="1" x14ac:dyDescent="0.3">
      <c r="D150" s="47"/>
      <c r="G150" s="47"/>
    </row>
    <row r="151" spans="4:7" ht="15.75" customHeight="1" x14ac:dyDescent="0.3">
      <c r="D151" s="47"/>
      <c r="G151" s="47"/>
    </row>
    <row r="152" spans="4:7" ht="15.75" customHeight="1" x14ac:dyDescent="0.3">
      <c r="D152" s="47"/>
      <c r="G152" s="47"/>
    </row>
    <row r="153" spans="4:7" ht="15.75" customHeight="1" x14ac:dyDescent="0.3">
      <c r="D153" s="47"/>
      <c r="G153" s="47"/>
    </row>
    <row r="154" spans="4:7" ht="15.75" customHeight="1" x14ac:dyDescent="0.3">
      <c r="D154" s="47"/>
      <c r="G154" s="47"/>
    </row>
    <row r="155" spans="4:7" ht="15.75" customHeight="1" x14ac:dyDescent="0.3">
      <c r="D155" s="47"/>
      <c r="G155" s="47"/>
    </row>
    <row r="156" spans="4:7" ht="15.75" customHeight="1" x14ac:dyDescent="0.3">
      <c r="D156" s="47"/>
      <c r="G156" s="47"/>
    </row>
    <row r="157" spans="4:7" ht="15.75" customHeight="1" x14ac:dyDescent="0.3">
      <c r="D157" s="47"/>
      <c r="G157" s="47"/>
    </row>
    <row r="158" spans="4:7" ht="15.75" customHeight="1" x14ac:dyDescent="0.3">
      <c r="D158" s="47"/>
      <c r="G158" s="47"/>
    </row>
    <row r="159" spans="4:7" ht="15.75" customHeight="1" x14ac:dyDescent="0.3">
      <c r="D159" s="47"/>
      <c r="G159" s="47"/>
    </row>
    <row r="160" spans="4:7" ht="15.75" customHeight="1" x14ac:dyDescent="0.3">
      <c r="D160" s="47"/>
      <c r="G160" s="47"/>
    </row>
    <row r="161" spans="4:7" ht="15.75" customHeight="1" x14ac:dyDescent="0.3">
      <c r="D161" s="47"/>
      <c r="G161" s="47"/>
    </row>
    <row r="162" spans="4:7" ht="15.75" customHeight="1" x14ac:dyDescent="0.3">
      <c r="D162" s="47"/>
      <c r="G162" s="47"/>
    </row>
    <row r="163" spans="4:7" ht="15.75" customHeight="1" x14ac:dyDescent="0.3">
      <c r="D163" s="47"/>
      <c r="G163" s="47"/>
    </row>
    <row r="164" spans="4:7" ht="15.75" customHeight="1" x14ac:dyDescent="0.3">
      <c r="D164" s="47"/>
      <c r="G164" s="47"/>
    </row>
    <row r="165" spans="4:7" ht="15.75" customHeight="1" x14ac:dyDescent="0.3">
      <c r="D165" s="47"/>
      <c r="G165" s="47"/>
    </row>
    <row r="166" spans="4:7" ht="15.75" customHeight="1" x14ac:dyDescent="0.3">
      <c r="D166" s="47"/>
      <c r="G166" s="47"/>
    </row>
    <row r="167" spans="4:7" ht="15.75" customHeight="1" x14ac:dyDescent="0.3">
      <c r="D167" s="47"/>
      <c r="G167" s="47"/>
    </row>
    <row r="168" spans="4:7" ht="15.75" customHeight="1" x14ac:dyDescent="0.3">
      <c r="D168" s="47"/>
      <c r="G168" s="47"/>
    </row>
    <row r="169" spans="4:7" ht="15.75" customHeight="1" x14ac:dyDescent="0.3">
      <c r="D169" s="47"/>
      <c r="G169" s="47"/>
    </row>
    <row r="170" spans="4:7" ht="15.75" customHeight="1" x14ac:dyDescent="0.3">
      <c r="D170" s="47"/>
      <c r="G170" s="47"/>
    </row>
    <row r="171" spans="4:7" ht="15.75" customHeight="1" x14ac:dyDescent="0.3">
      <c r="D171" s="47"/>
      <c r="G171" s="47"/>
    </row>
    <row r="172" spans="4:7" ht="15.75" customHeight="1" x14ac:dyDescent="0.3">
      <c r="D172" s="47"/>
      <c r="G172" s="47"/>
    </row>
    <row r="173" spans="4:7" ht="15.75" customHeight="1" x14ac:dyDescent="0.3">
      <c r="D173" s="47"/>
      <c r="G173" s="47"/>
    </row>
    <row r="174" spans="4:7" ht="15.75" customHeight="1" x14ac:dyDescent="0.3">
      <c r="D174" s="47"/>
      <c r="G174" s="47"/>
    </row>
    <row r="175" spans="4:7" ht="15.75" customHeight="1" x14ac:dyDescent="0.3">
      <c r="D175" s="47"/>
      <c r="G175" s="47"/>
    </row>
    <row r="176" spans="4:7" ht="15.75" customHeight="1" x14ac:dyDescent="0.3">
      <c r="D176" s="47"/>
      <c r="G176" s="47"/>
    </row>
    <row r="177" spans="4:7" ht="15.75" customHeight="1" x14ac:dyDescent="0.3">
      <c r="D177" s="47"/>
      <c r="G177" s="47"/>
    </row>
    <row r="178" spans="4:7" ht="15.75" customHeight="1" x14ac:dyDescent="0.3">
      <c r="D178" s="47"/>
      <c r="G178" s="47"/>
    </row>
    <row r="179" spans="4:7" ht="15.75" customHeight="1" x14ac:dyDescent="0.3">
      <c r="D179" s="47"/>
      <c r="G179" s="47"/>
    </row>
    <row r="180" spans="4:7" ht="15.75" customHeight="1" x14ac:dyDescent="0.3">
      <c r="D180" s="47"/>
      <c r="G180" s="47"/>
    </row>
    <row r="181" spans="4:7" ht="15.75" customHeight="1" x14ac:dyDescent="0.3">
      <c r="D181" s="47"/>
      <c r="G181" s="47"/>
    </row>
    <row r="182" spans="4:7" ht="15.75" customHeight="1" x14ac:dyDescent="0.3">
      <c r="D182" s="47"/>
      <c r="G182" s="47"/>
    </row>
    <row r="183" spans="4:7" ht="15.75" customHeight="1" x14ac:dyDescent="0.3">
      <c r="D183" s="47"/>
      <c r="G183" s="47"/>
    </row>
    <row r="184" spans="4:7" ht="15.75" customHeight="1" x14ac:dyDescent="0.3">
      <c r="D184" s="47"/>
      <c r="G184" s="47"/>
    </row>
    <row r="185" spans="4:7" ht="15.75" customHeight="1" x14ac:dyDescent="0.3">
      <c r="D185" s="47"/>
      <c r="G185" s="47"/>
    </row>
    <row r="186" spans="4:7" ht="15.75" customHeight="1" x14ac:dyDescent="0.3">
      <c r="D186" s="47"/>
      <c r="G186" s="47"/>
    </row>
    <row r="187" spans="4:7" ht="15.75" customHeight="1" x14ac:dyDescent="0.3">
      <c r="D187" s="47"/>
      <c r="G187" s="47"/>
    </row>
    <row r="188" spans="4:7" ht="15.75" customHeight="1" x14ac:dyDescent="0.3">
      <c r="D188" s="47"/>
      <c r="G188" s="47"/>
    </row>
    <row r="189" spans="4:7" ht="15.75" customHeight="1" x14ac:dyDescent="0.3">
      <c r="D189" s="47"/>
      <c r="G189" s="47"/>
    </row>
    <row r="190" spans="4:7" ht="15.75" customHeight="1" x14ac:dyDescent="0.3">
      <c r="D190" s="47"/>
      <c r="G190" s="47"/>
    </row>
    <row r="191" spans="4:7" ht="15.75" customHeight="1" x14ac:dyDescent="0.3">
      <c r="D191" s="47"/>
      <c r="G191" s="47"/>
    </row>
    <row r="192" spans="4:7" ht="15.75" customHeight="1" x14ac:dyDescent="0.3">
      <c r="D192" s="47"/>
      <c r="G192" s="47"/>
    </row>
    <row r="193" spans="4:7" ht="15.75" customHeight="1" x14ac:dyDescent="0.3">
      <c r="D193" s="47"/>
      <c r="G193" s="47"/>
    </row>
    <row r="194" spans="4:7" ht="15.75" customHeight="1" x14ac:dyDescent="0.3">
      <c r="D194" s="47"/>
      <c r="G194" s="47"/>
    </row>
    <row r="195" spans="4:7" ht="15.75" customHeight="1" x14ac:dyDescent="0.3">
      <c r="D195" s="47"/>
      <c r="G195" s="47"/>
    </row>
    <row r="196" spans="4:7" ht="15.75" customHeight="1" x14ac:dyDescent="0.3">
      <c r="D196" s="47"/>
      <c r="G196" s="47"/>
    </row>
    <row r="197" spans="4:7" ht="15.75" customHeight="1" x14ac:dyDescent="0.3">
      <c r="D197" s="47"/>
      <c r="G197" s="47"/>
    </row>
    <row r="198" spans="4:7" ht="15.75" customHeight="1" x14ac:dyDescent="0.3">
      <c r="D198" s="47"/>
      <c r="G198" s="47"/>
    </row>
    <row r="199" spans="4:7" ht="15.75" customHeight="1" x14ac:dyDescent="0.3">
      <c r="D199" s="47"/>
      <c r="G199" s="47"/>
    </row>
    <row r="200" spans="4:7" ht="15.75" customHeight="1" x14ac:dyDescent="0.3">
      <c r="D200" s="47"/>
      <c r="G200" s="47"/>
    </row>
    <row r="201" spans="4:7" ht="15.75" customHeight="1" x14ac:dyDescent="0.3">
      <c r="D201" s="47"/>
      <c r="G201" s="47"/>
    </row>
    <row r="202" spans="4:7" ht="15.75" customHeight="1" x14ac:dyDescent="0.3">
      <c r="D202" s="47"/>
      <c r="G202" s="47"/>
    </row>
    <row r="203" spans="4:7" ht="15.75" customHeight="1" x14ac:dyDescent="0.3">
      <c r="D203" s="47"/>
      <c r="G203" s="47"/>
    </row>
    <row r="204" spans="4:7" ht="15.75" customHeight="1" x14ac:dyDescent="0.3">
      <c r="D204" s="47"/>
      <c r="G204" s="47"/>
    </row>
    <row r="205" spans="4:7" ht="15.75" customHeight="1" x14ac:dyDescent="0.3">
      <c r="D205" s="47"/>
      <c r="G205" s="47"/>
    </row>
    <row r="206" spans="4:7" ht="15.75" customHeight="1" x14ac:dyDescent="0.3">
      <c r="D206" s="47"/>
      <c r="G206" s="47"/>
    </row>
    <row r="207" spans="4:7" ht="15.75" customHeight="1" x14ac:dyDescent="0.3">
      <c r="D207" s="47"/>
      <c r="G207" s="47"/>
    </row>
    <row r="208" spans="4:7" ht="15.75" customHeight="1" x14ac:dyDescent="0.3">
      <c r="D208" s="47"/>
      <c r="G208" s="47"/>
    </row>
    <row r="209" spans="4:7" ht="15.75" customHeight="1" x14ac:dyDescent="0.3">
      <c r="D209" s="47"/>
      <c r="G209" s="47"/>
    </row>
    <row r="210" spans="4:7" ht="15.75" customHeight="1" x14ac:dyDescent="0.3">
      <c r="D210" s="47"/>
      <c r="G210" s="47"/>
    </row>
    <row r="211" spans="4:7" ht="15.75" customHeight="1" x14ac:dyDescent="0.3">
      <c r="D211" s="47"/>
      <c r="G211" s="47"/>
    </row>
    <row r="212" spans="4:7" ht="15.75" customHeight="1" x14ac:dyDescent="0.3">
      <c r="D212" s="47"/>
      <c r="G212" s="47"/>
    </row>
    <row r="213" spans="4:7" ht="15.75" customHeight="1" x14ac:dyDescent="0.3">
      <c r="D213" s="47"/>
      <c r="G213" s="47"/>
    </row>
    <row r="214" spans="4:7" ht="15.75" customHeight="1" x14ac:dyDescent="0.3">
      <c r="D214" s="47"/>
      <c r="G214" s="47"/>
    </row>
    <row r="215" spans="4:7" ht="15.75" customHeight="1" x14ac:dyDescent="0.3">
      <c r="D215" s="47"/>
      <c r="G215" s="47"/>
    </row>
    <row r="216" spans="4:7" ht="15.75" customHeight="1" x14ac:dyDescent="0.3">
      <c r="D216" s="47"/>
      <c r="G216" s="47"/>
    </row>
    <row r="217" spans="4:7" ht="15.75" customHeight="1" x14ac:dyDescent="0.3">
      <c r="D217" s="47"/>
      <c r="G217" s="47"/>
    </row>
    <row r="218" spans="4:7" ht="15.75" customHeight="1" x14ac:dyDescent="0.3">
      <c r="D218" s="47"/>
      <c r="G218" s="47"/>
    </row>
    <row r="219" spans="4:7" ht="15.75" customHeight="1" x14ac:dyDescent="0.3">
      <c r="D219" s="47"/>
      <c r="G219" s="47"/>
    </row>
    <row r="220" spans="4:7" ht="15.75" customHeight="1" x14ac:dyDescent="0.3">
      <c r="D220" s="47"/>
      <c r="G220" s="47"/>
    </row>
    <row r="221" spans="4:7" ht="15.75" customHeight="1" x14ac:dyDescent="0.3">
      <c r="D221" s="47"/>
      <c r="G221" s="47"/>
    </row>
    <row r="222" spans="4:7" ht="15.75" customHeight="1" x14ac:dyDescent="0.3">
      <c r="D222" s="47"/>
      <c r="G222" s="47"/>
    </row>
    <row r="223" spans="4:7" ht="15.75" customHeight="1" x14ac:dyDescent="0.3">
      <c r="D223" s="47"/>
      <c r="G223" s="47"/>
    </row>
    <row r="224" spans="4:7" ht="15.75" customHeight="1" x14ac:dyDescent="0.3">
      <c r="D224" s="47"/>
      <c r="G224" s="47"/>
    </row>
    <row r="225" spans="4:7" ht="15.75" customHeight="1" x14ac:dyDescent="0.3">
      <c r="D225" s="47"/>
      <c r="G225" s="47"/>
    </row>
    <row r="226" spans="4:7" ht="15.75" customHeight="1" x14ac:dyDescent="0.3">
      <c r="D226" s="47"/>
      <c r="G226" s="47"/>
    </row>
    <row r="227" spans="4:7" ht="15.75" customHeight="1" x14ac:dyDescent="0.3">
      <c r="D227" s="47"/>
      <c r="G227" s="47"/>
    </row>
    <row r="228" spans="4:7" ht="15.75" customHeight="1" x14ac:dyDescent="0.3">
      <c r="D228" s="47"/>
      <c r="G228" s="47"/>
    </row>
    <row r="229" spans="4:7" ht="15.75" customHeight="1" x14ac:dyDescent="0.3">
      <c r="D229" s="47"/>
      <c r="G229" s="47"/>
    </row>
    <row r="230" spans="4:7" ht="15.75" customHeight="1" x14ac:dyDescent="0.3">
      <c r="D230" s="47"/>
      <c r="G230" s="47"/>
    </row>
    <row r="231" spans="4:7" ht="15.75" customHeight="1" x14ac:dyDescent="0.3">
      <c r="D231" s="47"/>
      <c r="G231" s="47"/>
    </row>
    <row r="232" spans="4:7" ht="15.75" customHeight="1" x14ac:dyDescent="0.3">
      <c r="D232" s="47"/>
      <c r="G232" s="47"/>
    </row>
    <row r="233" spans="4:7" ht="15.75" customHeight="1" x14ac:dyDescent="0.3">
      <c r="D233" s="47"/>
      <c r="G233" s="47"/>
    </row>
    <row r="234" spans="4:7" ht="15.75" customHeight="1" x14ac:dyDescent="0.3">
      <c r="D234" s="47"/>
      <c r="G234" s="47"/>
    </row>
    <row r="235" spans="4:7" ht="15.75" customHeight="1" x14ac:dyDescent="0.3">
      <c r="D235" s="47"/>
      <c r="G235" s="47"/>
    </row>
    <row r="236" spans="4:7" ht="15.75" customHeight="1" x14ac:dyDescent="0.3">
      <c r="D236" s="47"/>
      <c r="G236" s="47"/>
    </row>
    <row r="237" spans="4:7" ht="15.75" customHeight="1" x14ac:dyDescent="0.3">
      <c r="D237" s="47"/>
      <c r="G237" s="47"/>
    </row>
    <row r="238" spans="4:7" ht="15.75" customHeight="1" x14ac:dyDescent="0.3">
      <c r="D238" s="47"/>
      <c r="G238" s="47"/>
    </row>
    <row r="239" spans="4:7" ht="15.75" customHeight="1" x14ac:dyDescent="0.3">
      <c r="D239" s="47"/>
      <c r="G239" s="47"/>
    </row>
    <row r="240" spans="4:7" ht="15.75" customHeight="1" x14ac:dyDescent="0.3">
      <c r="D240" s="47"/>
      <c r="G240" s="47"/>
    </row>
    <row r="241" spans="4:7" ht="15.75" customHeight="1" x14ac:dyDescent="0.3">
      <c r="D241" s="47"/>
      <c r="G241" s="47"/>
    </row>
    <row r="242" spans="4:7" ht="15.75" customHeight="1" x14ac:dyDescent="0.3">
      <c r="D242" s="47"/>
      <c r="G242" s="47"/>
    </row>
    <row r="243" spans="4:7" ht="15.75" customHeight="1" x14ac:dyDescent="0.3">
      <c r="D243" s="47"/>
      <c r="G243" s="47"/>
    </row>
    <row r="244" spans="4:7" ht="15.75" customHeight="1" x14ac:dyDescent="0.3">
      <c r="D244" s="47"/>
      <c r="G244" s="47"/>
    </row>
    <row r="245" spans="4:7" ht="15.75" customHeight="1" x14ac:dyDescent="0.3">
      <c r="D245" s="47"/>
      <c r="G245" s="47"/>
    </row>
    <row r="246" spans="4:7" ht="15.75" customHeight="1" x14ac:dyDescent="0.3">
      <c r="D246" s="47"/>
      <c r="G246" s="47"/>
    </row>
    <row r="247" spans="4:7" ht="15.75" customHeight="1" x14ac:dyDescent="0.3">
      <c r="D247" s="47"/>
      <c r="G247" s="47"/>
    </row>
    <row r="248" spans="4:7" ht="15.75" customHeight="1" x14ac:dyDescent="0.3">
      <c r="D248" s="47"/>
      <c r="G248" s="47"/>
    </row>
    <row r="249" spans="4:7" ht="15.75" customHeight="1" x14ac:dyDescent="0.3">
      <c r="D249" s="47"/>
      <c r="G249" s="47"/>
    </row>
    <row r="250" spans="4:7" ht="15.75" customHeight="1" x14ac:dyDescent="0.3">
      <c r="D250" s="47"/>
      <c r="G250" s="47"/>
    </row>
    <row r="251" spans="4:7" ht="15.75" customHeight="1" x14ac:dyDescent="0.3">
      <c r="D251" s="47"/>
      <c r="G251" s="47"/>
    </row>
    <row r="252" spans="4:7" ht="15.75" customHeight="1" x14ac:dyDescent="0.3">
      <c r="D252" s="47"/>
      <c r="G252" s="47"/>
    </row>
    <row r="253" spans="4:7" ht="15.75" customHeight="1" x14ac:dyDescent="0.3">
      <c r="D253" s="47"/>
      <c r="G253" s="47"/>
    </row>
    <row r="254" spans="4:7" ht="15.75" customHeight="1" x14ac:dyDescent="0.3">
      <c r="D254" s="47"/>
      <c r="G254" s="47"/>
    </row>
    <row r="255" spans="4:7" ht="15.75" customHeight="1" x14ac:dyDescent="0.3">
      <c r="D255" s="47"/>
      <c r="G255" s="47"/>
    </row>
    <row r="256" spans="4:7" ht="15.75" customHeight="1" x14ac:dyDescent="0.3">
      <c r="D256" s="47"/>
      <c r="G256" s="47"/>
    </row>
    <row r="257" spans="4:7" ht="15.75" customHeight="1" x14ac:dyDescent="0.3">
      <c r="D257" s="47"/>
      <c r="G257" s="47"/>
    </row>
    <row r="258" spans="4:7" ht="15.75" customHeight="1" x14ac:dyDescent="0.3">
      <c r="D258" s="47"/>
      <c r="G258" s="47"/>
    </row>
    <row r="259" spans="4:7" ht="15.75" customHeight="1" x14ac:dyDescent="0.3">
      <c r="D259" s="47"/>
      <c r="G259" s="47"/>
    </row>
    <row r="260" spans="4:7" ht="15.75" customHeight="1" x14ac:dyDescent="0.3">
      <c r="D260" s="47"/>
      <c r="G260" s="47"/>
    </row>
    <row r="261" spans="4:7" ht="15.75" customHeight="1" x14ac:dyDescent="0.3">
      <c r="D261" s="47"/>
      <c r="G261" s="47"/>
    </row>
    <row r="262" spans="4:7" ht="15.75" customHeight="1" x14ac:dyDescent="0.3">
      <c r="D262" s="47"/>
      <c r="G262" s="47"/>
    </row>
    <row r="263" spans="4:7" ht="15.75" customHeight="1" x14ac:dyDescent="0.3">
      <c r="D263" s="47"/>
      <c r="G263" s="47"/>
    </row>
    <row r="264" spans="4:7" ht="15.75" customHeight="1" x14ac:dyDescent="0.3">
      <c r="D264" s="47"/>
      <c r="G264" s="47"/>
    </row>
    <row r="265" spans="4:7" ht="15.75" customHeight="1" x14ac:dyDescent="0.3">
      <c r="D265" s="47"/>
      <c r="G265" s="47"/>
    </row>
    <row r="266" spans="4:7" ht="15.75" customHeight="1" x14ac:dyDescent="0.3">
      <c r="D266" s="47"/>
      <c r="G266" s="47"/>
    </row>
    <row r="267" spans="4:7" ht="15.75" customHeight="1" x14ac:dyDescent="0.3">
      <c r="D267" s="47"/>
      <c r="G267" s="47"/>
    </row>
    <row r="268" spans="4:7" ht="15.75" customHeight="1" x14ac:dyDescent="0.3">
      <c r="D268" s="47"/>
      <c r="G268" s="47"/>
    </row>
    <row r="269" spans="4:7" ht="15.75" customHeight="1" x14ac:dyDescent="0.3">
      <c r="D269" s="47"/>
      <c r="G269" s="47"/>
    </row>
    <row r="270" spans="4:7" ht="15.75" customHeight="1" x14ac:dyDescent="0.3">
      <c r="D270" s="47"/>
      <c r="G270" s="47"/>
    </row>
    <row r="271" spans="4:7" ht="15.75" customHeight="1" x14ac:dyDescent="0.3">
      <c r="D271" s="47"/>
      <c r="G271" s="47"/>
    </row>
    <row r="272" spans="4:7" ht="15.75" customHeight="1" x14ac:dyDescent="0.3">
      <c r="D272" s="47"/>
      <c r="G272" s="47"/>
    </row>
    <row r="273" spans="4:7" ht="15.75" customHeight="1" x14ac:dyDescent="0.3">
      <c r="D273" s="47"/>
      <c r="G273" s="47"/>
    </row>
    <row r="274" spans="4:7" ht="15.75" customHeight="1" x14ac:dyDescent="0.3">
      <c r="D274" s="47"/>
      <c r="G274" s="47"/>
    </row>
    <row r="275" spans="4:7" ht="15.75" customHeight="1" x14ac:dyDescent="0.3">
      <c r="D275" s="47"/>
      <c r="G275" s="47"/>
    </row>
    <row r="276" spans="4:7" ht="15.75" customHeight="1" x14ac:dyDescent="0.3">
      <c r="D276" s="47"/>
      <c r="G276" s="47"/>
    </row>
    <row r="277" spans="4:7" ht="15.75" customHeight="1" x14ac:dyDescent="0.3">
      <c r="D277" s="47"/>
      <c r="G277" s="47"/>
    </row>
    <row r="278" spans="4:7" ht="15.75" customHeight="1" x14ac:dyDescent="0.3">
      <c r="D278" s="47"/>
      <c r="G278" s="47"/>
    </row>
    <row r="279" spans="4:7" ht="15.75" customHeight="1" x14ac:dyDescent="0.3">
      <c r="D279" s="47"/>
      <c r="G279" s="47"/>
    </row>
    <row r="280" spans="4:7" ht="15.75" customHeight="1" x14ac:dyDescent="0.3">
      <c r="D280" s="47"/>
      <c r="G280" s="47"/>
    </row>
    <row r="281" spans="4:7" ht="15.75" customHeight="1" x14ac:dyDescent="0.3">
      <c r="D281" s="47"/>
      <c r="G281" s="47"/>
    </row>
    <row r="282" spans="4:7" ht="15.75" customHeight="1" x14ac:dyDescent="0.3">
      <c r="D282" s="47"/>
      <c r="G282" s="47"/>
    </row>
    <row r="283" spans="4:7" ht="15.75" customHeight="1" x14ac:dyDescent="0.3">
      <c r="D283" s="47"/>
      <c r="G283" s="47"/>
    </row>
    <row r="284" spans="4:7" ht="15.75" customHeight="1" x14ac:dyDescent="0.3">
      <c r="D284" s="47"/>
      <c r="G284" s="47"/>
    </row>
    <row r="285" spans="4:7" ht="15.75" customHeight="1" x14ac:dyDescent="0.3">
      <c r="D285" s="47"/>
      <c r="G285" s="47"/>
    </row>
    <row r="286" spans="4:7" ht="15.75" customHeight="1" x14ac:dyDescent="0.3">
      <c r="D286" s="47"/>
      <c r="G286" s="47"/>
    </row>
    <row r="287" spans="4:7" ht="15.75" customHeight="1" x14ac:dyDescent="0.3">
      <c r="D287" s="47"/>
      <c r="G287" s="47"/>
    </row>
    <row r="288" spans="4:7" ht="15.75" customHeight="1" x14ac:dyDescent="0.3">
      <c r="D288" s="47"/>
      <c r="G288" s="47"/>
    </row>
    <row r="289" spans="4:7" ht="15.75" customHeight="1" x14ac:dyDescent="0.3">
      <c r="D289" s="47"/>
      <c r="G289" s="47"/>
    </row>
    <row r="290" spans="4:7" ht="15.75" customHeight="1" x14ac:dyDescent="0.3">
      <c r="D290" s="47"/>
      <c r="G290" s="47"/>
    </row>
    <row r="291" spans="4:7" ht="15.75" customHeight="1" x14ac:dyDescent="0.3">
      <c r="D291" s="47"/>
      <c r="G291" s="47"/>
    </row>
    <row r="292" spans="4:7" ht="15.75" customHeight="1" x14ac:dyDescent="0.3">
      <c r="D292" s="47"/>
      <c r="G292" s="47"/>
    </row>
    <row r="293" spans="4:7" ht="15.75" customHeight="1" x14ac:dyDescent="0.3">
      <c r="D293" s="47"/>
      <c r="G293" s="47"/>
    </row>
    <row r="294" spans="4:7" ht="15.75" customHeight="1" x14ac:dyDescent="0.3">
      <c r="D294" s="47"/>
      <c r="G294" s="47"/>
    </row>
    <row r="295" spans="4:7" ht="15.75" customHeight="1" x14ac:dyDescent="0.3">
      <c r="D295" s="47"/>
      <c r="G295" s="47"/>
    </row>
    <row r="296" spans="4:7" ht="15.75" customHeight="1" x14ac:dyDescent="0.3">
      <c r="D296" s="47"/>
      <c r="G296" s="47"/>
    </row>
    <row r="297" spans="4:7" ht="15.75" customHeight="1" x14ac:dyDescent="0.3">
      <c r="D297" s="47"/>
      <c r="G297" s="47"/>
    </row>
    <row r="298" spans="4:7" ht="15.75" customHeight="1" x14ac:dyDescent="0.3">
      <c r="D298" s="47"/>
      <c r="G298" s="47"/>
    </row>
    <row r="299" spans="4:7" ht="15.75" customHeight="1" x14ac:dyDescent="0.3">
      <c r="D299" s="47"/>
      <c r="G299" s="47"/>
    </row>
    <row r="300" spans="4:7" ht="15.75" customHeight="1" x14ac:dyDescent="0.3">
      <c r="D300" s="47"/>
      <c r="G300" s="47"/>
    </row>
    <row r="301" spans="4:7" ht="15.75" customHeight="1" x14ac:dyDescent="0.3">
      <c r="D301" s="47"/>
      <c r="G301" s="47"/>
    </row>
    <row r="302" spans="4:7" ht="15.75" customHeight="1" x14ac:dyDescent="0.3">
      <c r="D302" s="47"/>
      <c r="G302" s="47"/>
    </row>
    <row r="303" spans="4:7" ht="15.75" customHeight="1" x14ac:dyDescent="0.3">
      <c r="D303" s="47"/>
      <c r="G303" s="47"/>
    </row>
    <row r="304" spans="4:7" ht="15.75" customHeight="1" x14ac:dyDescent="0.3">
      <c r="D304" s="47"/>
      <c r="G304" s="47"/>
    </row>
    <row r="305" spans="4:7" ht="15.75" customHeight="1" x14ac:dyDescent="0.3">
      <c r="D305" s="47"/>
      <c r="G305" s="47"/>
    </row>
    <row r="306" spans="4:7" ht="15.75" customHeight="1" x14ac:dyDescent="0.3">
      <c r="D306" s="47"/>
      <c r="G306" s="47"/>
    </row>
    <row r="307" spans="4:7" ht="15.75" customHeight="1" x14ac:dyDescent="0.3">
      <c r="D307" s="47"/>
      <c r="G307" s="47"/>
    </row>
    <row r="308" spans="4:7" ht="15.75" customHeight="1" x14ac:dyDescent="0.3">
      <c r="D308" s="47"/>
      <c r="G308" s="47"/>
    </row>
    <row r="309" spans="4:7" ht="15.75" customHeight="1" x14ac:dyDescent="0.3">
      <c r="D309" s="47"/>
      <c r="G309" s="47"/>
    </row>
    <row r="310" spans="4:7" ht="15.75" customHeight="1" x14ac:dyDescent="0.3">
      <c r="D310" s="47"/>
      <c r="G310" s="47"/>
    </row>
    <row r="311" spans="4:7" ht="15.75" customHeight="1" x14ac:dyDescent="0.3">
      <c r="D311" s="47"/>
      <c r="G311" s="47"/>
    </row>
    <row r="312" spans="4:7" ht="15.75" customHeight="1" x14ac:dyDescent="0.3">
      <c r="D312" s="47"/>
      <c r="G312" s="47"/>
    </row>
    <row r="313" spans="4:7" ht="15.75" customHeight="1" x14ac:dyDescent="0.3">
      <c r="D313" s="47"/>
      <c r="G313" s="47"/>
    </row>
    <row r="314" spans="4:7" ht="15.75" customHeight="1" x14ac:dyDescent="0.3">
      <c r="D314" s="47"/>
      <c r="G314" s="47"/>
    </row>
    <row r="315" spans="4:7" ht="15.75" customHeight="1" x14ac:dyDescent="0.3">
      <c r="D315" s="47"/>
      <c r="G315" s="47"/>
    </row>
    <row r="316" spans="4:7" ht="15.75" customHeight="1" x14ac:dyDescent="0.3">
      <c r="D316" s="47"/>
      <c r="G316" s="47"/>
    </row>
    <row r="317" spans="4:7" ht="15.75" customHeight="1" x14ac:dyDescent="0.3">
      <c r="D317" s="47"/>
      <c r="G317" s="47"/>
    </row>
    <row r="318" spans="4:7" ht="15.75" customHeight="1" x14ac:dyDescent="0.3">
      <c r="D318" s="47"/>
      <c r="G318" s="47"/>
    </row>
    <row r="319" spans="4:7" ht="15.75" customHeight="1" x14ac:dyDescent="0.3">
      <c r="D319" s="47"/>
      <c r="G319" s="47"/>
    </row>
    <row r="320" spans="4:7" ht="15.75" customHeight="1" x14ac:dyDescent="0.3">
      <c r="D320" s="47"/>
      <c r="G320" s="47"/>
    </row>
    <row r="321" spans="4:7" ht="15.75" customHeight="1" x14ac:dyDescent="0.3">
      <c r="D321" s="47"/>
      <c r="G321" s="47"/>
    </row>
    <row r="322" spans="4:7" ht="15.75" customHeight="1" x14ac:dyDescent="0.3">
      <c r="D322" s="47"/>
      <c r="G322" s="47"/>
    </row>
    <row r="323" spans="4:7" ht="15.75" customHeight="1" x14ac:dyDescent="0.3">
      <c r="D323" s="47"/>
      <c r="G323" s="47"/>
    </row>
    <row r="324" spans="4:7" ht="15.75" customHeight="1" x14ac:dyDescent="0.3">
      <c r="D324" s="47"/>
      <c r="G324" s="47"/>
    </row>
    <row r="325" spans="4:7" ht="15.75" customHeight="1" x14ac:dyDescent="0.3">
      <c r="D325" s="47"/>
      <c r="G325" s="47"/>
    </row>
    <row r="326" spans="4:7" ht="15.75" customHeight="1" x14ac:dyDescent="0.3">
      <c r="D326" s="47"/>
      <c r="G326" s="47"/>
    </row>
    <row r="327" spans="4:7" ht="15.75" customHeight="1" x14ac:dyDescent="0.3">
      <c r="D327" s="47"/>
      <c r="G327" s="47"/>
    </row>
    <row r="328" spans="4:7" ht="15.75" customHeight="1" x14ac:dyDescent="0.3">
      <c r="D328" s="47"/>
      <c r="G328" s="47"/>
    </row>
    <row r="329" spans="4:7" ht="15.75" customHeight="1" x14ac:dyDescent="0.3">
      <c r="D329" s="47"/>
      <c r="G329" s="47"/>
    </row>
    <row r="330" spans="4:7" ht="15.75" customHeight="1" x14ac:dyDescent="0.3">
      <c r="D330" s="47"/>
      <c r="G330" s="47"/>
    </row>
    <row r="331" spans="4:7" ht="15.75" customHeight="1" x14ac:dyDescent="0.3">
      <c r="D331" s="47"/>
      <c r="G331" s="47"/>
    </row>
    <row r="332" spans="4:7" ht="15.75" customHeight="1" x14ac:dyDescent="0.3">
      <c r="D332" s="47"/>
      <c r="G332" s="47"/>
    </row>
    <row r="333" spans="4:7" ht="15.75" customHeight="1" x14ac:dyDescent="0.3">
      <c r="D333" s="47"/>
      <c r="G333" s="47"/>
    </row>
    <row r="334" spans="4:7" ht="15.75" customHeight="1" x14ac:dyDescent="0.3">
      <c r="D334" s="47"/>
      <c r="G334" s="47"/>
    </row>
    <row r="335" spans="4:7" ht="15.75" customHeight="1" x14ac:dyDescent="0.3">
      <c r="D335" s="47"/>
      <c r="G335" s="47"/>
    </row>
    <row r="336" spans="4:7" ht="15.75" customHeight="1" x14ac:dyDescent="0.3">
      <c r="D336" s="47"/>
      <c r="G336" s="47"/>
    </row>
    <row r="337" spans="4:7" ht="15.75" customHeight="1" x14ac:dyDescent="0.3">
      <c r="D337" s="47"/>
      <c r="G337" s="47"/>
    </row>
    <row r="338" spans="4:7" ht="15.75" customHeight="1" x14ac:dyDescent="0.3">
      <c r="D338" s="47"/>
      <c r="G338" s="47"/>
    </row>
    <row r="339" spans="4:7" ht="15.75" customHeight="1" x14ac:dyDescent="0.3">
      <c r="D339" s="47"/>
      <c r="G339" s="47"/>
    </row>
    <row r="340" spans="4:7" ht="15.75" customHeight="1" x14ac:dyDescent="0.3">
      <c r="D340" s="47"/>
      <c r="G340" s="47"/>
    </row>
    <row r="341" spans="4:7" ht="15.75" customHeight="1" x14ac:dyDescent="0.3">
      <c r="D341" s="47"/>
      <c r="G341" s="47"/>
    </row>
    <row r="342" spans="4:7" ht="15.75" customHeight="1" x14ac:dyDescent="0.3">
      <c r="D342" s="47"/>
      <c r="G342" s="47"/>
    </row>
    <row r="343" spans="4:7" ht="15.75" customHeight="1" x14ac:dyDescent="0.3">
      <c r="D343" s="47"/>
      <c r="G343" s="47"/>
    </row>
    <row r="344" spans="4:7" ht="15.75" customHeight="1" x14ac:dyDescent="0.3">
      <c r="D344" s="47"/>
      <c r="G344" s="47"/>
    </row>
    <row r="345" spans="4:7" ht="15.75" customHeight="1" x14ac:dyDescent="0.3">
      <c r="D345" s="47"/>
      <c r="G345" s="47"/>
    </row>
    <row r="346" spans="4:7" ht="15.75" customHeight="1" x14ac:dyDescent="0.3">
      <c r="D346" s="47"/>
      <c r="G346" s="47"/>
    </row>
    <row r="347" spans="4:7" ht="15.75" customHeight="1" x14ac:dyDescent="0.3">
      <c r="D347" s="47"/>
      <c r="G347" s="47"/>
    </row>
    <row r="348" spans="4:7" ht="15.75" customHeight="1" x14ac:dyDescent="0.3">
      <c r="D348" s="47"/>
      <c r="G348" s="47"/>
    </row>
    <row r="349" spans="4:7" ht="15.75" customHeight="1" x14ac:dyDescent="0.3">
      <c r="D349" s="47"/>
      <c r="G349" s="47"/>
    </row>
    <row r="350" spans="4:7" ht="15.75" customHeight="1" x14ac:dyDescent="0.3">
      <c r="D350" s="47"/>
      <c r="G350" s="47"/>
    </row>
    <row r="351" spans="4:7" ht="15.75" customHeight="1" x14ac:dyDescent="0.3">
      <c r="D351" s="47"/>
      <c r="G351" s="47"/>
    </row>
    <row r="352" spans="4:7" ht="15.75" customHeight="1" x14ac:dyDescent="0.3">
      <c r="D352" s="47"/>
      <c r="G352" s="47"/>
    </row>
    <row r="353" spans="4:7" ht="15.75" customHeight="1" x14ac:dyDescent="0.3">
      <c r="D353" s="47"/>
      <c r="G353" s="47"/>
    </row>
    <row r="354" spans="4:7" ht="15.75" customHeight="1" x14ac:dyDescent="0.3">
      <c r="D354" s="47"/>
      <c r="G354" s="47"/>
    </row>
    <row r="355" spans="4:7" ht="15.75" customHeight="1" x14ac:dyDescent="0.3">
      <c r="D355" s="47"/>
      <c r="G355" s="47"/>
    </row>
    <row r="356" spans="4:7" ht="15.75" customHeight="1" x14ac:dyDescent="0.3">
      <c r="D356" s="47"/>
      <c r="G356" s="47"/>
    </row>
    <row r="357" spans="4:7" ht="15.75" customHeight="1" x14ac:dyDescent="0.3">
      <c r="D357" s="47"/>
      <c r="G357" s="47"/>
    </row>
    <row r="358" spans="4:7" ht="15.75" customHeight="1" x14ac:dyDescent="0.3">
      <c r="D358" s="47"/>
      <c r="G358" s="47"/>
    </row>
    <row r="359" spans="4:7" ht="15.75" customHeight="1" x14ac:dyDescent="0.3">
      <c r="D359" s="47"/>
      <c r="G359" s="47"/>
    </row>
    <row r="360" spans="4:7" ht="15.75" customHeight="1" x14ac:dyDescent="0.3">
      <c r="D360" s="47"/>
      <c r="G360" s="47"/>
    </row>
    <row r="361" spans="4:7" ht="15.75" customHeight="1" x14ac:dyDescent="0.3">
      <c r="D361" s="47"/>
      <c r="G361" s="47"/>
    </row>
    <row r="362" spans="4:7" ht="15.75" customHeight="1" x14ac:dyDescent="0.3">
      <c r="D362" s="47"/>
      <c r="G362" s="47"/>
    </row>
    <row r="363" spans="4:7" ht="15.75" customHeight="1" x14ac:dyDescent="0.3">
      <c r="D363" s="47"/>
      <c r="G363" s="47"/>
    </row>
    <row r="364" spans="4:7" ht="15.75" customHeight="1" x14ac:dyDescent="0.3">
      <c r="D364" s="47"/>
      <c r="G364" s="47"/>
    </row>
    <row r="365" spans="4:7" ht="15.75" customHeight="1" x14ac:dyDescent="0.3">
      <c r="D365" s="47"/>
      <c r="G365" s="47"/>
    </row>
    <row r="366" spans="4:7" ht="15.75" customHeight="1" x14ac:dyDescent="0.3">
      <c r="D366" s="47"/>
      <c r="G366" s="47"/>
    </row>
    <row r="367" spans="4:7" ht="15.75" customHeight="1" x14ac:dyDescent="0.3">
      <c r="D367" s="47"/>
      <c r="G367" s="47"/>
    </row>
    <row r="368" spans="4:7" ht="15.75" customHeight="1" x14ac:dyDescent="0.3">
      <c r="D368" s="47"/>
      <c r="G368" s="47"/>
    </row>
    <row r="369" spans="4:7" ht="15.75" customHeight="1" x14ac:dyDescent="0.3">
      <c r="D369" s="47"/>
      <c r="G369" s="47"/>
    </row>
    <row r="370" spans="4:7" ht="15.75" customHeight="1" x14ac:dyDescent="0.3">
      <c r="D370" s="47"/>
      <c r="G370" s="47"/>
    </row>
    <row r="371" spans="4:7" ht="15.75" customHeight="1" x14ac:dyDescent="0.3">
      <c r="D371" s="47"/>
      <c r="G371" s="47"/>
    </row>
    <row r="372" spans="4:7" ht="15.75" customHeight="1" x14ac:dyDescent="0.3">
      <c r="D372" s="47"/>
      <c r="G372" s="47"/>
    </row>
    <row r="373" spans="4:7" ht="15.75" customHeight="1" x14ac:dyDescent="0.3">
      <c r="D373" s="47"/>
      <c r="G373" s="47"/>
    </row>
    <row r="374" spans="4:7" ht="15.75" customHeight="1" x14ac:dyDescent="0.3">
      <c r="D374" s="47"/>
      <c r="G374" s="47"/>
    </row>
    <row r="375" spans="4:7" ht="15.75" customHeight="1" x14ac:dyDescent="0.3">
      <c r="D375" s="47"/>
      <c r="G375" s="47"/>
    </row>
    <row r="376" spans="4:7" ht="15.75" customHeight="1" x14ac:dyDescent="0.3">
      <c r="D376" s="47"/>
      <c r="G376" s="47"/>
    </row>
    <row r="377" spans="4:7" ht="15.75" customHeight="1" x14ac:dyDescent="0.3">
      <c r="D377" s="47"/>
      <c r="G377" s="47"/>
    </row>
    <row r="378" spans="4:7" ht="15.75" customHeight="1" x14ac:dyDescent="0.3">
      <c r="D378" s="47"/>
      <c r="G378" s="47"/>
    </row>
    <row r="379" spans="4:7" ht="15.75" customHeight="1" x14ac:dyDescent="0.3">
      <c r="D379" s="47"/>
      <c r="G379" s="47"/>
    </row>
    <row r="380" spans="4:7" ht="15.75" customHeight="1" x14ac:dyDescent="0.3">
      <c r="D380" s="47"/>
      <c r="G380" s="47"/>
    </row>
    <row r="381" spans="4:7" ht="15.75" customHeight="1" x14ac:dyDescent="0.3">
      <c r="D381" s="47"/>
      <c r="G381" s="47"/>
    </row>
    <row r="382" spans="4:7" ht="15.75" customHeight="1" x14ac:dyDescent="0.3">
      <c r="D382" s="47"/>
      <c r="G382" s="47"/>
    </row>
    <row r="383" spans="4:7" ht="15.75" customHeight="1" x14ac:dyDescent="0.3">
      <c r="D383" s="47"/>
      <c r="G383" s="47"/>
    </row>
    <row r="384" spans="4:7" ht="15.75" customHeight="1" x14ac:dyDescent="0.3">
      <c r="D384" s="47"/>
      <c r="G384" s="47"/>
    </row>
    <row r="385" spans="4:7" ht="15.75" customHeight="1" x14ac:dyDescent="0.3">
      <c r="D385" s="47"/>
      <c r="G385" s="47"/>
    </row>
    <row r="386" spans="4:7" ht="15.75" customHeight="1" x14ac:dyDescent="0.3">
      <c r="D386" s="47"/>
      <c r="G386" s="47"/>
    </row>
    <row r="387" spans="4:7" ht="15.75" customHeight="1" x14ac:dyDescent="0.3">
      <c r="D387" s="47"/>
      <c r="G387" s="47"/>
    </row>
    <row r="388" spans="4:7" ht="15.75" customHeight="1" x14ac:dyDescent="0.3">
      <c r="D388" s="47"/>
      <c r="G388" s="47"/>
    </row>
    <row r="389" spans="4:7" ht="15.75" customHeight="1" x14ac:dyDescent="0.3">
      <c r="D389" s="47"/>
      <c r="G389" s="47"/>
    </row>
    <row r="390" spans="4:7" ht="15.75" customHeight="1" x14ac:dyDescent="0.3">
      <c r="D390" s="47"/>
      <c r="G390" s="47"/>
    </row>
    <row r="391" spans="4:7" ht="15.75" customHeight="1" x14ac:dyDescent="0.3">
      <c r="D391" s="47"/>
      <c r="G391" s="47"/>
    </row>
    <row r="392" spans="4:7" ht="15.75" customHeight="1" x14ac:dyDescent="0.3">
      <c r="D392" s="47"/>
      <c r="G392" s="47"/>
    </row>
    <row r="393" spans="4:7" ht="15.75" customHeight="1" x14ac:dyDescent="0.3">
      <c r="D393" s="47"/>
      <c r="G393" s="47"/>
    </row>
    <row r="394" spans="4:7" ht="15.75" customHeight="1" x14ac:dyDescent="0.3">
      <c r="D394" s="47"/>
      <c r="G394" s="47"/>
    </row>
    <row r="395" spans="4:7" ht="15.75" customHeight="1" x14ac:dyDescent="0.3">
      <c r="D395" s="47"/>
      <c r="G395" s="47"/>
    </row>
    <row r="396" spans="4:7" ht="15.75" customHeight="1" x14ac:dyDescent="0.3">
      <c r="D396" s="47"/>
      <c r="G396" s="47"/>
    </row>
    <row r="397" spans="4:7" ht="15.75" customHeight="1" x14ac:dyDescent="0.3">
      <c r="D397" s="47"/>
      <c r="G397" s="47"/>
    </row>
    <row r="398" spans="4:7" ht="15.75" customHeight="1" x14ac:dyDescent="0.3">
      <c r="D398" s="47"/>
      <c r="G398" s="47"/>
    </row>
    <row r="399" spans="4:7" ht="15.75" customHeight="1" x14ac:dyDescent="0.3">
      <c r="D399" s="47"/>
      <c r="G399" s="47"/>
    </row>
    <row r="400" spans="4:7" ht="15.75" customHeight="1" x14ac:dyDescent="0.3">
      <c r="D400" s="47"/>
      <c r="G400" s="47"/>
    </row>
    <row r="401" spans="4:7" ht="15.75" customHeight="1" x14ac:dyDescent="0.3">
      <c r="D401" s="47"/>
      <c r="G401" s="47"/>
    </row>
    <row r="402" spans="4:7" ht="15.75" customHeight="1" x14ac:dyDescent="0.3">
      <c r="D402" s="47"/>
      <c r="G402" s="47"/>
    </row>
    <row r="403" spans="4:7" ht="15.75" customHeight="1" x14ac:dyDescent="0.3">
      <c r="D403" s="47"/>
      <c r="G403" s="47"/>
    </row>
    <row r="404" spans="4:7" ht="15.75" customHeight="1" x14ac:dyDescent="0.3">
      <c r="D404" s="47"/>
      <c r="G404" s="47"/>
    </row>
    <row r="405" spans="4:7" ht="15.75" customHeight="1" x14ac:dyDescent="0.3">
      <c r="D405" s="47"/>
      <c r="G405" s="47"/>
    </row>
    <row r="406" spans="4:7" ht="15.75" customHeight="1" x14ac:dyDescent="0.3">
      <c r="D406" s="47"/>
      <c r="G406" s="47"/>
    </row>
    <row r="407" spans="4:7" ht="15.75" customHeight="1" x14ac:dyDescent="0.3">
      <c r="D407" s="47"/>
      <c r="G407" s="47"/>
    </row>
    <row r="408" spans="4:7" ht="15.75" customHeight="1" x14ac:dyDescent="0.3">
      <c r="D408" s="47"/>
      <c r="G408" s="47"/>
    </row>
    <row r="409" spans="4:7" ht="15.75" customHeight="1" x14ac:dyDescent="0.3">
      <c r="D409" s="47"/>
      <c r="G409" s="47"/>
    </row>
    <row r="410" spans="4:7" ht="15.75" customHeight="1" x14ac:dyDescent="0.3">
      <c r="D410" s="47"/>
      <c r="G410" s="47"/>
    </row>
    <row r="411" spans="4:7" ht="15.75" customHeight="1" x14ac:dyDescent="0.3">
      <c r="D411" s="47"/>
      <c r="G411" s="47"/>
    </row>
    <row r="412" spans="4:7" ht="15.75" customHeight="1" x14ac:dyDescent="0.3">
      <c r="D412" s="47"/>
      <c r="G412" s="47"/>
    </row>
    <row r="413" spans="4:7" ht="15.75" customHeight="1" x14ac:dyDescent="0.3">
      <c r="D413" s="47"/>
      <c r="G413" s="47"/>
    </row>
    <row r="414" spans="4:7" ht="15.75" customHeight="1" x14ac:dyDescent="0.3">
      <c r="D414" s="47"/>
      <c r="G414" s="47"/>
    </row>
    <row r="415" spans="4:7" ht="15.75" customHeight="1" x14ac:dyDescent="0.3">
      <c r="D415" s="47"/>
      <c r="G415" s="47"/>
    </row>
    <row r="416" spans="4:7" ht="15.75" customHeight="1" x14ac:dyDescent="0.3">
      <c r="D416" s="47"/>
      <c r="G416" s="47"/>
    </row>
    <row r="417" spans="4:7" ht="15.75" customHeight="1" x14ac:dyDescent="0.3">
      <c r="D417" s="47"/>
      <c r="G417" s="47"/>
    </row>
    <row r="418" spans="4:7" ht="15.75" customHeight="1" x14ac:dyDescent="0.3">
      <c r="D418" s="47"/>
      <c r="G418" s="47"/>
    </row>
    <row r="419" spans="4:7" ht="15.75" customHeight="1" x14ac:dyDescent="0.3">
      <c r="D419" s="47"/>
      <c r="G419" s="47"/>
    </row>
    <row r="420" spans="4:7" ht="15.75" customHeight="1" x14ac:dyDescent="0.3">
      <c r="D420" s="47"/>
      <c r="G420" s="47"/>
    </row>
    <row r="421" spans="4:7" ht="15.75" customHeight="1" x14ac:dyDescent="0.3">
      <c r="D421" s="47"/>
      <c r="G421" s="47"/>
    </row>
    <row r="422" spans="4:7" ht="15.75" customHeight="1" x14ac:dyDescent="0.3">
      <c r="D422" s="47"/>
      <c r="G422" s="47"/>
    </row>
    <row r="423" spans="4:7" ht="15.75" customHeight="1" x14ac:dyDescent="0.3">
      <c r="D423" s="47"/>
      <c r="G423" s="47"/>
    </row>
    <row r="424" spans="4:7" ht="15.75" customHeight="1" x14ac:dyDescent="0.3">
      <c r="D424" s="47"/>
      <c r="G424" s="47"/>
    </row>
    <row r="425" spans="4:7" ht="15.75" customHeight="1" x14ac:dyDescent="0.3">
      <c r="D425" s="47"/>
      <c r="G425" s="47"/>
    </row>
    <row r="426" spans="4:7" ht="15.75" customHeight="1" x14ac:dyDescent="0.3">
      <c r="D426" s="47"/>
      <c r="G426" s="47"/>
    </row>
    <row r="427" spans="4:7" ht="15.75" customHeight="1" x14ac:dyDescent="0.3">
      <c r="D427" s="47"/>
      <c r="G427" s="47"/>
    </row>
    <row r="428" spans="4:7" ht="15.75" customHeight="1" x14ac:dyDescent="0.3">
      <c r="D428" s="47"/>
      <c r="G428" s="47"/>
    </row>
    <row r="429" spans="4:7" ht="15.75" customHeight="1" x14ac:dyDescent="0.3">
      <c r="D429" s="47"/>
      <c r="G429" s="47"/>
    </row>
    <row r="430" spans="4:7" ht="15.75" customHeight="1" x14ac:dyDescent="0.3">
      <c r="D430" s="47"/>
      <c r="G430" s="47"/>
    </row>
    <row r="431" spans="4:7" ht="15.75" customHeight="1" x14ac:dyDescent="0.3">
      <c r="D431" s="47"/>
      <c r="G431" s="47"/>
    </row>
    <row r="432" spans="4:7" ht="15.75" customHeight="1" x14ac:dyDescent="0.3">
      <c r="D432" s="47"/>
      <c r="G432" s="47"/>
    </row>
    <row r="433" spans="4:7" ht="15.75" customHeight="1" x14ac:dyDescent="0.3">
      <c r="D433" s="47"/>
      <c r="G433" s="47"/>
    </row>
    <row r="434" spans="4:7" ht="15.75" customHeight="1" x14ac:dyDescent="0.3">
      <c r="D434" s="47"/>
      <c r="G434" s="47"/>
    </row>
    <row r="435" spans="4:7" ht="15.75" customHeight="1" x14ac:dyDescent="0.3">
      <c r="D435" s="47"/>
      <c r="G435" s="47"/>
    </row>
    <row r="436" spans="4:7" ht="15.75" customHeight="1" x14ac:dyDescent="0.3">
      <c r="D436" s="47"/>
      <c r="G436" s="47"/>
    </row>
    <row r="437" spans="4:7" ht="15.75" customHeight="1" x14ac:dyDescent="0.3">
      <c r="D437" s="47"/>
      <c r="G437" s="47"/>
    </row>
    <row r="438" spans="4:7" ht="15.75" customHeight="1" x14ac:dyDescent="0.3">
      <c r="D438" s="47"/>
      <c r="G438" s="47"/>
    </row>
    <row r="439" spans="4:7" ht="15.75" customHeight="1" x14ac:dyDescent="0.3">
      <c r="D439" s="47"/>
      <c r="G439" s="47"/>
    </row>
    <row r="440" spans="4:7" ht="15.75" customHeight="1" x14ac:dyDescent="0.3">
      <c r="D440" s="47"/>
      <c r="G440" s="47"/>
    </row>
    <row r="441" spans="4:7" ht="15.75" customHeight="1" x14ac:dyDescent="0.3">
      <c r="D441" s="47"/>
      <c r="G441" s="47"/>
    </row>
    <row r="442" spans="4:7" ht="15.75" customHeight="1" x14ac:dyDescent="0.3">
      <c r="D442" s="47"/>
      <c r="G442" s="47"/>
    </row>
    <row r="443" spans="4:7" ht="15.75" customHeight="1" x14ac:dyDescent="0.3">
      <c r="D443" s="47"/>
      <c r="G443" s="47"/>
    </row>
    <row r="444" spans="4:7" ht="15.75" customHeight="1" x14ac:dyDescent="0.3">
      <c r="D444" s="47"/>
      <c r="G444" s="47"/>
    </row>
    <row r="445" spans="4:7" ht="15.75" customHeight="1" x14ac:dyDescent="0.3">
      <c r="D445" s="47"/>
      <c r="G445" s="47"/>
    </row>
    <row r="446" spans="4:7" ht="15.75" customHeight="1" x14ac:dyDescent="0.3">
      <c r="D446" s="47"/>
      <c r="G446" s="47"/>
    </row>
    <row r="447" spans="4:7" ht="15.75" customHeight="1" x14ac:dyDescent="0.3">
      <c r="D447" s="47"/>
      <c r="G447" s="47"/>
    </row>
    <row r="448" spans="4:7" ht="15.75" customHeight="1" x14ac:dyDescent="0.3">
      <c r="D448" s="47"/>
      <c r="G448" s="47"/>
    </row>
    <row r="449" spans="4:7" ht="15.75" customHeight="1" x14ac:dyDescent="0.3">
      <c r="D449" s="47"/>
      <c r="G449" s="47"/>
    </row>
    <row r="450" spans="4:7" ht="15.75" customHeight="1" x14ac:dyDescent="0.3">
      <c r="D450" s="47"/>
      <c r="G450" s="47"/>
    </row>
    <row r="451" spans="4:7" ht="15.75" customHeight="1" x14ac:dyDescent="0.3">
      <c r="D451" s="47"/>
      <c r="G451" s="47"/>
    </row>
    <row r="452" spans="4:7" ht="15.75" customHeight="1" x14ac:dyDescent="0.3">
      <c r="D452" s="47"/>
      <c r="G452" s="47"/>
    </row>
    <row r="453" spans="4:7" ht="15.75" customHeight="1" x14ac:dyDescent="0.3">
      <c r="D453" s="47"/>
      <c r="G453" s="47"/>
    </row>
    <row r="454" spans="4:7" ht="15.75" customHeight="1" x14ac:dyDescent="0.3">
      <c r="D454" s="47"/>
      <c r="G454" s="47"/>
    </row>
    <row r="455" spans="4:7" ht="15.75" customHeight="1" x14ac:dyDescent="0.3">
      <c r="D455" s="47"/>
      <c r="G455" s="47"/>
    </row>
    <row r="456" spans="4:7" ht="15.75" customHeight="1" x14ac:dyDescent="0.3">
      <c r="D456" s="47"/>
      <c r="G456" s="47"/>
    </row>
    <row r="457" spans="4:7" ht="15.75" customHeight="1" x14ac:dyDescent="0.3">
      <c r="D457" s="47"/>
      <c r="G457" s="47"/>
    </row>
    <row r="458" spans="4:7" ht="15.75" customHeight="1" x14ac:dyDescent="0.3">
      <c r="D458" s="47"/>
      <c r="G458" s="47"/>
    </row>
    <row r="459" spans="4:7" ht="15.75" customHeight="1" x14ac:dyDescent="0.3">
      <c r="D459" s="47"/>
      <c r="G459" s="47"/>
    </row>
    <row r="460" spans="4:7" ht="15.75" customHeight="1" x14ac:dyDescent="0.3">
      <c r="D460" s="47"/>
      <c r="G460" s="47"/>
    </row>
    <row r="461" spans="4:7" ht="15.75" customHeight="1" x14ac:dyDescent="0.3">
      <c r="D461" s="47"/>
      <c r="G461" s="47"/>
    </row>
    <row r="462" spans="4:7" ht="15.75" customHeight="1" x14ac:dyDescent="0.3">
      <c r="D462" s="47"/>
      <c r="G462" s="47"/>
    </row>
    <row r="463" spans="4:7" ht="15.75" customHeight="1" x14ac:dyDescent="0.3">
      <c r="D463" s="47"/>
      <c r="G463" s="47"/>
    </row>
    <row r="464" spans="4:7" ht="15.75" customHeight="1" x14ac:dyDescent="0.3">
      <c r="D464" s="47"/>
      <c r="G464" s="47"/>
    </row>
    <row r="465" spans="4:7" ht="15.75" customHeight="1" x14ac:dyDescent="0.3">
      <c r="D465" s="47"/>
      <c r="G465" s="47"/>
    </row>
    <row r="466" spans="4:7" ht="15.75" customHeight="1" x14ac:dyDescent="0.3">
      <c r="D466" s="47"/>
      <c r="G466" s="47"/>
    </row>
    <row r="467" spans="4:7" ht="15.75" customHeight="1" x14ac:dyDescent="0.3">
      <c r="D467" s="47"/>
      <c r="G467" s="47"/>
    </row>
    <row r="468" spans="4:7" ht="15.75" customHeight="1" x14ac:dyDescent="0.3">
      <c r="D468" s="47"/>
      <c r="G468" s="47"/>
    </row>
    <row r="469" spans="4:7" ht="15.75" customHeight="1" x14ac:dyDescent="0.3">
      <c r="D469" s="47"/>
      <c r="G469" s="47"/>
    </row>
    <row r="470" spans="4:7" ht="15.75" customHeight="1" x14ac:dyDescent="0.3">
      <c r="D470" s="47"/>
      <c r="G470" s="47"/>
    </row>
    <row r="471" spans="4:7" ht="15.75" customHeight="1" x14ac:dyDescent="0.3">
      <c r="D471" s="47"/>
      <c r="G471" s="47"/>
    </row>
    <row r="472" spans="4:7" ht="15.75" customHeight="1" x14ac:dyDescent="0.3">
      <c r="D472" s="47"/>
      <c r="G472" s="47"/>
    </row>
    <row r="473" spans="4:7" ht="15.75" customHeight="1" x14ac:dyDescent="0.3">
      <c r="D473" s="47"/>
      <c r="G473" s="47"/>
    </row>
    <row r="474" spans="4:7" ht="15.75" customHeight="1" x14ac:dyDescent="0.3">
      <c r="D474" s="47"/>
      <c r="G474" s="47"/>
    </row>
    <row r="475" spans="4:7" ht="15.75" customHeight="1" x14ac:dyDescent="0.3">
      <c r="D475" s="47"/>
      <c r="G475" s="47"/>
    </row>
    <row r="476" spans="4:7" ht="15.75" customHeight="1" x14ac:dyDescent="0.3">
      <c r="D476" s="47"/>
      <c r="G476" s="47"/>
    </row>
    <row r="477" spans="4:7" ht="15.75" customHeight="1" x14ac:dyDescent="0.3">
      <c r="D477" s="47"/>
      <c r="G477" s="47"/>
    </row>
    <row r="478" spans="4:7" ht="15.75" customHeight="1" x14ac:dyDescent="0.3">
      <c r="D478" s="47"/>
      <c r="G478" s="47"/>
    </row>
    <row r="479" spans="4:7" ht="15.75" customHeight="1" x14ac:dyDescent="0.3">
      <c r="D479" s="47"/>
      <c r="G479" s="47"/>
    </row>
    <row r="480" spans="4:7" ht="15.75" customHeight="1" x14ac:dyDescent="0.3">
      <c r="D480" s="47"/>
      <c r="G480" s="47"/>
    </row>
    <row r="481" spans="4:7" ht="15.75" customHeight="1" x14ac:dyDescent="0.3">
      <c r="D481" s="47"/>
      <c r="G481" s="47"/>
    </row>
    <row r="482" spans="4:7" ht="15.75" customHeight="1" x14ac:dyDescent="0.3">
      <c r="D482" s="47"/>
      <c r="G482" s="47"/>
    </row>
    <row r="483" spans="4:7" ht="15.75" customHeight="1" x14ac:dyDescent="0.3">
      <c r="D483" s="47"/>
      <c r="G483" s="47"/>
    </row>
    <row r="484" spans="4:7" ht="15.75" customHeight="1" x14ac:dyDescent="0.3">
      <c r="D484" s="47"/>
      <c r="G484" s="47"/>
    </row>
    <row r="485" spans="4:7" ht="15.75" customHeight="1" x14ac:dyDescent="0.3">
      <c r="D485" s="47"/>
      <c r="G485" s="47"/>
    </row>
    <row r="486" spans="4:7" ht="15.75" customHeight="1" x14ac:dyDescent="0.3">
      <c r="D486" s="47"/>
      <c r="G486" s="47"/>
    </row>
    <row r="487" spans="4:7" ht="15.75" customHeight="1" x14ac:dyDescent="0.3">
      <c r="D487" s="47"/>
      <c r="G487" s="47"/>
    </row>
    <row r="488" spans="4:7" ht="15.75" customHeight="1" x14ac:dyDescent="0.3">
      <c r="D488" s="47"/>
      <c r="G488" s="47"/>
    </row>
    <row r="489" spans="4:7" ht="15.75" customHeight="1" x14ac:dyDescent="0.3">
      <c r="D489" s="47"/>
      <c r="G489" s="47"/>
    </row>
    <row r="490" spans="4:7" ht="15.75" customHeight="1" x14ac:dyDescent="0.3">
      <c r="D490" s="47"/>
      <c r="G490" s="47"/>
    </row>
    <row r="491" spans="4:7" ht="15.75" customHeight="1" x14ac:dyDescent="0.3">
      <c r="D491" s="47"/>
      <c r="G491" s="47"/>
    </row>
    <row r="492" spans="4:7" ht="15.75" customHeight="1" x14ac:dyDescent="0.3">
      <c r="D492" s="47"/>
      <c r="G492" s="47"/>
    </row>
    <row r="493" spans="4:7" ht="15.75" customHeight="1" x14ac:dyDescent="0.3">
      <c r="D493" s="47"/>
      <c r="G493" s="47"/>
    </row>
    <row r="494" spans="4:7" ht="15.75" customHeight="1" x14ac:dyDescent="0.3">
      <c r="D494" s="47"/>
      <c r="G494" s="47"/>
    </row>
    <row r="495" spans="4:7" ht="15.75" customHeight="1" x14ac:dyDescent="0.3">
      <c r="D495" s="47"/>
      <c r="G495" s="47"/>
    </row>
    <row r="496" spans="4:7" ht="15.75" customHeight="1" x14ac:dyDescent="0.3">
      <c r="D496" s="47"/>
      <c r="G496" s="47"/>
    </row>
    <row r="497" spans="4:7" ht="15.75" customHeight="1" x14ac:dyDescent="0.3">
      <c r="D497" s="47"/>
      <c r="G497" s="47"/>
    </row>
    <row r="498" spans="4:7" ht="15.75" customHeight="1" x14ac:dyDescent="0.3">
      <c r="D498" s="47"/>
      <c r="G498" s="47"/>
    </row>
    <row r="499" spans="4:7" ht="15.75" customHeight="1" x14ac:dyDescent="0.3">
      <c r="D499" s="47"/>
      <c r="G499" s="47"/>
    </row>
    <row r="500" spans="4:7" ht="15.75" customHeight="1" x14ac:dyDescent="0.3">
      <c r="D500" s="47"/>
      <c r="G500" s="47"/>
    </row>
    <row r="501" spans="4:7" ht="15.75" customHeight="1" x14ac:dyDescent="0.3">
      <c r="D501" s="47"/>
      <c r="G501" s="47"/>
    </row>
    <row r="502" spans="4:7" ht="15.75" customHeight="1" x14ac:dyDescent="0.3">
      <c r="D502" s="47"/>
      <c r="G502" s="47"/>
    </row>
    <row r="503" spans="4:7" ht="15.75" customHeight="1" x14ac:dyDescent="0.3">
      <c r="D503" s="47"/>
      <c r="G503" s="47"/>
    </row>
    <row r="504" spans="4:7" ht="15.75" customHeight="1" x14ac:dyDescent="0.3">
      <c r="D504" s="47"/>
      <c r="G504" s="47"/>
    </row>
    <row r="505" spans="4:7" ht="15.75" customHeight="1" x14ac:dyDescent="0.3">
      <c r="D505" s="47"/>
      <c r="G505" s="47"/>
    </row>
    <row r="506" spans="4:7" ht="15.75" customHeight="1" x14ac:dyDescent="0.3">
      <c r="D506" s="47"/>
      <c r="G506" s="47"/>
    </row>
    <row r="507" spans="4:7" ht="15.75" customHeight="1" x14ac:dyDescent="0.3">
      <c r="D507" s="47"/>
      <c r="G507" s="47"/>
    </row>
    <row r="508" spans="4:7" ht="15.75" customHeight="1" x14ac:dyDescent="0.3">
      <c r="D508" s="47"/>
      <c r="G508" s="47"/>
    </row>
    <row r="509" spans="4:7" ht="15.75" customHeight="1" x14ac:dyDescent="0.3">
      <c r="D509" s="47"/>
      <c r="G509" s="47"/>
    </row>
    <row r="510" spans="4:7" ht="15.75" customHeight="1" x14ac:dyDescent="0.3">
      <c r="D510" s="47"/>
      <c r="G510" s="47"/>
    </row>
    <row r="511" spans="4:7" ht="15.75" customHeight="1" x14ac:dyDescent="0.3">
      <c r="D511" s="47"/>
      <c r="G511" s="47"/>
    </row>
    <row r="512" spans="4:7" ht="15.75" customHeight="1" x14ac:dyDescent="0.3">
      <c r="D512" s="47"/>
      <c r="G512" s="47"/>
    </row>
    <row r="513" spans="4:7" ht="15.75" customHeight="1" x14ac:dyDescent="0.3">
      <c r="D513" s="47"/>
      <c r="G513" s="47"/>
    </row>
    <row r="514" spans="4:7" ht="15.75" customHeight="1" x14ac:dyDescent="0.3">
      <c r="D514" s="47"/>
      <c r="G514" s="47"/>
    </row>
    <row r="515" spans="4:7" ht="15.75" customHeight="1" x14ac:dyDescent="0.3">
      <c r="D515" s="47"/>
      <c r="G515" s="47"/>
    </row>
    <row r="516" spans="4:7" ht="15.75" customHeight="1" x14ac:dyDescent="0.3">
      <c r="D516" s="47"/>
      <c r="G516" s="47"/>
    </row>
    <row r="517" spans="4:7" ht="15.75" customHeight="1" x14ac:dyDescent="0.3">
      <c r="D517" s="47"/>
      <c r="G517" s="47"/>
    </row>
    <row r="518" spans="4:7" ht="15.75" customHeight="1" x14ac:dyDescent="0.3">
      <c r="D518" s="47"/>
      <c r="G518" s="47"/>
    </row>
    <row r="519" spans="4:7" ht="15.75" customHeight="1" x14ac:dyDescent="0.3">
      <c r="D519" s="47"/>
      <c r="G519" s="47"/>
    </row>
    <row r="520" spans="4:7" ht="15.75" customHeight="1" x14ac:dyDescent="0.3">
      <c r="D520" s="47"/>
      <c r="G520" s="47"/>
    </row>
    <row r="521" spans="4:7" ht="15.75" customHeight="1" x14ac:dyDescent="0.3">
      <c r="D521" s="47"/>
      <c r="G521" s="47"/>
    </row>
    <row r="522" spans="4:7" ht="15.75" customHeight="1" x14ac:dyDescent="0.3">
      <c r="D522" s="47"/>
      <c r="G522" s="47"/>
    </row>
    <row r="523" spans="4:7" ht="15.75" customHeight="1" x14ac:dyDescent="0.3">
      <c r="D523" s="47"/>
      <c r="G523" s="47"/>
    </row>
    <row r="524" spans="4:7" ht="15.75" customHeight="1" x14ac:dyDescent="0.3">
      <c r="D524" s="47"/>
      <c r="G524" s="47"/>
    </row>
    <row r="525" spans="4:7" ht="15.75" customHeight="1" x14ac:dyDescent="0.3">
      <c r="D525" s="47"/>
      <c r="G525" s="47"/>
    </row>
    <row r="526" spans="4:7" ht="15.75" customHeight="1" x14ac:dyDescent="0.3">
      <c r="D526" s="47"/>
      <c r="G526" s="47"/>
    </row>
    <row r="527" spans="4:7" ht="15.75" customHeight="1" x14ac:dyDescent="0.3">
      <c r="D527" s="47"/>
      <c r="G527" s="47"/>
    </row>
    <row r="528" spans="4:7" ht="15.75" customHeight="1" x14ac:dyDescent="0.3">
      <c r="D528" s="47"/>
      <c r="G528" s="47"/>
    </row>
    <row r="529" spans="4:7" ht="15.75" customHeight="1" x14ac:dyDescent="0.3">
      <c r="D529" s="47"/>
      <c r="G529" s="47"/>
    </row>
    <row r="530" spans="4:7" ht="15.75" customHeight="1" x14ac:dyDescent="0.3">
      <c r="D530" s="47"/>
      <c r="G530" s="47"/>
    </row>
    <row r="531" spans="4:7" ht="15.75" customHeight="1" x14ac:dyDescent="0.3">
      <c r="D531" s="47"/>
      <c r="G531" s="47"/>
    </row>
    <row r="532" spans="4:7" ht="15.75" customHeight="1" x14ac:dyDescent="0.3">
      <c r="D532" s="47"/>
      <c r="G532" s="47"/>
    </row>
    <row r="533" spans="4:7" ht="15.75" customHeight="1" x14ac:dyDescent="0.3">
      <c r="D533" s="47"/>
      <c r="G533" s="47"/>
    </row>
    <row r="534" spans="4:7" ht="15.75" customHeight="1" x14ac:dyDescent="0.3">
      <c r="D534" s="47"/>
      <c r="G534" s="47"/>
    </row>
    <row r="535" spans="4:7" ht="15.75" customHeight="1" x14ac:dyDescent="0.3">
      <c r="D535" s="47"/>
      <c r="G535" s="47"/>
    </row>
    <row r="536" spans="4:7" ht="15.75" customHeight="1" x14ac:dyDescent="0.3">
      <c r="D536" s="47"/>
      <c r="G536" s="47"/>
    </row>
    <row r="537" spans="4:7" ht="15.75" customHeight="1" x14ac:dyDescent="0.3">
      <c r="D537" s="47"/>
      <c r="G537" s="47"/>
    </row>
    <row r="538" spans="4:7" ht="15.75" customHeight="1" x14ac:dyDescent="0.3">
      <c r="D538" s="47"/>
      <c r="G538" s="47"/>
    </row>
    <row r="539" spans="4:7" ht="15.75" customHeight="1" x14ac:dyDescent="0.3">
      <c r="D539" s="47"/>
      <c r="G539" s="47"/>
    </row>
    <row r="540" spans="4:7" ht="15.75" customHeight="1" x14ac:dyDescent="0.3">
      <c r="D540" s="47"/>
      <c r="G540" s="47"/>
    </row>
    <row r="541" spans="4:7" ht="15.75" customHeight="1" x14ac:dyDescent="0.3">
      <c r="D541" s="47"/>
      <c r="G541" s="47"/>
    </row>
    <row r="542" spans="4:7" ht="15.75" customHeight="1" x14ac:dyDescent="0.3">
      <c r="D542" s="47"/>
      <c r="G542" s="47"/>
    </row>
    <row r="543" spans="4:7" ht="15.75" customHeight="1" x14ac:dyDescent="0.3">
      <c r="D543" s="47"/>
      <c r="G543" s="47"/>
    </row>
    <row r="544" spans="4:7" ht="15.75" customHeight="1" x14ac:dyDescent="0.3">
      <c r="D544" s="47"/>
      <c r="G544" s="47"/>
    </row>
    <row r="545" spans="4:7" ht="15.75" customHeight="1" x14ac:dyDescent="0.3">
      <c r="D545" s="47"/>
      <c r="G545" s="47"/>
    </row>
    <row r="546" spans="4:7" ht="15.75" customHeight="1" x14ac:dyDescent="0.3">
      <c r="D546" s="47"/>
      <c r="G546" s="47"/>
    </row>
    <row r="547" spans="4:7" ht="15.75" customHeight="1" x14ac:dyDescent="0.3">
      <c r="D547" s="47"/>
      <c r="G547" s="47"/>
    </row>
    <row r="548" spans="4:7" ht="15.75" customHeight="1" x14ac:dyDescent="0.3">
      <c r="D548" s="47"/>
      <c r="G548" s="47"/>
    </row>
    <row r="549" spans="4:7" ht="15.75" customHeight="1" x14ac:dyDescent="0.3">
      <c r="D549" s="47"/>
      <c r="G549" s="47"/>
    </row>
    <row r="550" spans="4:7" ht="15.75" customHeight="1" x14ac:dyDescent="0.3">
      <c r="D550" s="47"/>
      <c r="G550" s="47"/>
    </row>
    <row r="551" spans="4:7" ht="15.75" customHeight="1" x14ac:dyDescent="0.3">
      <c r="D551" s="47"/>
      <c r="G551" s="47"/>
    </row>
    <row r="552" spans="4:7" ht="15.75" customHeight="1" x14ac:dyDescent="0.3">
      <c r="D552" s="47"/>
      <c r="G552" s="47"/>
    </row>
    <row r="553" spans="4:7" ht="15.75" customHeight="1" x14ac:dyDescent="0.3">
      <c r="D553" s="47"/>
      <c r="G553" s="47"/>
    </row>
    <row r="554" spans="4:7" ht="15.75" customHeight="1" x14ac:dyDescent="0.3">
      <c r="D554" s="47"/>
      <c r="G554" s="47"/>
    </row>
    <row r="555" spans="4:7" ht="15.75" customHeight="1" x14ac:dyDescent="0.3">
      <c r="D555" s="47"/>
      <c r="G555" s="47"/>
    </row>
    <row r="556" spans="4:7" ht="15.75" customHeight="1" x14ac:dyDescent="0.3">
      <c r="D556" s="47"/>
      <c r="G556" s="47"/>
    </row>
    <row r="557" spans="4:7" ht="15.75" customHeight="1" x14ac:dyDescent="0.3">
      <c r="D557" s="47"/>
      <c r="G557" s="47"/>
    </row>
    <row r="558" spans="4:7" ht="15.75" customHeight="1" x14ac:dyDescent="0.3">
      <c r="D558" s="47"/>
      <c r="G558" s="47"/>
    </row>
    <row r="559" spans="4:7" ht="15.75" customHeight="1" x14ac:dyDescent="0.3">
      <c r="D559" s="47"/>
      <c r="G559" s="47"/>
    </row>
    <row r="560" spans="4:7" ht="15.75" customHeight="1" x14ac:dyDescent="0.3">
      <c r="D560" s="47"/>
      <c r="G560" s="47"/>
    </row>
    <row r="561" spans="4:7" ht="15.75" customHeight="1" x14ac:dyDescent="0.3">
      <c r="D561" s="47"/>
      <c r="G561" s="47"/>
    </row>
    <row r="562" spans="4:7" ht="15.75" customHeight="1" x14ac:dyDescent="0.3">
      <c r="D562" s="47"/>
      <c r="G562" s="47"/>
    </row>
    <row r="563" spans="4:7" ht="15.75" customHeight="1" x14ac:dyDescent="0.3">
      <c r="D563" s="47"/>
      <c r="G563" s="47"/>
    </row>
    <row r="564" spans="4:7" ht="15.75" customHeight="1" x14ac:dyDescent="0.3">
      <c r="D564" s="47"/>
      <c r="G564" s="47"/>
    </row>
    <row r="565" spans="4:7" ht="15.75" customHeight="1" x14ac:dyDescent="0.3">
      <c r="D565" s="47"/>
      <c r="G565" s="47"/>
    </row>
    <row r="566" spans="4:7" ht="15.75" customHeight="1" x14ac:dyDescent="0.3">
      <c r="D566" s="47"/>
      <c r="G566" s="47"/>
    </row>
    <row r="567" spans="4:7" ht="15.75" customHeight="1" x14ac:dyDescent="0.3">
      <c r="D567" s="47"/>
      <c r="G567" s="47"/>
    </row>
    <row r="568" spans="4:7" ht="15.75" customHeight="1" x14ac:dyDescent="0.3">
      <c r="D568" s="47"/>
      <c r="G568" s="47"/>
    </row>
    <row r="569" spans="4:7" ht="15.75" customHeight="1" x14ac:dyDescent="0.3">
      <c r="D569" s="47"/>
      <c r="G569" s="47"/>
    </row>
    <row r="570" spans="4:7" ht="15.75" customHeight="1" x14ac:dyDescent="0.3">
      <c r="D570" s="47"/>
      <c r="G570" s="47"/>
    </row>
    <row r="571" spans="4:7" ht="15.75" customHeight="1" x14ac:dyDescent="0.3">
      <c r="D571" s="47"/>
      <c r="G571" s="47"/>
    </row>
    <row r="572" spans="4:7" ht="15.75" customHeight="1" x14ac:dyDescent="0.3">
      <c r="D572" s="47"/>
      <c r="G572" s="47"/>
    </row>
    <row r="573" spans="4:7" ht="15.75" customHeight="1" x14ac:dyDescent="0.3">
      <c r="D573" s="47"/>
      <c r="G573" s="47"/>
    </row>
    <row r="574" spans="4:7" ht="15.75" customHeight="1" x14ac:dyDescent="0.3">
      <c r="D574" s="47"/>
      <c r="G574" s="47"/>
    </row>
    <row r="575" spans="4:7" ht="15.75" customHeight="1" x14ac:dyDescent="0.3">
      <c r="D575" s="47"/>
      <c r="G575" s="47"/>
    </row>
    <row r="576" spans="4:7" ht="15.75" customHeight="1" x14ac:dyDescent="0.3">
      <c r="D576" s="47"/>
      <c r="G576" s="47"/>
    </row>
    <row r="577" spans="4:7" ht="15.75" customHeight="1" x14ac:dyDescent="0.3">
      <c r="D577" s="47"/>
      <c r="G577" s="47"/>
    </row>
    <row r="578" spans="4:7" ht="15.75" customHeight="1" x14ac:dyDescent="0.3">
      <c r="D578" s="47"/>
      <c r="G578" s="47"/>
    </row>
    <row r="579" spans="4:7" ht="15.75" customHeight="1" x14ac:dyDescent="0.3">
      <c r="D579" s="47"/>
      <c r="G579" s="47"/>
    </row>
    <row r="580" spans="4:7" ht="15.75" customHeight="1" x14ac:dyDescent="0.3">
      <c r="D580" s="47"/>
      <c r="G580" s="47"/>
    </row>
    <row r="581" spans="4:7" ht="15.75" customHeight="1" x14ac:dyDescent="0.3">
      <c r="D581" s="47"/>
      <c r="G581" s="47"/>
    </row>
    <row r="582" spans="4:7" ht="15.75" customHeight="1" x14ac:dyDescent="0.3">
      <c r="D582" s="47"/>
      <c r="G582" s="47"/>
    </row>
    <row r="583" spans="4:7" ht="15.75" customHeight="1" x14ac:dyDescent="0.3">
      <c r="D583" s="47"/>
      <c r="G583" s="47"/>
    </row>
    <row r="584" spans="4:7" ht="15.75" customHeight="1" x14ac:dyDescent="0.3">
      <c r="D584" s="47"/>
      <c r="G584" s="47"/>
    </row>
    <row r="585" spans="4:7" ht="15.75" customHeight="1" x14ac:dyDescent="0.3">
      <c r="D585" s="47"/>
      <c r="G585" s="47"/>
    </row>
    <row r="586" spans="4:7" ht="15.75" customHeight="1" x14ac:dyDescent="0.3">
      <c r="D586" s="47"/>
      <c r="G586" s="47"/>
    </row>
    <row r="587" spans="4:7" ht="15.75" customHeight="1" x14ac:dyDescent="0.3">
      <c r="D587" s="47"/>
      <c r="G587" s="47"/>
    </row>
    <row r="588" spans="4:7" ht="15.75" customHeight="1" x14ac:dyDescent="0.3">
      <c r="D588" s="47"/>
      <c r="G588" s="47"/>
    </row>
    <row r="589" spans="4:7" ht="15.75" customHeight="1" x14ac:dyDescent="0.3">
      <c r="D589" s="47"/>
      <c r="G589" s="47"/>
    </row>
    <row r="590" spans="4:7" ht="15.75" customHeight="1" x14ac:dyDescent="0.3">
      <c r="D590" s="47"/>
      <c r="G590" s="47"/>
    </row>
    <row r="591" spans="4:7" ht="15.75" customHeight="1" x14ac:dyDescent="0.3">
      <c r="D591" s="47"/>
      <c r="G591" s="47"/>
    </row>
    <row r="592" spans="4:7" ht="15.75" customHeight="1" x14ac:dyDescent="0.3">
      <c r="D592" s="47"/>
      <c r="G592" s="47"/>
    </row>
    <row r="593" spans="4:7" ht="15.75" customHeight="1" x14ac:dyDescent="0.3">
      <c r="D593" s="47"/>
      <c r="G593" s="47"/>
    </row>
    <row r="594" spans="4:7" ht="15.75" customHeight="1" x14ac:dyDescent="0.3">
      <c r="D594" s="47"/>
      <c r="G594" s="47"/>
    </row>
    <row r="595" spans="4:7" ht="15.75" customHeight="1" x14ac:dyDescent="0.3">
      <c r="D595" s="47"/>
      <c r="G595" s="47"/>
    </row>
    <row r="596" spans="4:7" ht="15.75" customHeight="1" x14ac:dyDescent="0.3">
      <c r="D596" s="47"/>
      <c r="G596" s="47"/>
    </row>
    <row r="597" spans="4:7" ht="15.75" customHeight="1" x14ac:dyDescent="0.3">
      <c r="D597" s="47"/>
      <c r="G597" s="47"/>
    </row>
    <row r="598" spans="4:7" ht="15.75" customHeight="1" x14ac:dyDescent="0.3">
      <c r="D598" s="47"/>
      <c r="G598" s="47"/>
    </row>
    <row r="599" spans="4:7" ht="15.75" customHeight="1" x14ac:dyDescent="0.3">
      <c r="D599" s="47"/>
      <c r="G599" s="47"/>
    </row>
    <row r="600" spans="4:7" ht="15.75" customHeight="1" x14ac:dyDescent="0.3">
      <c r="D600" s="47"/>
      <c r="G600" s="47"/>
    </row>
    <row r="601" spans="4:7" ht="15.75" customHeight="1" x14ac:dyDescent="0.3">
      <c r="D601" s="47"/>
      <c r="G601" s="47"/>
    </row>
    <row r="602" spans="4:7" ht="15.75" customHeight="1" x14ac:dyDescent="0.3">
      <c r="D602" s="47"/>
      <c r="G602" s="47"/>
    </row>
    <row r="603" spans="4:7" ht="15.75" customHeight="1" x14ac:dyDescent="0.3">
      <c r="D603" s="47"/>
      <c r="G603" s="47"/>
    </row>
    <row r="604" spans="4:7" ht="15.75" customHeight="1" x14ac:dyDescent="0.3">
      <c r="D604" s="47"/>
      <c r="G604" s="47"/>
    </row>
    <row r="605" spans="4:7" ht="15.75" customHeight="1" x14ac:dyDescent="0.3">
      <c r="D605" s="47"/>
      <c r="G605" s="47"/>
    </row>
    <row r="606" spans="4:7" ht="15.75" customHeight="1" x14ac:dyDescent="0.3">
      <c r="D606" s="47"/>
      <c r="G606" s="47"/>
    </row>
    <row r="607" spans="4:7" ht="15.75" customHeight="1" x14ac:dyDescent="0.3">
      <c r="D607" s="47"/>
      <c r="G607" s="47"/>
    </row>
    <row r="608" spans="4:7" ht="15.75" customHeight="1" x14ac:dyDescent="0.3">
      <c r="D608" s="47"/>
      <c r="G608" s="47"/>
    </row>
    <row r="609" spans="4:7" ht="15.75" customHeight="1" x14ac:dyDescent="0.3">
      <c r="D609" s="47"/>
      <c r="G609" s="47"/>
    </row>
    <row r="610" spans="4:7" ht="15.75" customHeight="1" x14ac:dyDescent="0.3">
      <c r="D610" s="47"/>
      <c r="G610" s="47"/>
    </row>
    <row r="611" spans="4:7" ht="15.75" customHeight="1" x14ac:dyDescent="0.3">
      <c r="D611" s="47"/>
      <c r="G611" s="47"/>
    </row>
    <row r="612" spans="4:7" ht="15.75" customHeight="1" x14ac:dyDescent="0.3">
      <c r="D612" s="47"/>
      <c r="G612" s="47"/>
    </row>
    <row r="613" spans="4:7" ht="15.75" customHeight="1" x14ac:dyDescent="0.3">
      <c r="D613" s="47"/>
      <c r="G613" s="47"/>
    </row>
    <row r="614" spans="4:7" ht="15.75" customHeight="1" x14ac:dyDescent="0.3">
      <c r="D614" s="47"/>
      <c r="G614" s="47"/>
    </row>
    <row r="615" spans="4:7" ht="15.75" customHeight="1" x14ac:dyDescent="0.3">
      <c r="D615" s="47"/>
      <c r="G615" s="47"/>
    </row>
    <row r="616" spans="4:7" ht="15.75" customHeight="1" x14ac:dyDescent="0.3">
      <c r="D616" s="47"/>
      <c r="G616" s="47"/>
    </row>
    <row r="617" spans="4:7" ht="15.75" customHeight="1" x14ac:dyDescent="0.3">
      <c r="D617" s="47"/>
      <c r="G617" s="47"/>
    </row>
    <row r="618" spans="4:7" ht="15.75" customHeight="1" x14ac:dyDescent="0.3">
      <c r="D618" s="47"/>
      <c r="G618" s="47"/>
    </row>
    <row r="619" spans="4:7" ht="15.75" customHeight="1" x14ac:dyDescent="0.3">
      <c r="D619" s="47"/>
      <c r="G619" s="47"/>
    </row>
    <row r="620" spans="4:7" ht="15.75" customHeight="1" x14ac:dyDescent="0.3">
      <c r="D620" s="47"/>
      <c r="G620" s="47"/>
    </row>
    <row r="621" spans="4:7" ht="15.75" customHeight="1" x14ac:dyDescent="0.3">
      <c r="D621" s="47"/>
      <c r="G621" s="47"/>
    </row>
    <row r="622" spans="4:7" ht="15.75" customHeight="1" x14ac:dyDescent="0.3">
      <c r="D622" s="47"/>
      <c r="G622" s="47"/>
    </row>
    <row r="623" spans="4:7" ht="15.75" customHeight="1" x14ac:dyDescent="0.3">
      <c r="D623" s="47"/>
      <c r="G623" s="47"/>
    </row>
    <row r="624" spans="4:7" ht="15.75" customHeight="1" x14ac:dyDescent="0.3">
      <c r="D624" s="47"/>
      <c r="G624" s="47"/>
    </row>
    <row r="625" spans="4:7" ht="15.75" customHeight="1" x14ac:dyDescent="0.3">
      <c r="D625" s="47"/>
      <c r="G625" s="47"/>
    </row>
    <row r="626" spans="4:7" ht="15.75" customHeight="1" x14ac:dyDescent="0.3">
      <c r="D626" s="47"/>
      <c r="G626" s="47"/>
    </row>
    <row r="627" spans="4:7" ht="15.75" customHeight="1" x14ac:dyDescent="0.3">
      <c r="D627" s="47"/>
      <c r="G627" s="47"/>
    </row>
    <row r="628" spans="4:7" ht="15.75" customHeight="1" x14ac:dyDescent="0.3">
      <c r="D628" s="47"/>
      <c r="G628" s="47"/>
    </row>
    <row r="629" spans="4:7" ht="15.75" customHeight="1" x14ac:dyDescent="0.3">
      <c r="D629" s="47"/>
      <c r="G629" s="47"/>
    </row>
    <row r="630" spans="4:7" ht="15.75" customHeight="1" x14ac:dyDescent="0.3">
      <c r="D630" s="47"/>
      <c r="G630" s="47"/>
    </row>
    <row r="631" spans="4:7" ht="15.75" customHeight="1" x14ac:dyDescent="0.3">
      <c r="D631" s="47"/>
      <c r="G631" s="47"/>
    </row>
    <row r="632" spans="4:7" ht="15.75" customHeight="1" x14ac:dyDescent="0.3">
      <c r="D632" s="47"/>
      <c r="G632" s="47"/>
    </row>
    <row r="633" spans="4:7" ht="15.75" customHeight="1" x14ac:dyDescent="0.3">
      <c r="D633" s="47"/>
      <c r="G633" s="47"/>
    </row>
    <row r="634" spans="4:7" ht="15.75" customHeight="1" x14ac:dyDescent="0.3">
      <c r="D634" s="47"/>
      <c r="G634" s="47"/>
    </row>
    <row r="635" spans="4:7" ht="15.75" customHeight="1" x14ac:dyDescent="0.3">
      <c r="D635" s="47"/>
      <c r="G635" s="47"/>
    </row>
    <row r="636" spans="4:7" ht="15.75" customHeight="1" x14ac:dyDescent="0.3">
      <c r="D636" s="47"/>
      <c r="G636" s="47"/>
    </row>
    <row r="637" spans="4:7" ht="15.75" customHeight="1" x14ac:dyDescent="0.3">
      <c r="D637" s="47"/>
      <c r="G637" s="47"/>
    </row>
    <row r="638" spans="4:7" ht="15.75" customHeight="1" x14ac:dyDescent="0.3">
      <c r="D638" s="47"/>
      <c r="G638" s="47"/>
    </row>
    <row r="639" spans="4:7" ht="15.75" customHeight="1" x14ac:dyDescent="0.3">
      <c r="D639" s="47"/>
      <c r="G639" s="47"/>
    </row>
    <row r="640" spans="4:7" ht="15.75" customHeight="1" x14ac:dyDescent="0.3">
      <c r="D640" s="47"/>
      <c r="G640" s="47"/>
    </row>
    <row r="641" spans="4:7" ht="15.75" customHeight="1" x14ac:dyDescent="0.3">
      <c r="D641" s="47"/>
      <c r="G641" s="47"/>
    </row>
    <row r="642" spans="4:7" ht="15.75" customHeight="1" x14ac:dyDescent="0.3">
      <c r="D642" s="47"/>
      <c r="G642" s="47"/>
    </row>
    <row r="643" spans="4:7" ht="15.75" customHeight="1" x14ac:dyDescent="0.3">
      <c r="D643" s="47"/>
      <c r="G643" s="47"/>
    </row>
    <row r="644" spans="4:7" ht="15.75" customHeight="1" x14ac:dyDescent="0.3">
      <c r="D644" s="47"/>
      <c r="G644" s="47"/>
    </row>
    <row r="645" spans="4:7" ht="15.75" customHeight="1" x14ac:dyDescent="0.3">
      <c r="D645" s="47"/>
      <c r="G645" s="47"/>
    </row>
    <row r="646" spans="4:7" ht="15.75" customHeight="1" x14ac:dyDescent="0.3">
      <c r="D646" s="47"/>
      <c r="G646" s="47"/>
    </row>
    <row r="647" spans="4:7" ht="15.75" customHeight="1" x14ac:dyDescent="0.3">
      <c r="D647" s="47"/>
      <c r="G647" s="47"/>
    </row>
    <row r="648" spans="4:7" ht="15.75" customHeight="1" x14ac:dyDescent="0.3">
      <c r="D648" s="47"/>
      <c r="G648" s="47"/>
    </row>
    <row r="649" spans="4:7" ht="15.75" customHeight="1" x14ac:dyDescent="0.3">
      <c r="D649" s="47"/>
      <c r="G649" s="47"/>
    </row>
    <row r="650" spans="4:7" ht="15.75" customHeight="1" x14ac:dyDescent="0.3">
      <c r="D650" s="47"/>
      <c r="G650" s="47"/>
    </row>
    <row r="651" spans="4:7" ht="15.75" customHeight="1" x14ac:dyDescent="0.3">
      <c r="D651" s="47"/>
      <c r="G651" s="47"/>
    </row>
    <row r="652" spans="4:7" ht="15.75" customHeight="1" x14ac:dyDescent="0.3">
      <c r="D652" s="47"/>
      <c r="G652" s="47"/>
    </row>
    <row r="653" spans="4:7" ht="15.75" customHeight="1" x14ac:dyDescent="0.3">
      <c r="D653" s="47"/>
      <c r="G653" s="47"/>
    </row>
    <row r="654" spans="4:7" ht="15.75" customHeight="1" x14ac:dyDescent="0.3">
      <c r="D654" s="47"/>
      <c r="G654" s="47"/>
    </row>
    <row r="655" spans="4:7" ht="15.75" customHeight="1" x14ac:dyDescent="0.3">
      <c r="D655" s="47"/>
      <c r="G655" s="47"/>
    </row>
    <row r="656" spans="4:7" ht="15.75" customHeight="1" x14ac:dyDescent="0.3">
      <c r="D656" s="47"/>
      <c r="G656" s="47"/>
    </row>
    <row r="657" spans="4:7" ht="15.75" customHeight="1" x14ac:dyDescent="0.3">
      <c r="D657" s="47"/>
      <c r="G657" s="47"/>
    </row>
    <row r="658" spans="4:7" ht="15.75" customHeight="1" x14ac:dyDescent="0.3">
      <c r="D658" s="47"/>
      <c r="G658" s="47"/>
    </row>
    <row r="659" spans="4:7" ht="15.75" customHeight="1" x14ac:dyDescent="0.3">
      <c r="D659" s="47"/>
      <c r="G659" s="47"/>
    </row>
    <row r="660" spans="4:7" ht="15.75" customHeight="1" x14ac:dyDescent="0.3">
      <c r="D660" s="47"/>
      <c r="G660" s="47"/>
    </row>
    <row r="661" spans="4:7" ht="15.75" customHeight="1" x14ac:dyDescent="0.3">
      <c r="D661" s="47"/>
      <c r="G661" s="47"/>
    </row>
    <row r="662" spans="4:7" ht="15.75" customHeight="1" x14ac:dyDescent="0.3">
      <c r="D662" s="47"/>
      <c r="G662" s="47"/>
    </row>
    <row r="663" spans="4:7" ht="15.75" customHeight="1" x14ac:dyDescent="0.3">
      <c r="D663" s="47"/>
      <c r="G663" s="47"/>
    </row>
    <row r="664" spans="4:7" ht="15.75" customHeight="1" x14ac:dyDescent="0.3">
      <c r="D664" s="47"/>
      <c r="G664" s="47"/>
    </row>
    <row r="665" spans="4:7" ht="15.75" customHeight="1" x14ac:dyDescent="0.3">
      <c r="D665" s="47"/>
      <c r="G665" s="47"/>
    </row>
    <row r="666" spans="4:7" ht="15.75" customHeight="1" x14ac:dyDescent="0.3">
      <c r="D666" s="47"/>
      <c r="G666" s="47"/>
    </row>
    <row r="667" spans="4:7" ht="15.75" customHeight="1" x14ac:dyDescent="0.3">
      <c r="D667" s="47"/>
      <c r="G667" s="47"/>
    </row>
    <row r="668" spans="4:7" ht="15.75" customHeight="1" x14ac:dyDescent="0.3">
      <c r="D668" s="47"/>
      <c r="G668" s="47"/>
    </row>
    <row r="669" spans="4:7" ht="15.75" customHeight="1" x14ac:dyDescent="0.3">
      <c r="D669" s="47"/>
      <c r="G669" s="47"/>
    </row>
    <row r="670" spans="4:7" ht="15.75" customHeight="1" x14ac:dyDescent="0.3">
      <c r="D670" s="47"/>
      <c r="G670" s="47"/>
    </row>
    <row r="671" spans="4:7" ht="15.75" customHeight="1" x14ac:dyDescent="0.3">
      <c r="D671" s="47"/>
      <c r="G671" s="47"/>
    </row>
    <row r="672" spans="4:7" ht="15.75" customHeight="1" x14ac:dyDescent="0.3">
      <c r="D672" s="47"/>
      <c r="G672" s="47"/>
    </row>
    <row r="673" spans="4:7" ht="15.75" customHeight="1" x14ac:dyDescent="0.3">
      <c r="D673" s="47"/>
      <c r="G673" s="47"/>
    </row>
    <row r="674" spans="4:7" ht="15.75" customHeight="1" x14ac:dyDescent="0.3">
      <c r="D674" s="47"/>
      <c r="G674" s="47"/>
    </row>
    <row r="675" spans="4:7" ht="15.75" customHeight="1" x14ac:dyDescent="0.3">
      <c r="D675" s="47"/>
      <c r="G675" s="47"/>
    </row>
    <row r="676" spans="4:7" ht="15.75" customHeight="1" x14ac:dyDescent="0.3">
      <c r="D676" s="47"/>
      <c r="G676" s="47"/>
    </row>
    <row r="677" spans="4:7" ht="15.75" customHeight="1" x14ac:dyDescent="0.3">
      <c r="D677" s="47"/>
      <c r="G677" s="47"/>
    </row>
    <row r="678" spans="4:7" ht="15.75" customHeight="1" x14ac:dyDescent="0.3">
      <c r="D678" s="47"/>
      <c r="G678" s="47"/>
    </row>
    <row r="679" spans="4:7" ht="15.75" customHeight="1" x14ac:dyDescent="0.3">
      <c r="D679" s="47"/>
      <c r="G679" s="47"/>
    </row>
    <row r="680" spans="4:7" ht="15.75" customHeight="1" x14ac:dyDescent="0.3">
      <c r="D680" s="47"/>
      <c r="G680" s="47"/>
    </row>
    <row r="681" spans="4:7" ht="15.75" customHeight="1" x14ac:dyDescent="0.3">
      <c r="D681" s="47"/>
      <c r="G681" s="47"/>
    </row>
    <row r="682" spans="4:7" ht="15.75" customHeight="1" x14ac:dyDescent="0.3">
      <c r="D682" s="47"/>
      <c r="G682" s="47"/>
    </row>
    <row r="683" spans="4:7" ht="15.75" customHeight="1" x14ac:dyDescent="0.3">
      <c r="D683" s="47"/>
      <c r="G683" s="47"/>
    </row>
    <row r="684" spans="4:7" ht="15.75" customHeight="1" x14ac:dyDescent="0.3">
      <c r="D684" s="47"/>
      <c r="G684" s="47"/>
    </row>
    <row r="685" spans="4:7" ht="15.75" customHeight="1" x14ac:dyDescent="0.3">
      <c r="D685" s="47"/>
      <c r="G685" s="47"/>
    </row>
    <row r="686" spans="4:7" ht="15.75" customHeight="1" x14ac:dyDescent="0.3">
      <c r="D686" s="47"/>
      <c r="G686" s="47"/>
    </row>
    <row r="687" spans="4:7" ht="15.75" customHeight="1" x14ac:dyDescent="0.3">
      <c r="D687" s="47"/>
      <c r="G687" s="47"/>
    </row>
    <row r="688" spans="4:7" ht="15.75" customHeight="1" x14ac:dyDescent="0.3">
      <c r="D688" s="47"/>
      <c r="G688" s="47"/>
    </row>
    <row r="689" spans="4:7" ht="15.75" customHeight="1" x14ac:dyDescent="0.3">
      <c r="D689" s="47"/>
      <c r="G689" s="47"/>
    </row>
    <row r="690" spans="4:7" ht="15.75" customHeight="1" x14ac:dyDescent="0.3">
      <c r="D690" s="47"/>
      <c r="G690" s="47"/>
    </row>
    <row r="691" spans="4:7" ht="15.75" customHeight="1" x14ac:dyDescent="0.3">
      <c r="D691" s="47"/>
      <c r="G691" s="47"/>
    </row>
    <row r="692" spans="4:7" ht="15.75" customHeight="1" x14ac:dyDescent="0.3">
      <c r="D692" s="47"/>
      <c r="G692" s="47"/>
    </row>
    <row r="693" spans="4:7" ht="15.75" customHeight="1" x14ac:dyDescent="0.3">
      <c r="D693" s="47"/>
      <c r="G693" s="47"/>
    </row>
    <row r="694" spans="4:7" ht="15.75" customHeight="1" x14ac:dyDescent="0.3">
      <c r="D694" s="47"/>
      <c r="G694" s="47"/>
    </row>
    <row r="695" spans="4:7" ht="15.75" customHeight="1" x14ac:dyDescent="0.3">
      <c r="D695" s="47"/>
      <c r="G695" s="47"/>
    </row>
    <row r="696" spans="4:7" ht="15.75" customHeight="1" x14ac:dyDescent="0.3">
      <c r="D696" s="47"/>
      <c r="G696" s="47"/>
    </row>
    <row r="697" spans="4:7" ht="15.75" customHeight="1" x14ac:dyDescent="0.3">
      <c r="D697" s="47"/>
      <c r="G697" s="47"/>
    </row>
    <row r="698" spans="4:7" ht="15.75" customHeight="1" x14ac:dyDescent="0.3">
      <c r="D698" s="47"/>
      <c r="G698" s="47"/>
    </row>
    <row r="699" spans="4:7" ht="15.75" customHeight="1" x14ac:dyDescent="0.3">
      <c r="D699" s="47"/>
      <c r="G699" s="47"/>
    </row>
    <row r="700" spans="4:7" ht="15.75" customHeight="1" x14ac:dyDescent="0.3">
      <c r="D700" s="47"/>
      <c r="G700" s="47"/>
    </row>
    <row r="701" spans="4:7" ht="15.75" customHeight="1" x14ac:dyDescent="0.3">
      <c r="D701" s="47"/>
      <c r="G701" s="47"/>
    </row>
    <row r="702" spans="4:7" ht="15.75" customHeight="1" x14ac:dyDescent="0.3">
      <c r="D702" s="47"/>
      <c r="G702" s="47"/>
    </row>
    <row r="703" spans="4:7" ht="15.75" customHeight="1" x14ac:dyDescent="0.3">
      <c r="D703" s="47"/>
      <c r="G703" s="47"/>
    </row>
    <row r="704" spans="4:7" ht="15.75" customHeight="1" x14ac:dyDescent="0.3">
      <c r="D704" s="47"/>
      <c r="G704" s="47"/>
    </row>
    <row r="705" spans="4:7" ht="15.75" customHeight="1" x14ac:dyDescent="0.3">
      <c r="D705" s="47"/>
      <c r="G705" s="47"/>
    </row>
    <row r="706" spans="4:7" ht="15.75" customHeight="1" x14ac:dyDescent="0.3">
      <c r="D706" s="47"/>
      <c r="G706" s="47"/>
    </row>
    <row r="707" spans="4:7" ht="15.75" customHeight="1" x14ac:dyDescent="0.3">
      <c r="D707" s="47"/>
      <c r="G707" s="47"/>
    </row>
    <row r="708" spans="4:7" ht="15.75" customHeight="1" x14ac:dyDescent="0.3">
      <c r="D708" s="47"/>
      <c r="G708" s="47"/>
    </row>
    <row r="709" spans="4:7" ht="15.75" customHeight="1" x14ac:dyDescent="0.3">
      <c r="D709" s="47"/>
      <c r="G709" s="47"/>
    </row>
    <row r="710" spans="4:7" ht="15.75" customHeight="1" x14ac:dyDescent="0.3">
      <c r="D710" s="47"/>
      <c r="G710" s="47"/>
    </row>
    <row r="711" spans="4:7" ht="15.75" customHeight="1" x14ac:dyDescent="0.3">
      <c r="D711" s="47"/>
      <c r="G711" s="47"/>
    </row>
    <row r="712" spans="4:7" ht="15.75" customHeight="1" x14ac:dyDescent="0.3">
      <c r="D712" s="47"/>
      <c r="G712" s="47"/>
    </row>
    <row r="713" spans="4:7" ht="15.75" customHeight="1" x14ac:dyDescent="0.3">
      <c r="D713" s="47"/>
      <c r="G713" s="47"/>
    </row>
    <row r="714" spans="4:7" ht="15.75" customHeight="1" x14ac:dyDescent="0.3">
      <c r="D714" s="47"/>
      <c r="G714" s="47"/>
    </row>
    <row r="715" spans="4:7" ht="15.75" customHeight="1" x14ac:dyDescent="0.3">
      <c r="D715" s="47"/>
      <c r="G715" s="47"/>
    </row>
    <row r="716" spans="4:7" ht="15.75" customHeight="1" x14ac:dyDescent="0.3">
      <c r="D716" s="47"/>
      <c r="G716" s="47"/>
    </row>
    <row r="717" spans="4:7" ht="15.75" customHeight="1" x14ac:dyDescent="0.3">
      <c r="D717" s="47"/>
      <c r="G717" s="47"/>
    </row>
    <row r="718" spans="4:7" ht="15.75" customHeight="1" x14ac:dyDescent="0.3">
      <c r="D718" s="47"/>
      <c r="G718" s="47"/>
    </row>
    <row r="719" spans="4:7" ht="15.75" customHeight="1" x14ac:dyDescent="0.3">
      <c r="D719" s="47"/>
      <c r="G719" s="47"/>
    </row>
    <row r="720" spans="4:7" ht="15.75" customHeight="1" x14ac:dyDescent="0.3">
      <c r="D720" s="47"/>
      <c r="G720" s="47"/>
    </row>
    <row r="721" spans="4:7" ht="15.75" customHeight="1" x14ac:dyDescent="0.3">
      <c r="D721" s="47"/>
      <c r="G721" s="47"/>
    </row>
    <row r="722" spans="4:7" ht="15.75" customHeight="1" x14ac:dyDescent="0.3">
      <c r="D722" s="47"/>
      <c r="G722" s="47"/>
    </row>
    <row r="723" spans="4:7" ht="15.75" customHeight="1" x14ac:dyDescent="0.3">
      <c r="D723" s="47"/>
      <c r="G723" s="47"/>
    </row>
    <row r="724" spans="4:7" ht="15.75" customHeight="1" x14ac:dyDescent="0.3">
      <c r="D724" s="47"/>
      <c r="G724" s="47"/>
    </row>
    <row r="725" spans="4:7" ht="15.75" customHeight="1" x14ac:dyDescent="0.3">
      <c r="D725" s="47"/>
      <c r="G725" s="47"/>
    </row>
    <row r="726" spans="4:7" ht="15.75" customHeight="1" x14ac:dyDescent="0.3">
      <c r="D726" s="47"/>
      <c r="G726" s="47"/>
    </row>
    <row r="727" spans="4:7" ht="15.75" customHeight="1" x14ac:dyDescent="0.3">
      <c r="D727" s="47"/>
      <c r="G727" s="47"/>
    </row>
    <row r="728" spans="4:7" ht="15.75" customHeight="1" x14ac:dyDescent="0.3">
      <c r="D728" s="47"/>
      <c r="G728" s="47"/>
    </row>
    <row r="729" spans="4:7" ht="15.75" customHeight="1" x14ac:dyDescent="0.3">
      <c r="D729" s="47"/>
      <c r="G729" s="47"/>
    </row>
    <row r="730" spans="4:7" ht="15.75" customHeight="1" x14ac:dyDescent="0.3">
      <c r="D730" s="47"/>
      <c r="G730" s="47"/>
    </row>
    <row r="731" spans="4:7" ht="15.75" customHeight="1" x14ac:dyDescent="0.3">
      <c r="D731" s="47"/>
      <c r="G731" s="47"/>
    </row>
    <row r="732" spans="4:7" ht="15.75" customHeight="1" x14ac:dyDescent="0.3">
      <c r="D732" s="47"/>
      <c r="G732" s="47"/>
    </row>
    <row r="733" spans="4:7" ht="15.75" customHeight="1" x14ac:dyDescent="0.3">
      <c r="D733" s="47"/>
      <c r="G733" s="47"/>
    </row>
    <row r="734" spans="4:7" ht="15.75" customHeight="1" x14ac:dyDescent="0.3">
      <c r="D734" s="47"/>
      <c r="G734" s="47"/>
    </row>
    <row r="735" spans="4:7" ht="15.75" customHeight="1" x14ac:dyDescent="0.3">
      <c r="D735" s="47"/>
      <c r="G735" s="47"/>
    </row>
    <row r="736" spans="4:7" ht="15.75" customHeight="1" x14ac:dyDescent="0.3">
      <c r="D736" s="47"/>
      <c r="G736" s="47"/>
    </row>
    <row r="737" spans="4:7" ht="15.75" customHeight="1" x14ac:dyDescent="0.3">
      <c r="D737" s="47"/>
      <c r="G737" s="47"/>
    </row>
    <row r="738" spans="4:7" ht="15.75" customHeight="1" x14ac:dyDescent="0.3">
      <c r="D738" s="47"/>
      <c r="G738" s="47"/>
    </row>
    <row r="739" spans="4:7" ht="15.75" customHeight="1" x14ac:dyDescent="0.3">
      <c r="D739" s="47"/>
      <c r="G739" s="47"/>
    </row>
    <row r="740" spans="4:7" ht="15.75" customHeight="1" x14ac:dyDescent="0.3">
      <c r="D740" s="47"/>
      <c r="G740" s="47"/>
    </row>
    <row r="741" spans="4:7" ht="15.75" customHeight="1" x14ac:dyDescent="0.3">
      <c r="D741" s="47"/>
      <c r="G741" s="47"/>
    </row>
    <row r="742" spans="4:7" ht="15.75" customHeight="1" x14ac:dyDescent="0.3">
      <c r="D742" s="47"/>
      <c r="G742" s="47"/>
    </row>
    <row r="743" spans="4:7" ht="15.75" customHeight="1" x14ac:dyDescent="0.3">
      <c r="D743" s="47"/>
      <c r="G743" s="47"/>
    </row>
    <row r="744" spans="4:7" ht="15.75" customHeight="1" x14ac:dyDescent="0.3">
      <c r="D744" s="47"/>
      <c r="G744" s="47"/>
    </row>
    <row r="745" spans="4:7" ht="15.75" customHeight="1" x14ac:dyDescent="0.3">
      <c r="D745" s="47"/>
      <c r="G745" s="47"/>
    </row>
    <row r="746" spans="4:7" ht="15.75" customHeight="1" x14ac:dyDescent="0.3">
      <c r="D746" s="47"/>
      <c r="G746" s="47"/>
    </row>
    <row r="747" spans="4:7" ht="15.75" customHeight="1" x14ac:dyDescent="0.3">
      <c r="D747" s="47"/>
      <c r="G747" s="47"/>
    </row>
    <row r="748" spans="4:7" ht="15.75" customHeight="1" x14ac:dyDescent="0.3">
      <c r="D748" s="47"/>
      <c r="G748" s="47"/>
    </row>
    <row r="749" spans="4:7" ht="15.75" customHeight="1" x14ac:dyDescent="0.3">
      <c r="D749" s="47"/>
      <c r="G749" s="47"/>
    </row>
    <row r="750" spans="4:7" ht="15.75" customHeight="1" x14ac:dyDescent="0.3">
      <c r="D750" s="47"/>
      <c r="G750" s="47"/>
    </row>
    <row r="751" spans="4:7" ht="15.75" customHeight="1" x14ac:dyDescent="0.3">
      <c r="D751" s="47"/>
      <c r="G751" s="47"/>
    </row>
    <row r="752" spans="4:7" ht="15.75" customHeight="1" x14ac:dyDescent="0.3">
      <c r="D752" s="47"/>
      <c r="G752" s="47"/>
    </row>
    <row r="753" spans="4:7" ht="15.75" customHeight="1" x14ac:dyDescent="0.3">
      <c r="D753" s="47"/>
      <c r="G753" s="47"/>
    </row>
    <row r="754" spans="4:7" ht="15.75" customHeight="1" x14ac:dyDescent="0.3">
      <c r="D754" s="47"/>
      <c r="G754" s="47"/>
    </row>
    <row r="755" spans="4:7" ht="15.75" customHeight="1" x14ac:dyDescent="0.3">
      <c r="D755" s="47"/>
      <c r="G755" s="47"/>
    </row>
    <row r="756" spans="4:7" ht="15.75" customHeight="1" x14ac:dyDescent="0.3">
      <c r="D756" s="47"/>
      <c r="G756" s="47"/>
    </row>
    <row r="757" spans="4:7" ht="15.75" customHeight="1" x14ac:dyDescent="0.3">
      <c r="D757" s="47"/>
      <c r="G757" s="47"/>
    </row>
    <row r="758" spans="4:7" ht="15.75" customHeight="1" x14ac:dyDescent="0.3">
      <c r="D758" s="47"/>
      <c r="G758" s="47"/>
    </row>
    <row r="759" spans="4:7" ht="15.75" customHeight="1" x14ac:dyDescent="0.3">
      <c r="D759" s="47"/>
      <c r="G759" s="47"/>
    </row>
    <row r="760" spans="4:7" ht="15.75" customHeight="1" x14ac:dyDescent="0.3">
      <c r="D760" s="47"/>
      <c r="G760" s="47"/>
    </row>
    <row r="761" spans="4:7" ht="15.75" customHeight="1" x14ac:dyDescent="0.3">
      <c r="D761" s="47"/>
      <c r="G761" s="47"/>
    </row>
    <row r="762" spans="4:7" ht="15.75" customHeight="1" x14ac:dyDescent="0.3">
      <c r="D762" s="47"/>
      <c r="G762" s="47"/>
    </row>
    <row r="763" spans="4:7" ht="15.75" customHeight="1" x14ac:dyDescent="0.3">
      <c r="D763" s="47"/>
      <c r="G763" s="47"/>
    </row>
    <row r="764" spans="4:7" ht="15.75" customHeight="1" x14ac:dyDescent="0.3">
      <c r="D764" s="47"/>
      <c r="G764" s="47"/>
    </row>
    <row r="765" spans="4:7" ht="15.75" customHeight="1" x14ac:dyDescent="0.3">
      <c r="D765" s="47"/>
      <c r="G765" s="47"/>
    </row>
    <row r="766" spans="4:7" ht="15.75" customHeight="1" x14ac:dyDescent="0.3">
      <c r="D766" s="47"/>
      <c r="G766" s="47"/>
    </row>
    <row r="767" spans="4:7" ht="15.75" customHeight="1" x14ac:dyDescent="0.3">
      <c r="D767" s="47"/>
      <c r="G767" s="47"/>
    </row>
    <row r="768" spans="4:7" ht="15.75" customHeight="1" x14ac:dyDescent="0.3">
      <c r="D768" s="47"/>
      <c r="G768" s="47"/>
    </row>
    <row r="769" spans="4:7" ht="15.75" customHeight="1" x14ac:dyDescent="0.3">
      <c r="D769" s="47"/>
      <c r="G769" s="47"/>
    </row>
    <row r="770" spans="4:7" ht="15.75" customHeight="1" x14ac:dyDescent="0.3">
      <c r="D770" s="47"/>
      <c r="G770" s="47"/>
    </row>
    <row r="771" spans="4:7" ht="15.75" customHeight="1" x14ac:dyDescent="0.3">
      <c r="D771" s="47"/>
      <c r="G771" s="47"/>
    </row>
    <row r="772" spans="4:7" ht="15.75" customHeight="1" x14ac:dyDescent="0.3">
      <c r="D772" s="47"/>
      <c r="G772" s="47"/>
    </row>
    <row r="773" spans="4:7" ht="15.75" customHeight="1" x14ac:dyDescent="0.3">
      <c r="D773" s="47"/>
      <c r="G773" s="47"/>
    </row>
    <row r="774" spans="4:7" ht="15.75" customHeight="1" x14ac:dyDescent="0.3">
      <c r="D774" s="47"/>
      <c r="G774" s="47"/>
    </row>
    <row r="775" spans="4:7" ht="15.75" customHeight="1" x14ac:dyDescent="0.3">
      <c r="D775" s="47"/>
      <c r="G775" s="47"/>
    </row>
    <row r="776" spans="4:7" ht="15.75" customHeight="1" x14ac:dyDescent="0.3">
      <c r="D776" s="47"/>
      <c r="G776" s="47"/>
    </row>
    <row r="777" spans="4:7" ht="15.75" customHeight="1" x14ac:dyDescent="0.3">
      <c r="D777" s="47"/>
      <c r="G777" s="47"/>
    </row>
    <row r="778" spans="4:7" ht="15.75" customHeight="1" x14ac:dyDescent="0.3">
      <c r="D778" s="47"/>
      <c r="G778" s="47"/>
    </row>
    <row r="779" spans="4:7" ht="15.75" customHeight="1" x14ac:dyDescent="0.3">
      <c r="D779" s="47"/>
      <c r="G779" s="47"/>
    </row>
    <row r="780" spans="4:7" ht="15.75" customHeight="1" x14ac:dyDescent="0.3">
      <c r="D780" s="47"/>
      <c r="G780" s="47"/>
    </row>
    <row r="781" spans="4:7" ht="15.75" customHeight="1" x14ac:dyDescent="0.3">
      <c r="D781" s="47"/>
      <c r="G781" s="47"/>
    </row>
    <row r="782" spans="4:7" ht="15.75" customHeight="1" x14ac:dyDescent="0.3">
      <c r="D782" s="47"/>
      <c r="G782" s="47"/>
    </row>
    <row r="783" spans="4:7" ht="15.75" customHeight="1" x14ac:dyDescent="0.3">
      <c r="D783" s="47"/>
      <c r="G783" s="47"/>
    </row>
    <row r="784" spans="4:7" ht="15.75" customHeight="1" x14ac:dyDescent="0.3">
      <c r="D784" s="47"/>
      <c r="G784" s="47"/>
    </row>
    <row r="785" spans="4:7" ht="15.75" customHeight="1" x14ac:dyDescent="0.3">
      <c r="D785" s="47"/>
      <c r="G785" s="47"/>
    </row>
    <row r="786" spans="4:7" ht="15.75" customHeight="1" x14ac:dyDescent="0.3">
      <c r="D786" s="47"/>
      <c r="G786" s="47"/>
    </row>
    <row r="787" spans="4:7" ht="15.75" customHeight="1" x14ac:dyDescent="0.3">
      <c r="D787" s="47"/>
      <c r="G787" s="47"/>
    </row>
    <row r="788" spans="4:7" ht="15.75" customHeight="1" x14ac:dyDescent="0.3">
      <c r="D788" s="47"/>
      <c r="G788" s="47"/>
    </row>
    <row r="789" spans="4:7" ht="15.75" customHeight="1" x14ac:dyDescent="0.3">
      <c r="D789" s="47"/>
      <c r="G789" s="47"/>
    </row>
    <row r="790" spans="4:7" ht="15.75" customHeight="1" x14ac:dyDescent="0.3">
      <c r="D790" s="47"/>
      <c r="G790" s="47"/>
    </row>
    <row r="791" spans="4:7" ht="15.75" customHeight="1" x14ac:dyDescent="0.3">
      <c r="D791" s="47"/>
      <c r="G791" s="47"/>
    </row>
    <row r="792" spans="4:7" ht="15.75" customHeight="1" x14ac:dyDescent="0.3">
      <c r="D792" s="47"/>
      <c r="G792" s="47"/>
    </row>
    <row r="793" spans="4:7" ht="15.75" customHeight="1" x14ac:dyDescent="0.3">
      <c r="D793" s="47"/>
      <c r="G793" s="47"/>
    </row>
    <row r="794" spans="4:7" ht="15.75" customHeight="1" x14ac:dyDescent="0.3">
      <c r="D794" s="47"/>
      <c r="G794" s="47"/>
    </row>
    <row r="795" spans="4:7" ht="15.75" customHeight="1" x14ac:dyDescent="0.3">
      <c r="D795" s="47"/>
      <c r="G795" s="47"/>
    </row>
    <row r="796" spans="4:7" ht="15.75" customHeight="1" x14ac:dyDescent="0.3">
      <c r="D796" s="47"/>
      <c r="G796" s="47"/>
    </row>
    <row r="797" spans="4:7" ht="15.75" customHeight="1" x14ac:dyDescent="0.3">
      <c r="D797" s="47"/>
      <c r="G797" s="47"/>
    </row>
    <row r="798" spans="4:7" ht="15.75" customHeight="1" x14ac:dyDescent="0.3">
      <c r="D798" s="47"/>
      <c r="G798" s="47"/>
    </row>
    <row r="799" spans="4:7" ht="15.75" customHeight="1" x14ac:dyDescent="0.3">
      <c r="D799" s="47"/>
      <c r="G799" s="47"/>
    </row>
    <row r="800" spans="4:7" ht="15.75" customHeight="1" x14ac:dyDescent="0.3">
      <c r="D800" s="47"/>
      <c r="G800" s="47"/>
    </row>
    <row r="801" spans="4:7" ht="15.75" customHeight="1" x14ac:dyDescent="0.3">
      <c r="D801" s="47"/>
      <c r="G801" s="47"/>
    </row>
    <row r="802" spans="4:7" ht="15.75" customHeight="1" x14ac:dyDescent="0.3">
      <c r="D802" s="47"/>
      <c r="G802" s="47"/>
    </row>
    <row r="803" spans="4:7" ht="15.75" customHeight="1" x14ac:dyDescent="0.3">
      <c r="D803" s="47"/>
      <c r="G803" s="47"/>
    </row>
    <row r="804" spans="4:7" ht="15.75" customHeight="1" x14ac:dyDescent="0.3">
      <c r="D804" s="47"/>
      <c r="G804" s="47"/>
    </row>
    <row r="805" spans="4:7" ht="15.75" customHeight="1" x14ac:dyDescent="0.3">
      <c r="D805" s="47"/>
      <c r="G805" s="47"/>
    </row>
    <row r="806" spans="4:7" ht="15.75" customHeight="1" x14ac:dyDescent="0.3">
      <c r="D806" s="47"/>
      <c r="G806" s="47"/>
    </row>
    <row r="807" spans="4:7" ht="15.75" customHeight="1" x14ac:dyDescent="0.3">
      <c r="D807" s="47"/>
      <c r="G807" s="47"/>
    </row>
    <row r="808" spans="4:7" ht="15.75" customHeight="1" x14ac:dyDescent="0.3">
      <c r="D808" s="47"/>
      <c r="G808" s="47"/>
    </row>
    <row r="809" spans="4:7" ht="15.75" customHeight="1" x14ac:dyDescent="0.3">
      <c r="D809" s="47"/>
      <c r="G809" s="47"/>
    </row>
    <row r="810" spans="4:7" ht="15.75" customHeight="1" x14ac:dyDescent="0.3">
      <c r="D810" s="47"/>
      <c r="G810" s="47"/>
    </row>
    <row r="811" spans="4:7" ht="15.75" customHeight="1" x14ac:dyDescent="0.3">
      <c r="D811" s="47"/>
      <c r="G811" s="47"/>
    </row>
    <row r="812" spans="4:7" ht="15.75" customHeight="1" x14ac:dyDescent="0.3">
      <c r="D812" s="47"/>
      <c r="G812" s="47"/>
    </row>
    <row r="813" spans="4:7" ht="15.75" customHeight="1" x14ac:dyDescent="0.3">
      <c r="D813" s="47"/>
      <c r="G813" s="47"/>
    </row>
    <row r="814" spans="4:7" ht="15.75" customHeight="1" x14ac:dyDescent="0.3">
      <c r="D814" s="47"/>
      <c r="G814" s="47"/>
    </row>
    <row r="815" spans="4:7" ht="15.75" customHeight="1" x14ac:dyDescent="0.3">
      <c r="D815" s="47"/>
      <c r="G815" s="47"/>
    </row>
    <row r="816" spans="4:7" ht="15.75" customHeight="1" x14ac:dyDescent="0.3">
      <c r="D816" s="47"/>
      <c r="G816" s="47"/>
    </row>
    <row r="817" spans="4:7" ht="15.75" customHeight="1" x14ac:dyDescent="0.3">
      <c r="D817" s="47"/>
      <c r="G817" s="47"/>
    </row>
    <row r="818" spans="4:7" ht="15.75" customHeight="1" x14ac:dyDescent="0.3">
      <c r="D818" s="47"/>
      <c r="G818" s="47"/>
    </row>
    <row r="819" spans="4:7" ht="15.75" customHeight="1" x14ac:dyDescent="0.3">
      <c r="D819" s="47"/>
      <c r="G819" s="47"/>
    </row>
    <row r="820" spans="4:7" ht="15.75" customHeight="1" x14ac:dyDescent="0.3">
      <c r="D820" s="47"/>
      <c r="G820" s="47"/>
    </row>
    <row r="821" spans="4:7" ht="15.75" customHeight="1" x14ac:dyDescent="0.3">
      <c r="D821" s="47"/>
      <c r="G821" s="47"/>
    </row>
    <row r="822" spans="4:7" ht="15.75" customHeight="1" x14ac:dyDescent="0.3">
      <c r="D822" s="47"/>
      <c r="G822" s="47"/>
    </row>
    <row r="823" spans="4:7" ht="15.75" customHeight="1" x14ac:dyDescent="0.3">
      <c r="D823" s="47"/>
      <c r="G823" s="47"/>
    </row>
    <row r="824" spans="4:7" ht="15.75" customHeight="1" x14ac:dyDescent="0.3">
      <c r="D824" s="47"/>
      <c r="G824" s="47"/>
    </row>
    <row r="825" spans="4:7" ht="15.75" customHeight="1" x14ac:dyDescent="0.3">
      <c r="D825" s="47"/>
      <c r="G825" s="47"/>
    </row>
    <row r="826" spans="4:7" ht="15.75" customHeight="1" x14ac:dyDescent="0.3">
      <c r="D826" s="47"/>
      <c r="G826" s="47"/>
    </row>
    <row r="827" spans="4:7" ht="15.75" customHeight="1" x14ac:dyDescent="0.3">
      <c r="D827" s="47"/>
      <c r="G827" s="47"/>
    </row>
    <row r="828" spans="4:7" ht="15.75" customHeight="1" x14ac:dyDescent="0.3">
      <c r="D828" s="47"/>
      <c r="G828" s="47"/>
    </row>
    <row r="829" spans="4:7" ht="15.75" customHeight="1" x14ac:dyDescent="0.3">
      <c r="D829" s="47"/>
      <c r="G829" s="47"/>
    </row>
    <row r="830" spans="4:7" ht="15.75" customHeight="1" x14ac:dyDescent="0.3">
      <c r="D830" s="47"/>
      <c r="G830" s="47"/>
    </row>
    <row r="831" spans="4:7" ht="15.75" customHeight="1" x14ac:dyDescent="0.3">
      <c r="D831" s="47"/>
      <c r="G831" s="47"/>
    </row>
    <row r="832" spans="4:7" ht="15.75" customHeight="1" x14ac:dyDescent="0.3">
      <c r="D832" s="47"/>
      <c r="G832" s="47"/>
    </row>
    <row r="833" spans="4:7" ht="15.75" customHeight="1" x14ac:dyDescent="0.3">
      <c r="D833" s="47"/>
      <c r="G833" s="47"/>
    </row>
    <row r="834" spans="4:7" ht="15.75" customHeight="1" x14ac:dyDescent="0.3">
      <c r="D834" s="47"/>
      <c r="G834" s="47"/>
    </row>
    <row r="835" spans="4:7" ht="15.75" customHeight="1" x14ac:dyDescent="0.3">
      <c r="D835" s="47"/>
      <c r="G835" s="47"/>
    </row>
    <row r="836" spans="4:7" ht="15.75" customHeight="1" x14ac:dyDescent="0.3">
      <c r="D836" s="47"/>
      <c r="G836" s="47"/>
    </row>
    <row r="837" spans="4:7" ht="15.75" customHeight="1" x14ac:dyDescent="0.3">
      <c r="D837" s="47"/>
      <c r="G837" s="47"/>
    </row>
    <row r="838" spans="4:7" ht="15.75" customHeight="1" x14ac:dyDescent="0.3">
      <c r="D838" s="47"/>
      <c r="G838" s="47"/>
    </row>
    <row r="839" spans="4:7" ht="15.75" customHeight="1" x14ac:dyDescent="0.3">
      <c r="D839" s="47"/>
      <c r="G839" s="47"/>
    </row>
    <row r="840" spans="4:7" ht="15.75" customHeight="1" x14ac:dyDescent="0.3">
      <c r="D840" s="47"/>
      <c r="G840" s="47"/>
    </row>
    <row r="841" spans="4:7" ht="15.75" customHeight="1" x14ac:dyDescent="0.3">
      <c r="D841" s="47"/>
      <c r="G841" s="47"/>
    </row>
    <row r="842" spans="4:7" ht="15.75" customHeight="1" x14ac:dyDescent="0.3">
      <c r="D842" s="47"/>
      <c r="G842" s="47"/>
    </row>
    <row r="843" spans="4:7" ht="15.75" customHeight="1" x14ac:dyDescent="0.3">
      <c r="D843" s="47"/>
      <c r="G843" s="47"/>
    </row>
    <row r="844" spans="4:7" ht="15.75" customHeight="1" x14ac:dyDescent="0.3">
      <c r="D844" s="47"/>
      <c r="G844" s="47"/>
    </row>
    <row r="845" spans="4:7" ht="15.75" customHeight="1" x14ac:dyDescent="0.3">
      <c r="D845" s="47"/>
      <c r="G845" s="47"/>
    </row>
    <row r="846" spans="4:7" ht="15.75" customHeight="1" x14ac:dyDescent="0.3">
      <c r="D846" s="47"/>
      <c r="G846" s="47"/>
    </row>
    <row r="847" spans="4:7" ht="15.75" customHeight="1" x14ac:dyDescent="0.3">
      <c r="D847" s="47"/>
      <c r="G847" s="47"/>
    </row>
    <row r="848" spans="4:7" ht="15.75" customHeight="1" x14ac:dyDescent="0.3">
      <c r="D848" s="47"/>
      <c r="G848" s="47"/>
    </row>
    <row r="849" spans="4:7" ht="15.75" customHeight="1" x14ac:dyDescent="0.3">
      <c r="D849" s="47"/>
      <c r="G849" s="47"/>
    </row>
    <row r="850" spans="4:7" ht="15.75" customHeight="1" x14ac:dyDescent="0.3">
      <c r="D850" s="47"/>
      <c r="G850" s="47"/>
    </row>
    <row r="851" spans="4:7" ht="15.75" customHeight="1" x14ac:dyDescent="0.3">
      <c r="D851" s="47"/>
      <c r="G851" s="47"/>
    </row>
    <row r="852" spans="4:7" ht="15.75" customHeight="1" x14ac:dyDescent="0.3">
      <c r="D852" s="47"/>
      <c r="G852" s="47"/>
    </row>
    <row r="853" spans="4:7" ht="15.75" customHeight="1" x14ac:dyDescent="0.3">
      <c r="D853" s="47"/>
      <c r="G853" s="47"/>
    </row>
    <row r="854" spans="4:7" ht="15.75" customHeight="1" x14ac:dyDescent="0.3">
      <c r="D854" s="47"/>
      <c r="G854" s="47"/>
    </row>
    <row r="855" spans="4:7" ht="15.75" customHeight="1" x14ac:dyDescent="0.3">
      <c r="D855" s="47"/>
      <c r="G855" s="47"/>
    </row>
    <row r="856" spans="4:7" ht="15.75" customHeight="1" x14ac:dyDescent="0.3">
      <c r="D856" s="47"/>
      <c r="G856" s="47"/>
    </row>
    <row r="857" spans="4:7" ht="15.75" customHeight="1" x14ac:dyDescent="0.3">
      <c r="D857" s="47"/>
      <c r="G857" s="47"/>
    </row>
    <row r="858" spans="4:7" ht="15.75" customHeight="1" x14ac:dyDescent="0.3">
      <c r="D858" s="47"/>
      <c r="G858" s="47"/>
    </row>
    <row r="859" spans="4:7" ht="15.75" customHeight="1" x14ac:dyDescent="0.3">
      <c r="D859" s="47"/>
      <c r="G859" s="47"/>
    </row>
    <row r="860" spans="4:7" ht="15.75" customHeight="1" x14ac:dyDescent="0.3">
      <c r="D860" s="47"/>
      <c r="G860" s="47"/>
    </row>
    <row r="861" spans="4:7" ht="15.75" customHeight="1" x14ac:dyDescent="0.3">
      <c r="D861" s="47"/>
      <c r="G861" s="47"/>
    </row>
    <row r="862" spans="4:7" ht="15.75" customHeight="1" x14ac:dyDescent="0.3">
      <c r="D862" s="47"/>
      <c r="G862" s="47"/>
    </row>
    <row r="863" spans="4:7" ht="15.75" customHeight="1" x14ac:dyDescent="0.3">
      <c r="D863" s="47"/>
      <c r="G863" s="47"/>
    </row>
    <row r="864" spans="4:7" ht="15.75" customHeight="1" x14ac:dyDescent="0.3">
      <c r="D864" s="47"/>
      <c r="G864" s="47"/>
    </row>
    <row r="865" spans="4:7" ht="15.75" customHeight="1" x14ac:dyDescent="0.3">
      <c r="D865" s="47"/>
      <c r="G865" s="47"/>
    </row>
    <row r="866" spans="4:7" ht="15.75" customHeight="1" x14ac:dyDescent="0.3">
      <c r="D866" s="47"/>
      <c r="G866" s="47"/>
    </row>
    <row r="867" spans="4:7" ht="15.75" customHeight="1" x14ac:dyDescent="0.3">
      <c r="D867" s="47"/>
      <c r="G867" s="47"/>
    </row>
    <row r="868" spans="4:7" ht="15.75" customHeight="1" x14ac:dyDescent="0.3">
      <c r="D868" s="47"/>
      <c r="G868" s="47"/>
    </row>
    <row r="869" spans="4:7" ht="15.75" customHeight="1" x14ac:dyDescent="0.3">
      <c r="D869" s="47"/>
      <c r="G869" s="47"/>
    </row>
    <row r="870" spans="4:7" ht="15.75" customHeight="1" x14ac:dyDescent="0.3">
      <c r="D870" s="47"/>
      <c r="G870" s="47"/>
    </row>
    <row r="871" spans="4:7" ht="15.75" customHeight="1" x14ac:dyDescent="0.3">
      <c r="D871" s="47"/>
      <c r="G871" s="47"/>
    </row>
    <row r="872" spans="4:7" ht="15.75" customHeight="1" x14ac:dyDescent="0.3">
      <c r="D872" s="47"/>
      <c r="G872" s="47"/>
    </row>
    <row r="873" spans="4:7" ht="15.75" customHeight="1" x14ac:dyDescent="0.3">
      <c r="D873" s="47"/>
      <c r="G873" s="47"/>
    </row>
    <row r="874" spans="4:7" ht="15.75" customHeight="1" x14ac:dyDescent="0.3">
      <c r="D874" s="47"/>
      <c r="G874" s="47"/>
    </row>
    <row r="875" spans="4:7" ht="15.75" customHeight="1" x14ac:dyDescent="0.3">
      <c r="D875" s="47"/>
      <c r="G875" s="47"/>
    </row>
    <row r="876" spans="4:7" ht="15.75" customHeight="1" x14ac:dyDescent="0.3">
      <c r="D876" s="47"/>
      <c r="G876" s="47"/>
    </row>
    <row r="877" spans="4:7" ht="15.75" customHeight="1" x14ac:dyDescent="0.3">
      <c r="D877" s="47"/>
      <c r="G877" s="47"/>
    </row>
    <row r="878" spans="4:7" ht="15.75" customHeight="1" x14ac:dyDescent="0.3">
      <c r="D878" s="47"/>
      <c r="G878" s="47"/>
    </row>
    <row r="879" spans="4:7" ht="15.75" customHeight="1" x14ac:dyDescent="0.3">
      <c r="D879" s="47"/>
      <c r="G879" s="47"/>
    </row>
    <row r="880" spans="4:7" ht="15.75" customHeight="1" x14ac:dyDescent="0.3">
      <c r="D880" s="47"/>
      <c r="G880" s="47"/>
    </row>
    <row r="881" spans="4:7" ht="15.75" customHeight="1" x14ac:dyDescent="0.3">
      <c r="D881" s="47"/>
      <c r="G881" s="47"/>
    </row>
    <row r="882" spans="4:7" ht="15.75" customHeight="1" x14ac:dyDescent="0.3">
      <c r="D882" s="47"/>
      <c r="G882" s="47"/>
    </row>
    <row r="883" spans="4:7" ht="15.75" customHeight="1" x14ac:dyDescent="0.3">
      <c r="D883" s="47"/>
      <c r="G883" s="47"/>
    </row>
    <row r="884" spans="4:7" ht="15.75" customHeight="1" x14ac:dyDescent="0.3">
      <c r="D884" s="47"/>
      <c r="G884" s="47"/>
    </row>
    <row r="885" spans="4:7" ht="15.75" customHeight="1" x14ac:dyDescent="0.3">
      <c r="D885" s="47"/>
      <c r="G885" s="47"/>
    </row>
    <row r="886" spans="4:7" ht="15.75" customHeight="1" x14ac:dyDescent="0.3">
      <c r="D886" s="47"/>
      <c r="G886" s="47"/>
    </row>
    <row r="887" spans="4:7" ht="15.75" customHeight="1" x14ac:dyDescent="0.3">
      <c r="D887" s="47"/>
      <c r="G887" s="47"/>
    </row>
    <row r="888" spans="4:7" ht="15.75" customHeight="1" x14ac:dyDescent="0.3">
      <c r="D888" s="47"/>
      <c r="G888" s="47"/>
    </row>
    <row r="889" spans="4:7" ht="15.75" customHeight="1" x14ac:dyDescent="0.3">
      <c r="D889" s="47"/>
      <c r="G889" s="47"/>
    </row>
    <row r="890" spans="4:7" ht="15.75" customHeight="1" x14ac:dyDescent="0.3">
      <c r="D890" s="47"/>
      <c r="G890" s="47"/>
    </row>
    <row r="891" spans="4:7" ht="15.75" customHeight="1" x14ac:dyDescent="0.3">
      <c r="D891" s="47"/>
      <c r="G891" s="47"/>
    </row>
    <row r="892" spans="4:7" ht="15.75" customHeight="1" x14ac:dyDescent="0.3">
      <c r="D892" s="47"/>
      <c r="G892" s="47"/>
    </row>
    <row r="893" spans="4:7" ht="15.75" customHeight="1" x14ac:dyDescent="0.3">
      <c r="D893" s="47"/>
      <c r="G893" s="47"/>
    </row>
    <row r="894" spans="4:7" ht="15.75" customHeight="1" x14ac:dyDescent="0.3">
      <c r="D894" s="47"/>
      <c r="G894" s="47"/>
    </row>
    <row r="895" spans="4:7" ht="15.75" customHeight="1" x14ac:dyDescent="0.3">
      <c r="D895" s="47"/>
      <c r="G895" s="47"/>
    </row>
    <row r="896" spans="4:7" ht="15.75" customHeight="1" x14ac:dyDescent="0.3">
      <c r="D896" s="47"/>
      <c r="G896" s="47"/>
    </row>
    <row r="897" spans="4:7" ht="15.75" customHeight="1" x14ac:dyDescent="0.3">
      <c r="D897" s="47"/>
      <c r="G897" s="47"/>
    </row>
    <row r="898" spans="4:7" ht="15.75" customHeight="1" x14ac:dyDescent="0.3">
      <c r="D898" s="47"/>
      <c r="G898" s="47"/>
    </row>
    <row r="899" spans="4:7" ht="15.75" customHeight="1" x14ac:dyDescent="0.3">
      <c r="D899" s="47"/>
      <c r="G899" s="47"/>
    </row>
    <row r="900" spans="4:7" ht="15.75" customHeight="1" x14ac:dyDescent="0.3">
      <c r="D900" s="47"/>
      <c r="G900" s="47"/>
    </row>
    <row r="901" spans="4:7" ht="15.75" customHeight="1" x14ac:dyDescent="0.3">
      <c r="D901" s="47"/>
      <c r="G901" s="47"/>
    </row>
    <row r="902" spans="4:7" ht="15.75" customHeight="1" x14ac:dyDescent="0.3">
      <c r="D902" s="47"/>
      <c r="G902" s="47"/>
    </row>
    <row r="903" spans="4:7" ht="15.75" customHeight="1" x14ac:dyDescent="0.3">
      <c r="D903" s="47"/>
      <c r="G903" s="47"/>
    </row>
    <row r="904" spans="4:7" ht="15.75" customHeight="1" x14ac:dyDescent="0.3">
      <c r="D904" s="47"/>
      <c r="G904" s="47"/>
    </row>
    <row r="905" spans="4:7" ht="15.75" customHeight="1" x14ac:dyDescent="0.3">
      <c r="D905" s="47"/>
      <c r="G905" s="47"/>
    </row>
    <row r="906" spans="4:7" ht="15.75" customHeight="1" x14ac:dyDescent="0.3">
      <c r="D906" s="47"/>
      <c r="G906" s="47"/>
    </row>
    <row r="907" spans="4:7" ht="15.75" customHeight="1" x14ac:dyDescent="0.3">
      <c r="D907" s="47"/>
      <c r="G907" s="47"/>
    </row>
    <row r="908" spans="4:7" ht="15.75" customHeight="1" x14ac:dyDescent="0.3">
      <c r="D908" s="47"/>
      <c r="G908" s="47"/>
    </row>
    <row r="909" spans="4:7" ht="15.75" customHeight="1" x14ac:dyDescent="0.3">
      <c r="D909" s="47"/>
      <c r="G909" s="47"/>
    </row>
    <row r="910" spans="4:7" ht="15.75" customHeight="1" x14ac:dyDescent="0.3">
      <c r="D910" s="47"/>
      <c r="G910" s="47"/>
    </row>
    <row r="911" spans="4:7" ht="15.75" customHeight="1" x14ac:dyDescent="0.3">
      <c r="D911" s="47"/>
      <c r="G911" s="47"/>
    </row>
    <row r="912" spans="4:7" ht="15.75" customHeight="1" x14ac:dyDescent="0.3">
      <c r="D912" s="47"/>
      <c r="G912" s="47"/>
    </row>
    <row r="913" spans="4:7" ht="15.75" customHeight="1" x14ac:dyDescent="0.3">
      <c r="D913" s="47"/>
      <c r="G913" s="47"/>
    </row>
    <row r="914" spans="4:7" ht="15.75" customHeight="1" x14ac:dyDescent="0.3">
      <c r="D914" s="47"/>
      <c r="G914" s="47"/>
    </row>
    <row r="915" spans="4:7" ht="15.75" customHeight="1" x14ac:dyDescent="0.3">
      <c r="D915" s="47"/>
      <c r="G915" s="47"/>
    </row>
    <row r="916" spans="4:7" ht="15.75" customHeight="1" x14ac:dyDescent="0.3">
      <c r="D916" s="47"/>
      <c r="G916" s="47"/>
    </row>
    <row r="917" spans="4:7" ht="15.75" customHeight="1" x14ac:dyDescent="0.3">
      <c r="D917" s="47"/>
      <c r="G917" s="47"/>
    </row>
    <row r="918" spans="4:7" ht="15.75" customHeight="1" x14ac:dyDescent="0.3">
      <c r="D918" s="47"/>
      <c r="G918" s="47"/>
    </row>
    <row r="919" spans="4:7" ht="15.75" customHeight="1" x14ac:dyDescent="0.3">
      <c r="D919" s="47"/>
      <c r="G919" s="47"/>
    </row>
    <row r="920" spans="4:7" ht="15.75" customHeight="1" x14ac:dyDescent="0.3">
      <c r="D920" s="47"/>
      <c r="G920" s="47"/>
    </row>
    <row r="921" spans="4:7" ht="15.75" customHeight="1" x14ac:dyDescent="0.3">
      <c r="D921" s="47"/>
      <c r="G921" s="47"/>
    </row>
    <row r="922" spans="4:7" ht="15.75" customHeight="1" x14ac:dyDescent="0.3">
      <c r="D922" s="47"/>
      <c r="G922" s="47"/>
    </row>
    <row r="923" spans="4:7" ht="15.75" customHeight="1" x14ac:dyDescent="0.3">
      <c r="D923" s="47"/>
      <c r="G923" s="47"/>
    </row>
    <row r="924" spans="4:7" ht="15.75" customHeight="1" x14ac:dyDescent="0.3">
      <c r="D924" s="47"/>
      <c r="G924" s="47"/>
    </row>
    <row r="925" spans="4:7" ht="15.75" customHeight="1" x14ac:dyDescent="0.3">
      <c r="D925" s="47"/>
      <c r="G925" s="47"/>
    </row>
    <row r="926" spans="4:7" ht="15.75" customHeight="1" x14ac:dyDescent="0.3">
      <c r="D926" s="47"/>
      <c r="G926" s="47"/>
    </row>
    <row r="927" spans="4:7" ht="15.75" customHeight="1" x14ac:dyDescent="0.3">
      <c r="D927" s="47"/>
      <c r="G927" s="47"/>
    </row>
    <row r="928" spans="4:7" ht="15.75" customHeight="1" x14ac:dyDescent="0.3">
      <c r="D928" s="47"/>
      <c r="G928" s="47"/>
    </row>
    <row r="929" spans="4:7" ht="15.75" customHeight="1" x14ac:dyDescent="0.3">
      <c r="D929" s="47"/>
      <c r="G929" s="47"/>
    </row>
    <row r="930" spans="4:7" ht="15.75" customHeight="1" x14ac:dyDescent="0.3">
      <c r="D930" s="47"/>
      <c r="G930" s="47"/>
    </row>
    <row r="931" spans="4:7" ht="15.75" customHeight="1" x14ac:dyDescent="0.3">
      <c r="D931" s="47"/>
      <c r="G931" s="47"/>
    </row>
    <row r="932" spans="4:7" ht="15.75" customHeight="1" x14ac:dyDescent="0.3">
      <c r="D932" s="47"/>
      <c r="G932" s="47"/>
    </row>
    <row r="933" spans="4:7" ht="15.75" customHeight="1" x14ac:dyDescent="0.3">
      <c r="D933" s="47"/>
      <c r="G933" s="47"/>
    </row>
    <row r="934" spans="4:7" ht="15.75" customHeight="1" x14ac:dyDescent="0.3">
      <c r="D934" s="47"/>
      <c r="G934" s="47"/>
    </row>
    <row r="935" spans="4:7" ht="15.75" customHeight="1" x14ac:dyDescent="0.3">
      <c r="D935" s="47"/>
      <c r="G935" s="47"/>
    </row>
    <row r="936" spans="4:7" ht="15.75" customHeight="1" x14ac:dyDescent="0.3">
      <c r="D936" s="47"/>
      <c r="G936" s="47"/>
    </row>
    <row r="937" spans="4:7" ht="15.75" customHeight="1" x14ac:dyDescent="0.3">
      <c r="D937" s="47"/>
      <c r="G937" s="47"/>
    </row>
    <row r="938" spans="4:7" ht="15.75" customHeight="1" x14ac:dyDescent="0.3">
      <c r="D938" s="47"/>
      <c r="G938" s="47"/>
    </row>
    <row r="939" spans="4:7" ht="15.75" customHeight="1" x14ac:dyDescent="0.3">
      <c r="D939" s="47"/>
      <c r="G939" s="47"/>
    </row>
    <row r="940" spans="4:7" ht="15.75" customHeight="1" x14ac:dyDescent="0.3">
      <c r="D940" s="47"/>
      <c r="G940" s="47"/>
    </row>
    <row r="941" spans="4:7" ht="15.75" customHeight="1" x14ac:dyDescent="0.3">
      <c r="D941" s="47"/>
      <c r="G941" s="47"/>
    </row>
    <row r="942" spans="4:7" ht="15.75" customHeight="1" x14ac:dyDescent="0.3">
      <c r="D942" s="47"/>
      <c r="G942" s="47"/>
    </row>
    <row r="943" spans="4:7" ht="15.75" customHeight="1" x14ac:dyDescent="0.3">
      <c r="D943" s="47"/>
      <c r="G943" s="47"/>
    </row>
    <row r="944" spans="4:7" ht="15.75" customHeight="1" x14ac:dyDescent="0.3">
      <c r="D944" s="47"/>
      <c r="G944" s="47"/>
    </row>
    <row r="945" spans="4:7" ht="15.75" customHeight="1" x14ac:dyDescent="0.3">
      <c r="D945" s="47"/>
      <c r="G945" s="47"/>
    </row>
    <row r="946" spans="4:7" ht="15.75" customHeight="1" x14ac:dyDescent="0.3">
      <c r="D946" s="47"/>
      <c r="G946" s="47"/>
    </row>
    <row r="947" spans="4:7" ht="15.75" customHeight="1" x14ac:dyDescent="0.3">
      <c r="D947" s="47"/>
      <c r="G947" s="47"/>
    </row>
    <row r="948" spans="4:7" ht="15.75" customHeight="1" x14ac:dyDescent="0.3">
      <c r="D948" s="47"/>
      <c r="G948" s="47"/>
    </row>
    <row r="949" spans="4:7" ht="15.75" customHeight="1" x14ac:dyDescent="0.3">
      <c r="D949" s="47"/>
      <c r="G949" s="47"/>
    </row>
    <row r="950" spans="4:7" ht="15.75" customHeight="1" x14ac:dyDescent="0.3">
      <c r="D950" s="47"/>
      <c r="G950" s="47"/>
    </row>
    <row r="951" spans="4:7" ht="15.75" customHeight="1" x14ac:dyDescent="0.3">
      <c r="D951" s="47"/>
      <c r="G951" s="47"/>
    </row>
    <row r="952" spans="4:7" ht="15.75" customHeight="1" x14ac:dyDescent="0.3">
      <c r="D952" s="47"/>
      <c r="G952" s="47"/>
    </row>
    <row r="953" spans="4:7" ht="15.75" customHeight="1" x14ac:dyDescent="0.3">
      <c r="D953" s="47"/>
      <c r="G953" s="47"/>
    </row>
    <row r="954" spans="4:7" ht="15.75" customHeight="1" x14ac:dyDescent="0.3">
      <c r="D954" s="47"/>
      <c r="G954" s="47"/>
    </row>
    <row r="955" spans="4:7" ht="15.75" customHeight="1" x14ac:dyDescent="0.3">
      <c r="D955" s="47"/>
      <c r="G955" s="47"/>
    </row>
    <row r="956" spans="4:7" ht="15.75" customHeight="1" x14ac:dyDescent="0.3">
      <c r="D956" s="47"/>
      <c r="G956" s="47"/>
    </row>
    <row r="957" spans="4:7" ht="15.75" customHeight="1" x14ac:dyDescent="0.3">
      <c r="D957" s="47"/>
      <c r="G957" s="47"/>
    </row>
    <row r="958" spans="4:7" ht="15.75" customHeight="1" x14ac:dyDescent="0.3">
      <c r="D958" s="47"/>
      <c r="G958" s="47"/>
    </row>
    <row r="959" spans="4:7" ht="15.75" customHeight="1" x14ac:dyDescent="0.3">
      <c r="D959" s="47"/>
      <c r="G959" s="47"/>
    </row>
    <row r="960" spans="4:7" ht="15.75" customHeight="1" x14ac:dyDescent="0.3">
      <c r="D960" s="47"/>
      <c r="G960" s="47"/>
    </row>
    <row r="961" spans="4:7" ht="15.75" customHeight="1" x14ac:dyDescent="0.3">
      <c r="D961" s="47"/>
      <c r="G961" s="47"/>
    </row>
    <row r="962" spans="4:7" ht="15.75" customHeight="1" x14ac:dyDescent="0.3">
      <c r="D962" s="47"/>
      <c r="G962" s="47"/>
    </row>
    <row r="963" spans="4:7" ht="15.75" customHeight="1" x14ac:dyDescent="0.3">
      <c r="D963" s="47"/>
      <c r="G963" s="47"/>
    </row>
    <row r="964" spans="4:7" ht="15.75" customHeight="1" x14ac:dyDescent="0.3">
      <c r="D964" s="47"/>
      <c r="G964" s="47"/>
    </row>
    <row r="965" spans="4:7" ht="15.75" customHeight="1" x14ac:dyDescent="0.3">
      <c r="D965" s="47"/>
      <c r="G965" s="47"/>
    </row>
    <row r="966" spans="4:7" ht="15.75" customHeight="1" x14ac:dyDescent="0.3">
      <c r="D966" s="47"/>
      <c r="G966" s="47"/>
    </row>
    <row r="967" spans="4:7" ht="15.75" customHeight="1" x14ac:dyDescent="0.3">
      <c r="D967" s="47"/>
      <c r="G967" s="47"/>
    </row>
    <row r="968" spans="4:7" ht="15.75" customHeight="1" x14ac:dyDescent="0.3">
      <c r="D968" s="47"/>
      <c r="G968" s="47"/>
    </row>
    <row r="969" spans="4:7" ht="15.75" customHeight="1" x14ac:dyDescent="0.3">
      <c r="D969" s="47"/>
      <c r="G969" s="47"/>
    </row>
    <row r="970" spans="4:7" ht="15.75" customHeight="1" x14ac:dyDescent="0.3">
      <c r="D970" s="47"/>
      <c r="G970" s="47"/>
    </row>
    <row r="971" spans="4:7" ht="15.75" customHeight="1" x14ac:dyDescent="0.3">
      <c r="D971" s="47"/>
      <c r="G971" s="47"/>
    </row>
    <row r="972" spans="4:7" ht="15.75" customHeight="1" x14ac:dyDescent="0.3">
      <c r="D972" s="47"/>
      <c r="G972" s="47"/>
    </row>
    <row r="973" spans="4:7" ht="15.75" customHeight="1" x14ac:dyDescent="0.3">
      <c r="D973" s="47"/>
      <c r="G973" s="47"/>
    </row>
    <row r="974" spans="4:7" ht="15.75" customHeight="1" x14ac:dyDescent="0.3">
      <c r="D974" s="47"/>
      <c r="G974" s="47"/>
    </row>
    <row r="975" spans="4:7" ht="15.75" customHeight="1" x14ac:dyDescent="0.3">
      <c r="D975" s="47"/>
      <c r="G975" s="47"/>
    </row>
    <row r="976" spans="4:7" ht="15.75" customHeight="1" x14ac:dyDescent="0.3">
      <c r="D976" s="47"/>
      <c r="G976" s="47"/>
    </row>
    <row r="977" spans="4:7" ht="15.75" customHeight="1" x14ac:dyDescent="0.3">
      <c r="D977" s="47"/>
      <c r="G977" s="47"/>
    </row>
    <row r="978" spans="4:7" ht="15.75" customHeight="1" x14ac:dyDescent="0.3">
      <c r="D978" s="47"/>
      <c r="G978" s="47"/>
    </row>
    <row r="979" spans="4:7" ht="15.75" customHeight="1" x14ac:dyDescent="0.3">
      <c r="D979" s="47"/>
      <c r="G979" s="47"/>
    </row>
    <row r="980" spans="4:7" ht="15.75" customHeight="1" x14ac:dyDescent="0.3">
      <c r="D980" s="47"/>
      <c r="G980" s="47"/>
    </row>
    <row r="981" spans="4:7" ht="15.75" customHeight="1" x14ac:dyDescent="0.3">
      <c r="D981" s="47"/>
      <c r="G981" s="47"/>
    </row>
    <row r="982" spans="4:7" ht="15.75" customHeight="1" x14ac:dyDescent="0.3">
      <c r="D982" s="47"/>
      <c r="G982" s="47"/>
    </row>
    <row r="983" spans="4:7" ht="15.75" customHeight="1" x14ac:dyDescent="0.3">
      <c r="D983" s="47"/>
      <c r="G983" s="47"/>
    </row>
    <row r="984" spans="4:7" ht="15.75" customHeight="1" x14ac:dyDescent="0.3">
      <c r="D984" s="47"/>
      <c r="G984" s="47"/>
    </row>
    <row r="985" spans="4:7" ht="15.75" customHeight="1" x14ac:dyDescent="0.3">
      <c r="D985" s="47"/>
      <c r="G985" s="47"/>
    </row>
    <row r="986" spans="4:7" ht="15.75" customHeight="1" x14ac:dyDescent="0.3">
      <c r="D986" s="47"/>
      <c r="G986" s="47"/>
    </row>
    <row r="987" spans="4:7" ht="15.75" customHeight="1" x14ac:dyDescent="0.3">
      <c r="D987" s="47"/>
      <c r="G987" s="47"/>
    </row>
    <row r="988" spans="4:7" ht="15.75" customHeight="1" x14ac:dyDescent="0.3">
      <c r="D988" s="47"/>
      <c r="G988" s="47"/>
    </row>
    <row r="989" spans="4:7" ht="15.75" customHeight="1" x14ac:dyDescent="0.3">
      <c r="D989" s="47"/>
      <c r="G989" s="47"/>
    </row>
    <row r="990" spans="4:7" ht="15.75" customHeight="1" x14ac:dyDescent="0.3">
      <c r="D990" s="47"/>
      <c r="G990" s="47"/>
    </row>
    <row r="991" spans="4:7" ht="15.75" customHeight="1" x14ac:dyDescent="0.3">
      <c r="D991" s="47"/>
      <c r="G991" s="47"/>
    </row>
    <row r="992" spans="4:7" ht="15.75" customHeight="1" x14ac:dyDescent="0.3">
      <c r="D992" s="47"/>
      <c r="G992" s="47"/>
    </row>
    <row r="993" spans="4:7" ht="15.75" customHeight="1" x14ac:dyDescent="0.3">
      <c r="D993" s="47"/>
      <c r="G993" s="47"/>
    </row>
    <row r="994" spans="4:7" ht="15.75" customHeight="1" x14ac:dyDescent="0.3">
      <c r="D994" s="47"/>
      <c r="G994" s="47"/>
    </row>
    <row r="995" spans="4:7" ht="15.75" customHeight="1" x14ac:dyDescent="0.3">
      <c r="D995" s="47"/>
      <c r="G995" s="47"/>
    </row>
    <row r="996" spans="4:7" ht="15.75" customHeight="1" x14ac:dyDescent="0.3">
      <c r="D996" s="47"/>
      <c r="G996" s="47"/>
    </row>
    <row r="997" spans="4:7" ht="15.75" customHeight="1" x14ac:dyDescent="0.3">
      <c r="D997" s="47"/>
      <c r="G997" s="47"/>
    </row>
    <row r="998" spans="4:7" ht="15.75" customHeight="1" x14ac:dyDescent="0.3">
      <c r="D998" s="47"/>
      <c r="G998" s="47"/>
    </row>
    <row r="999" spans="4:7" ht="15.75" customHeight="1" x14ac:dyDescent="0.3">
      <c r="D999" s="47"/>
      <c r="G999" s="47"/>
    </row>
    <row r="1000" spans="4:7" ht="15.75" customHeight="1" x14ac:dyDescent="0.3">
      <c r="D1000" s="47"/>
      <c r="G1000" s="47"/>
    </row>
  </sheetData>
  <mergeCells count="3">
    <mergeCell ref="A1:D1"/>
    <mergeCell ref="A2:D2"/>
    <mergeCell ref="A3:D3"/>
  </mergeCells>
  <pageMargins left="0.7" right="0.7" top="0.75" bottom="0.75" header="0" footer="0"/>
  <pageSetup orientation="portrait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FDB9-0E92-4764-9DF8-4C8BE9C2BABA}">
  <sheetPr>
    <tabColor rgb="FFFF0000"/>
    <pageSetUpPr fitToPage="1"/>
  </sheetPr>
  <dimension ref="A1:AA123"/>
  <sheetViews>
    <sheetView zoomScale="70" zoomScaleNormal="70" workbookViewId="0">
      <selection activeCell="L25" sqref="L25"/>
    </sheetView>
  </sheetViews>
  <sheetFormatPr baseColWidth="10" defaultColWidth="11.44140625" defaultRowHeight="14.4" x14ac:dyDescent="0.3"/>
  <cols>
    <col min="1" max="1" width="11.44140625" style="205"/>
    <col min="2" max="2" width="38.44140625" style="205" customWidth="1"/>
    <col min="3" max="4" width="13.6640625" style="206" customWidth="1"/>
    <col min="5" max="5" width="10.109375" style="207" customWidth="1"/>
    <col min="6" max="6" width="14.109375" style="208" customWidth="1"/>
    <col min="7" max="7" width="14.33203125" style="208" customWidth="1"/>
    <col min="8" max="8" width="12.88671875" style="208" customWidth="1"/>
    <col min="9" max="9" width="13.33203125" style="208" customWidth="1"/>
    <col min="10" max="10" width="13" style="208" customWidth="1"/>
    <col min="11" max="13" width="15.88671875" style="288" customWidth="1"/>
    <col min="14" max="14" width="11.5546875" style="288" customWidth="1"/>
    <col min="15" max="15" width="14.33203125" style="199" customWidth="1"/>
    <col min="16" max="16" width="7.6640625" style="200" customWidth="1"/>
    <col min="17" max="18" width="11.44140625" style="200" customWidth="1"/>
    <col min="19" max="19" width="13.88671875" style="200" customWidth="1"/>
    <col min="20" max="20" width="3.44140625" style="200" customWidth="1"/>
    <col min="21" max="21" width="16.33203125" style="200" customWidth="1"/>
    <col min="22" max="22" width="11.44140625" style="200" customWidth="1"/>
    <col min="23" max="23" width="13.33203125" style="200" customWidth="1"/>
    <col min="24" max="24" width="11.44140625" style="200" customWidth="1"/>
    <col min="25" max="25" width="14.5546875" style="200" customWidth="1"/>
    <col min="26" max="26" width="11.44140625" style="200" customWidth="1"/>
    <col min="27" max="27" width="14.33203125" style="200" customWidth="1"/>
    <col min="28" max="28" width="11.44140625" style="200" customWidth="1"/>
    <col min="29" max="16384" width="11.44140625" style="200"/>
  </cols>
  <sheetData>
    <row r="1" spans="1:27" ht="15" customHeight="1" x14ac:dyDescent="0.3">
      <c r="A1" s="341" t="s">
        <v>115</v>
      </c>
      <c r="B1" s="341"/>
      <c r="C1" s="341"/>
      <c r="D1" s="341"/>
      <c r="E1" s="341"/>
      <c r="F1" s="341"/>
      <c r="G1" s="341"/>
      <c r="H1" s="341"/>
      <c r="I1" s="341"/>
      <c r="J1" s="341"/>
      <c r="K1" s="342"/>
      <c r="L1" s="342"/>
      <c r="M1" s="342"/>
      <c r="N1" s="342"/>
    </row>
    <row r="2" spans="1:27" ht="15" customHeight="1" x14ac:dyDescent="0.3">
      <c r="A2" s="341" t="s">
        <v>0</v>
      </c>
      <c r="B2" s="341"/>
      <c r="C2" s="341"/>
      <c r="D2" s="341"/>
      <c r="E2" s="341"/>
      <c r="F2" s="341"/>
      <c r="G2" s="341"/>
      <c r="H2" s="341"/>
      <c r="I2" s="341"/>
      <c r="J2" s="341"/>
      <c r="K2" s="342"/>
      <c r="L2" s="342"/>
      <c r="M2" s="342"/>
      <c r="N2" s="342"/>
    </row>
    <row r="3" spans="1:27" ht="15" customHeight="1" x14ac:dyDescent="0.3">
      <c r="A3" s="341" t="s">
        <v>64</v>
      </c>
      <c r="B3" s="341"/>
      <c r="C3" s="341"/>
      <c r="D3" s="341"/>
      <c r="E3" s="341"/>
      <c r="F3" s="341"/>
      <c r="G3" s="341"/>
      <c r="H3" s="341"/>
      <c r="I3" s="341"/>
      <c r="J3" s="341"/>
      <c r="K3" s="342"/>
      <c r="L3" s="342"/>
      <c r="M3" s="342"/>
      <c r="N3" s="342"/>
      <c r="Q3" s="327">
        <v>19.8</v>
      </c>
    </row>
    <row r="4" spans="1:27" ht="15.75" customHeight="1" x14ac:dyDescent="0.3">
      <c r="A4" s="201"/>
      <c r="B4" s="201"/>
      <c r="C4" s="202"/>
      <c r="D4" s="202"/>
      <c r="E4" s="201"/>
      <c r="F4" s="201"/>
      <c r="G4" s="201"/>
      <c r="H4" s="201"/>
      <c r="I4" s="203"/>
      <c r="J4" s="203"/>
      <c r="K4" s="204"/>
      <c r="L4" s="204"/>
      <c r="M4" s="204"/>
      <c r="N4" s="204"/>
    </row>
    <row r="5" spans="1:27" ht="18" x14ac:dyDescent="0.35">
      <c r="G5" s="343" t="s">
        <v>262</v>
      </c>
      <c r="H5" s="343"/>
      <c r="I5" s="343"/>
      <c r="J5" s="343"/>
      <c r="K5" s="344"/>
      <c r="L5" s="344"/>
      <c r="M5" s="344"/>
      <c r="N5" s="344"/>
    </row>
    <row r="6" spans="1:27" ht="18" x14ac:dyDescent="0.35">
      <c r="G6" s="209"/>
      <c r="H6" s="209"/>
      <c r="I6" s="209"/>
      <c r="J6" s="209"/>
      <c r="K6" s="286"/>
      <c r="L6" s="286"/>
      <c r="M6" s="286"/>
      <c r="N6" s="286"/>
    </row>
    <row r="7" spans="1:27" ht="66" customHeight="1" x14ac:dyDescent="0.3">
      <c r="A7" s="210" t="s">
        <v>117</v>
      </c>
      <c r="B7" s="210" t="s">
        <v>118</v>
      </c>
      <c r="C7" s="211" t="s">
        <v>218</v>
      </c>
      <c r="D7" s="211" t="s">
        <v>263</v>
      </c>
      <c r="E7" s="210" t="s">
        <v>121</v>
      </c>
      <c r="F7" s="210" t="s">
        <v>242</v>
      </c>
      <c r="G7" s="210" t="s">
        <v>243</v>
      </c>
      <c r="H7" s="210" t="s">
        <v>126</v>
      </c>
      <c r="I7" s="210" t="s">
        <v>127</v>
      </c>
      <c r="J7" s="210" t="s">
        <v>128</v>
      </c>
      <c r="K7" s="287" t="s">
        <v>244</v>
      </c>
      <c r="L7" s="287" t="s">
        <v>268</v>
      </c>
      <c r="M7" s="287" t="s">
        <v>269</v>
      </c>
      <c r="N7" s="287" t="s">
        <v>130</v>
      </c>
      <c r="O7" s="210" t="s">
        <v>245</v>
      </c>
      <c r="P7" s="212"/>
      <c r="Q7" s="213" t="s">
        <v>123</v>
      </c>
      <c r="R7" s="214" t="s">
        <v>125</v>
      </c>
      <c r="S7" s="214" t="s">
        <v>246</v>
      </c>
      <c r="T7" s="212"/>
      <c r="U7" s="210" t="s">
        <v>247</v>
      </c>
      <c r="V7" s="210" t="s">
        <v>248</v>
      </c>
      <c r="W7" s="210" t="s">
        <v>249</v>
      </c>
      <c r="X7" s="210" t="s">
        <v>250</v>
      </c>
      <c r="Y7" s="210" t="s">
        <v>251</v>
      </c>
      <c r="Z7" s="210" t="s">
        <v>252</v>
      </c>
      <c r="AA7" s="210" t="s">
        <v>68</v>
      </c>
    </row>
    <row r="8" spans="1:27" s="228" customFormat="1" ht="15" x14ac:dyDescent="0.25">
      <c r="A8" s="215">
        <v>2220001</v>
      </c>
      <c r="B8" s="266" t="s">
        <v>12</v>
      </c>
      <c r="C8" s="216">
        <v>36.5</v>
      </c>
      <c r="D8" s="216">
        <v>36.5</v>
      </c>
      <c r="E8" s="217" t="s">
        <v>131</v>
      </c>
      <c r="F8" s="218">
        <v>0</v>
      </c>
      <c r="G8" s="319">
        <v>1271</v>
      </c>
      <c r="H8" s="320">
        <v>0</v>
      </c>
      <c r="I8" s="321">
        <f>1295-25</f>
        <v>1270</v>
      </c>
      <c r="J8" s="222">
        <v>0</v>
      </c>
      <c r="K8" s="292">
        <f t="shared" ref="K8:K71" si="0">F8+G8+H8-I8-J8</f>
        <v>1</v>
      </c>
      <c r="L8" s="292">
        <v>25</v>
      </c>
      <c r="M8" s="292">
        <v>15</v>
      </c>
      <c r="N8" s="237">
        <v>16</v>
      </c>
      <c r="O8" s="224">
        <f t="shared" ref="O8:O71" si="1">N8-K8</f>
        <v>15</v>
      </c>
      <c r="P8" s="224"/>
      <c r="Q8" s="225">
        <v>49</v>
      </c>
      <c r="R8" s="219">
        <v>445</v>
      </c>
      <c r="S8" s="225">
        <f t="shared" ref="S8:S71" si="2">R8-G8</f>
        <v>-826</v>
      </c>
      <c r="T8" s="224"/>
      <c r="U8" s="226">
        <f t="shared" ref="U8:U25" si="3">C8*F8</f>
        <v>0</v>
      </c>
      <c r="V8" s="227">
        <v>0</v>
      </c>
      <c r="W8" s="226">
        <f t="shared" ref="W8:W71" si="4">G8*D8</f>
        <v>46391.5</v>
      </c>
      <c r="X8" s="226">
        <f t="shared" ref="X8:X71" si="5">H8*D8</f>
        <v>0</v>
      </c>
      <c r="Y8" s="226">
        <f t="shared" ref="Y8:Y71" si="6">I8*D8</f>
        <v>46355</v>
      </c>
      <c r="Z8" s="226">
        <f t="shared" ref="Z8:Z71" si="7">J8*D8</f>
        <v>0</v>
      </c>
      <c r="AA8" s="226">
        <f t="shared" ref="AA8:AA71" si="8">U8+V8+W8+X8-Y8-Z8</f>
        <v>36.5</v>
      </c>
    </row>
    <row r="9" spans="1:27" s="228" customFormat="1" ht="15" x14ac:dyDescent="0.25">
      <c r="A9" s="215">
        <v>2220044</v>
      </c>
      <c r="B9" s="267" t="s">
        <v>132</v>
      </c>
      <c r="C9" s="216">
        <v>305</v>
      </c>
      <c r="D9" s="216">
        <v>305</v>
      </c>
      <c r="E9" s="217" t="s">
        <v>133</v>
      </c>
      <c r="F9" s="218">
        <v>0</v>
      </c>
      <c r="G9" s="319">
        <v>2500</v>
      </c>
      <c r="H9" s="220">
        <v>0</v>
      </c>
      <c r="I9" s="325">
        <v>2452</v>
      </c>
      <c r="J9" s="222">
        <v>0</v>
      </c>
      <c r="K9" s="292">
        <f t="shared" si="0"/>
        <v>48</v>
      </c>
      <c r="L9" s="292">
        <v>0</v>
      </c>
      <c r="N9" s="237">
        <v>48</v>
      </c>
      <c r="O9" s="224">
        <f t="shared" si="1"/>
        <v>0</v>
      </c>
      <c r="P9" s="224"/>
      <c r="Q9" s="225">
        <v>76</v>
      </c>
      <c r="R9" s="219">
        <v>730</v>
      </c>
      <c r="S9" s="225">
        <f t="shared" si="2"/>
        <v>-1770</v>
      </c>
      <c r="T9" s="224"/>
      <c r="U9" s="226">
        <f t="shared" si="3"/>
        <v>0</v>
      </c>
      <c r="V9" s="227">
        <v>0</v>
      </c>
      <c r="W9" s="226">
        <f t="shared" si="4"/>
        <v>762500</v>
      </c>
      <c r="X9" s="226">
        <f t="shared" si="5"/>
        <v>0</v>
      </c>
      <c r="Y9" s="226">
        <f t="shared" si="6"/>
        <v>747860</v>
      </c>
      <c r="Z9" s="226">
        <f t="shared" si="7"/>
        <v>0</v>
      </c>
      <c r="AA9" s="226">
        <f t="shared" si="8"/>
        <v>14640</v>
      </c>
    </row>
    <row r="10" spans="1:27" s="228" customFormat="1" ht="15" x14ac:dyDescent="0.25">
      <c r="A10" s="215">
        <v>2220002</v>
      </c>
      <c r="B10" s="268" t="s">
        <v>14</v>
      </c>
      <c r="C10" s="216">
        <v>57.3</v>
      </c>
      <c r="D10" s="216">
        <v>57.3</v>
      </c>
      <c r="E10" s="217" t="s">
        <v>131</v>
      </c>
      <c r="F10" s="229">
        <v>0</v>
      </c>
      <c r="G10" s="319">
        <v>2445</v>
      </c>
      <c r="H10" s="220">
        <v>0</v>
      </c>
      <c r="I10" s="321">
        <f>2612-167</f>
        <v>2445</v>
      </c>
      <c r="J10" s="222">
        <v>0</v>
      </c>
      <c r="K10" s="292">
        <f>F10+G10+H10-I10-J10</f>
        <v>0</v>
      </c>
      <c r="L10" s="292">
        <v>111</v>
      </c>
      <c r="M10" s="292">
        <v>90</v>
      </c>
      <c r="N10" s="237">
        <v>34</v>
      </c>
      <c r="O10" s="224">
        <f t="shared" si="1"/>
        <v>34</v>
      </c>
      <c r="P10" s="224"/>
      <c r="Q10" s="230">
        <v>93</v>
      </c>
      <c r="R10" s="219">
        <v>813</v>
      </c>
      <c r="S10" s="225">
        <f t="shared" si="2"/>
        <v>-1632</v>
      </c>
      <c r="T10" s="224"/>
      <c r="U10" s="226">
        <f t="shared" si="3"/>
        <v>0</v>
      </c>
      <c r="V10" s="227">
        <v>0</v>
      </c>
      <c r="W10" s="226">
        <f t="shared" si="4"/>
        <v>140098.5</v>
      </c>
      <c r="X10" s="226">
        <f t="shared" si="5"/>
        <v>0</v>
      </c>
      <c r="Y10" s="226">
        <f t="shared" si="6"/>
        <v>140098.5</v>
      </c>
      <c r="Z10" s="226">
        <f t="shared" si="7"/>
        <v>0</v>
      </c>
      <c r="AA10" s="226">
        <f t="shared" si="8"/>
        <v>0</v>
      </c>
    </row>
    <row r="11" spans="1:27" s="228" customFormat="1" ht="15" x14ac:dyDescent="0.25">
      <c r="A11" s="215">
        <v>2220085</v>
      </c>
      <c r="B11" s="269" t="s">
        <v>134</v>
      </c>
      <c r="C11" s="216">
        <v>2725</v>
      </c>
      <c r="D11" s="216">
        <v>2725</v>
      </c>
      <c r="E11" s="217" t="s">
        <v>135</v>
      </c>
      <c r="F11" s="218">
        <v>1</v>
      </c>
      <c r="G11" s="219">
        <v>0</v>
      </c>
      <c r="H11" s="220">
        <v>0</v>
      </c>
      <c r="I11" s="221">
        <v>0</v>
      </c>
      <c r="J11" s="222">
        <v>0</v>
      </c>
      <c r="K11" s="292">
        <f t="shared" si="0"/>
        <v>1</v>
      </c>
      <c r="L11" s="292"/>
      <c r="M11" s="292"/>
      <c r="N11" s="237">
        <v>1</v>
      </c>
      <c r="O11" s="224">
        <f t="shared" si="1"/>
        <v>0</v>
      </c>
      <c r="P11" s="224"/>
      <c r="Q11" s="225">
        <v>1</v>
      </c>
      <c r="R11" s="219">
        <v>0</v>
      </c>
      <c r="S11" s="225">
        <f t="shared" si="2"/>
        <v>0</v>
      </c>
      <c r="T11" s="224"/>
      <c r="U11" s="226">
        <f t="shared" si="3"/>
        <v>2725</v>
      </c>
      <c r="V11" s="227">
        <v>0</v>
      </c>
      <c r="W11" s="226">
        <f t="shared" si="4"/>
        <v>0</v>
      </c>
      <c r="X11" s="226">
        <f t="shared" si="5"/>
        <v>0</v>
      </c>
      <c r="Y11" s="226">
        <f t="shared" si="6"/>
        <v>0</v>
      </c>
      <c r="Z11" s="226">
        <f t="shared" si="7"/>
        <v>0</v>
      </c>
      <c r="AA11" s="226">
        <f t="shared" si="8"/>
        <v>2725</v>
      </c>
    </row>
    <row r="12" spans="1:27" s="228" customFormat="1" ht="15" x14ac:dyDescent="0.25">
      <c r="A12" s="215">
        <v>2220003</v>
      </c>
      <c r="B12" s="268" t="s">
        <v>136</v>
      </c>
      <c r="C12" s="216">
        <v>29.2</v>
      </c>
      <c r="D12" s="216">
        <v>29.2</v>
      </c>
      <c r="E12" s="217" t="s">
        <v>137</v>
      </c>
      <c r="F12" s="218">
        <v>0</v>
      </c>
      <c r="G12" s="319">
        <v>50</v>
      </c>
      <c r="H12" s="220">
        <v>0</v>
      </c>
      <c r="I12" s="321">
        <v>54.15</v>
      </c>
      <c r="J12" s="222">
        <v>0</v>
      </c>
      <c r="K12" s="292">
        <f t="shared" si="0"/>
        <v>-4.1499999999999986</v>
      </c>
      <c r="L12" s="292">
        <v>3.15</v>
      </c>
      <c r="M12" s="292">
        <v>1.6</v>
      </c>
      <c r="N12" s="237">
        <v>0.6</v>
      </c>
      <c r="O12" s="224">
        <f t="shared" si="1"/>
        <v>4.7499999999999982</v>
      </c>
      <c r="P12" s="224"/>
      <c r="Q12" s="225">
        <v>4.100000000000005</v>
      </c>
      <c r="R12" s="219">
        <v>17.55</v>
      </c>
      <c r="S12" s="225">
        <f t="shared" si="2"/>
        <v>-32.450000000000003</v>
      </c>
      <c r="T12" s="224"/>
      <c r="U12" s="226">
        <f t="shared" si="3"/>
        <v>0</v>
      </c>
      <c r="V12" s="227">
        <v>0</v>
      </c>
      <c r="W12" s="226">
        <f t="shared" si="4"/>
        <v>1460</v>
      </c>
      <c r="X12" s="226">
        <f t="shared" si="5"/>
        <v>0</v>
      </c>
      <c r="Y12" s="226">
        <f t="shared" si="6"/>
        <v>1581.1799999999998</v>
      </c>
      <c r="Z12" s="226">
        <f t="shared" si="7"/>
        <v>0</v>
      </c>
      <c r="AA12" s="226">
        <f t="shared" si="8"/>
        <v>-121.17999999999984</v>
      </c>
    </row>
    <row r="13" spans="1:27" s="228" customFormat="1" ht="15" x14ac:dyDescent="0.25">
      <c r="A13" s="215">
        <v>2220030</v>
      </c>
      <c r="B13" s="270" t="s">
        <v>138</v>
      </c>
      <c r="C13" s="216">
        <v>62.5</v>
      </c>
      <c r="D13" s="216">
        <v>62.5</v>
      </c>
      <c r="E13" s="217" t="s">
        <v>137</v>
      </c>
      <c r="F13" s="218">
        <v>0</v>
      </c>
      <c r="G13" s="319">
        <v>43</v>
      </c>
      <c r="H13" s="220">
        <v>0</v>
      </c>
      <c r="I13" s="325">
        <v>26</v>
      </c>
      <c r="J13" s="222">
        <v>0</v>
      </c>
      <c r="K13" s="292">
        <f t="shared" si="0"/>
        <v>17</v>
      </c>
      <c r="L13" s="292"/>
      <c r="M13" s="292"/>
      <c r="N13" s="237">
        <v>17</v>
      </c>
      <c r="O13" s="224">
        <f t="shared" si="1"/>
        <v>0</v>
      </c>
      <c r="P13" s="224"/>
      <c r="Q13" s="225">
        <v>15</v>
      </c>
      <c r="R13" s="219">
        <v>10</v>
      </c>
      <c r="S13" s="225">
        <f t="shared" si="2"/>
        <v>-33</v>
      </c>
      <c r="T13" s="224"/>
      <c r="U13" s="226">
        <f t="shared" si="3"/>
        <v>0</v>
      </c>
      <c r="V13" s="227">
        <v>0</v>
      </c>
      <c r="W13" s="226">
        <f t="shared" si="4"/>
        <v>2687.5</v>
      </c>
      <c r="X13" s="226">
        <f t="shared" si="5"/>
        <v>0</v>
      </c>
      <c r="Y13" s="226">
        <f t="shared" si="6"/>
        <v>1625</v>
      </c>
      <c r="Z13" s="226">
        <f t="shared" si="7"/>
        <v>0</v>
      </c>
      <c r="AA13" s="226">
        <f t="shared" si="8"/>
        <v>1062.5</v>
      </c>
    </row>
    <row r="14" spans="1:27" s="228" customFormat="1" ht="15" x14ac:dyDescent="0.25">
      <c r="A14" s="215">
        <v>2220138</v>
      </c>
      <c r="B14" s="271" t="s">
        <v>139</v>
      </c>
      <c r="C14" s="216">
        <v>1100</v>
      </c>
      <c r="D14" s="216">
        <v>1100</v>
      </c>
      <c r="E14" s="217" t="s">
        <v>135</v>
      </c>
      <c r="F14" s="218">
        <v>0</v>
      </c>
      <c r="G14" s="319">
        <v>14</v>
      </c>
      <c r="H14" s="220">
        <v>0</v>
      </c>
      <c r="I14" s="325">
        <v>11</v>
      </c>
      <c r="J14" s="222">
        <v>0</v>
      </c>
      <c r="K14" s="292">
        <f t="shared" si="0"/>
        <v>3</v>
      </c>
      <c r="L14" s="292"/>
      <c r="M14" s="292"/>
      <c r="N14" s="237">
        <v>3</v>
      </c>
      <c r="O14" s="224">
        <f t="shared" si="1"/>
        <v>0</v>
      </c>
      <c r="P14" s="224"/>
      <c r="Q14" s="225">
        <v>3</v>
      </c>
      <c r="R14" s="219">
        <v>4</v>
      </c>
      <c r="S14" s="225">
        <f t="shared" si="2"/>
        <v>-10</v>
      </c>
      <c r="T14" s="224"/>
      <c r="U14" s="226">
        <f t="shared" si="3"/>
        <v>0</v>
      </c>
      <c r="V14" s="227">
        <v>0</v>
      </c>
      <c r="W14" s="226">
        <f t="shared" si="4"/>
        <v>15400</v>
      </c>
      <c r="X14" s="226">
        <f t="shared" si="5"/>
        <v>0</v>
      </c>
      <c r="Y14" s="226">
        <f t="shared" si="6"/>
        <v>12100</v>
      </c>
      <c r="Z14" s="226">
        <f t="shared" si="7"/>
        <v>0</v>
      </c>
      <c r="AA14" s="226">
        <f t="shared" si="8"/>
        <v>3300</v>
      </c>
    </row>
    <row r="15" spans="1:27" ht="15" x14ac:dyDescent="0.25">
      <c r="A15" s="215">
        <v>2220046</v>
      </c>
      <c r="B15" s="269" t="s">
        <v>140</v>
      </c>
      <c r="C15" s="216">
        <v>1250</v>
      </c>
      <c r="D15" s="216">
        <v>1250</v>
      </c>
      <c r="E15" s="217" t="s">
        <v>135</v>
      </c>
      <c r="F15" s="218">
        <v>0</v>
      </c>
      <c r="G15" s="219">
        <v>0</v>
      </c>
      <c r="H15" s="220">
        <v>0</v>
      </c>
      <c r="I15" s="221">
        <v>0</v>
      </c>
      <c r="J15" s="222">
        <v>0</v>
      </c>
      <c r="K15" s="292">
        <f t="shared" si="0"/>
        <v>0</v>
      </c>
      <c r="L15" s="292"/>
      <c r="M15" s="292"/>
      <c r="N15" s="237">
        <v>0</v>
      </c>
      <c r="O15" s="224">
        <f t="shared" si="1"/>
        <v>0</v>
      </c>
      <c r="P15" s="224"/>
      <c r="Q15" s="225">
        <v>0</v>
      </c>
      <c r="R15" s="219">
        <v>0</v>
      </c>
      <c r="S15" s="225">
        <f t="shared" si="2"/>
        <v>0</v>
      </c>
      <c r="T15" s="224"/>
      <c r="U15" s="226">
        <f t="shared" si="3"/>
        <v>0</v>
      </c>
      <c r="V15" s="227">
        <v>0</v>
      </c>
      <c r="W15" s="226">
        <f t="shared" si="4"/>
        <v>0</v>
      </c>
      <c r="X15" s="226">
        <f t="shared" si="5"/>
        <v>0</v>
      </c>
      <c r="Y15" s="226">
        <f t="shared" si="6"/>
        <v>0</v>
      </c>
      <c r="Z15" s="226">
        <f t="shared" si="7"/>
        <v>0</v>
      </c>
      <c r="AA15" s="226">
        <f t="shared" si="8"/>
        <v>0</v>
      </c>
    </row>
    <row r="16" spans="1:27" ht="15" x14ac:dyDescent="0.25">
      <c r="A16" s="215">
        <v>2220134</v>
      </c>
      <c r="B16" s="269" t="s">
        <v>141</v>
      </c>
      <c r="C16" s="216">
        <v>1197.1199999999999</v>
      </c>
      <c r="D16" s="216">
        <v>1197.1199999999999</v>
      </c>
      <c r="E16" s="217" t="s">
        <v>133</v>
      </c>
      <c r="F16" s="218">
        <v>0</v>
      </c>
      <c r="G16" s="219">
        <v>0</v>
      </c>
      <c r="H16" s="220">
        <v>0</v>
      </c>
      <c r="I16" s="221">
        <v>0</v>
      </c>
      <c r="J16" s="222">
        <v>0</v>
      </c>
      <c r="K16" s="292">
        <f t="shared" si="0"/>
        <v>0</v>
      </c>
      <c r="L16" s="292"/>
      <c r="M16" s="292"/>
      <c r="N16" s="237">
        <v>0</v>
      </c>
      <c r="O16" s="224">
        <f t="shared" si="1"/>
        <v>0</v>
      </c>
      <c r="P16" s="224"/>
      <c r="Q16" s="225">
        <v>0</v>
      </c>
      <c r="R16" s="219">
        <v>0</v>
      </c>
      <c r="S16" s="225">
        <f t="shared" si="2"/>
        <v>0</v>
      </c>
      <c r="T16" s="224"/>
      <c r="U16" s="226">
        <f t="shared" si="3"/>
        <v>0</v>
      </c>
      <c r="V16" s="227">
        <v>0</v>
      </c>
      <c r="W16" s="226">
        <f t="shared" si="4"/>
        <v>0</v>
      </c>
      <c r="X16" s="226">
        <f t="shared" si="5"/>
        <v>0</v>
      </c>
      <c r="Y16" s="226">
        <f t="shared" si="6"/>
        <v>0</v>
      </c>
      <c r="Z16" s="226">
        <f t="shared" si="7"/>
        <v>0</v>
      </c>
      <c r="AA16" s="226">
        <f t="shared" si="8"/>
        <v>0</v>
      </c>
    </row>
    <row r="17" spans="1:27" ht="15" x14ac:dyDescent="0.25">
      <c r="A17" s="215">
        <v>2220094</v>
      </c>
      <c r="B17" s="269" t="s">
        <v>142</v>
      </c>
      <c r="C17" s="216">
        <v>850</v>
      </c>
      <c r="D17" s="216">
        <v>850</v>
      </c>
      <c r="E17" s="217" t="s">
        <v>133</v>
      </c>
      <c r="F17" s="218">
        <v>0</v>
      </c>
      <c r="G17" s="219">
        <v>0</v>
      </c>
      <c r="H17" s="220">
        <v>0</v>
      </c>
      <c r="I17" s="221">
        <v>0</v>
      </c>
      <c r="J17" s="222">
        <v>0</v>
      </c>
      <c r="K17" s="292">
        <f t="shared" si="0"/>
        <v>0</v>
      </c>
      <c r="L17" s="292"/>
      <c r="M17" s="292"/>
      <c r="N17" s="237">
        <v>0</v>
      </c>
      <c r="O17" s="224">
        <f t="shared" si="1"/>
        <v>0</v>
      </c>
      <c r="P17" s="231"/>
      <c r="Q17" s="225">
        <v>0</v>
      </c>
      <c r="R17" s="308">
        <v>0</v>
      </c>
      <c r="S17" s="225">
        <f t="shared" si="2"/>
        <v>0</v>
      </c>
      <c r="T17" s="231"/>
      <c r="U17" s="226">
        <f t="shared" si="3"/>
        <v>0</v>
      </c>
      <c r="V17" s="227">
        <v>0</v>
      </c>
      <c r="W17" s="226">
        <f t="shared" si="4"/>
        <v>0</v>
      </c>
      <c r="X17" s="226">
        <f t="shared" si="5"/>
        <v>0</v>
      </c>
      <c r="Y17" s="226">
        <f t="shared" si="6"/>
        <v>0</v>
      </c>
      <c r="Z17" s="226">
        <f t="shared" si="7"/>
        <v>0</v>
      </c>
      <c r="AA17" s="226">
        <f t="shared" si="8"/>
        <v>0</v>
      </c>
    </row>
    <row r="18" spans="1:27" ht="15" x14ac:dyDescent="0.25">
      <c r="A18" s="215">
        <v>2220004</v>
      </c>
      <c r="B18" s="268" t="s">
        <v>16</v>
      </c>
      <c r="C18" s="216">
        <v>39.1</v>
      </c>
      <c r="D18" s="216">
        <v>39.1</v>
      </c>
      <c r="E18" s="217" t="s">
        <v>137</v>
      </c>
      <c r="F18" s="218">
        <v>0</v>
      </c>
      <c r="G18" s="319">
        <v>269</v>
      </c>
      <c r="H18" s="220">
        <v>0</v>
      </c>
      <c r="I18" s="321">
        <v>257.16000000000003</v>
      </c>
      <c r="J18" s="222">
        <v>0</v>
      </c>
      <c r="K18" s="292">
        <f t="shared" si="0"/>
        <v>11.839999999999975</v>
      </c>
      <c r="L18" s="292">
        <v>-2.15</v>
      </c>
      <c r="M18" s="292">
        <v>-6.66</v>
      </c>
      <c r="N18" s="237">
        <v>3</v>
      </c>
      <c r="O18" s="224">
        <f t="shared" si="1"/>
        <v>-8.839999999999975</v>
      </c>
      <c r="P18" s="231"/>
      <c r="Q18" s="225">
        <v>9.2999999999999972</v>
      </c>
      <c r="R18" s="219">
        <v>90.65</v>
      </c>
      <c r="S18" s="225">
        <f t="shared" si="2"/>
        <v>-178.35</v>
      </c>
      <c r="T18" s="231"/>
      <c r="U18" s="226">
        <f t="shared" si="3"/>
        <v>0</v>
      </c>
      <c r="V18" s="227">
        <v>0</v>
      </c>
      <c r="W18" s="226">
        <f t="shared" si="4"/>
        <v>10517.9</v>
      </c>
      <c r="X18" s="226">
        <f t="shared" si="5"/>
        <v>0</v>
      </c>
      <c r="Y18" s="226">
        <f t="shared" si="6"/>
        <v>10054.956000000002</v>
      </c>
      <c r="Z18" s="226">
        <f t="shared" si="7"/>
        <v>0</v>
      </c>
      <c r="AA18" s="226">
        <f t="shared" si="8"/>
        <v>462.94399999999769</v>
      </c>
    </row>
    <row r="19" spans="1:27" ht="15" x14ac:dyDescent="0.25">
      <c r="A19" s="215">
        <v>2220005</v>
      </c>
      <c r="B19" s="268" t="s">
        <v>62</v>
      </c>
      <c r="C19" s="216">
        <v>93.5</v>
      </c>
      <c r="D19" s="216">
        <v>93.5</v>
      </c>
      <c r="E19" s="217" t="s">
        <v>137</v>
      </c>
      <c r="F19" s="218">
        <v>2.6645352591003757E-15</v>
      </c>
      <c r="G19" s="319">
        <v>65</v>
      </c>
      <c r="H19" s="220">
        <v>0</v>
      </c>
      <c r="I19" s="321">
        <f>66.65-1.65</f>
        <v>65</v>
      </c>
      <c r="J19" s="222">
        <v>0</v>
      </c>
      <c r="K19" s="292">
        <f t="shared" si="0"/>
        <v>0</v>
      </c>
      <c r="L19" s="292"/>
      <c r="M19" s="292"/>
      <c r="N19" s="237">
        <v>2.85</v>
      </c>
      <c r="O19" s="224">
        <f t="shared" si="1"/>
        <v>2.85</v>
      </c>
      <c r="P19" s="231"/>
      <c r="Q19" s="225">
        <v>5.0999999999999979</v>
      </c>
      <c r="R19" s="308">
        <v>19.600000000000001</v>
      </c>
      <c r="S19" s="225">
        <f t="shared" si="2"/>
        <v>-45.4</v>
      </c>
      <c r="T19" s="231"/>
      <c r="U19" s="226">
        <f t="shared" si="3"/>
        <v>2.4913404672588513E-13</v>
      </c>
      <c r="V19" s="227">
        <v>0</v>
      </c>
      <c r="W19" s="226">
        <f t="shared" si="4"/>
        <v>6077.5</v>
      </c>
      <c r="X19" s="226">
        <f t="shared" si="5"/>
        <v>0</v>
      </c>
      <c r="Y19" s="226">
        <f t="shared" si="6"/>
        <v>6077.5</v>
      </c>
      <c r="Z19" s="226">
        <f t="shared" si="7"/>
        <v>0</v>
      </c>
      <c r="AA19" s="226">
        <f t="shared" si="8"/>
        <v>0</v>
      </c>
    </row>
    <row r="20" spans="1:27" ht="15" x14ac:dyDescent="0.25">
      <c r="A20" s="215">
        <v>2220006</v>
      </c>
      <c r="B20" s="268" t="s">
        <v>17</v>
      </c>
      <c r="C20" s="216">
        <v>36.5</v>
      </c>
      <c r="D20" s="216">
        <v>36.5</v>
      </c>
      <c r="E20" s="217" t="s">
        <v>137</v>
      </c>
      <c r="F20" s="218">
        <v>4.9999999999954499E-3</v>
      </c>
      <c r="G20" s="319">
        <v>182</v>
      </c>
      <c r="H20" s="220">
        <v>0</v>
      </c>
      <c r="I20" s="321">
        <f>182.75-0.75</f>
        <v>182</v>
      </c>
      <c r="J20" s="222">
        <v>0</v>
      </c>
      <c r="K20" s="292">
        <f t="shared" si="0"/>
        <v>4.9999999999954525E-3</v>
      </c>
      <c r="L20" s="292">
        <v>-3.25</v>
      </c>
      <c r="M20" s="292">
        <v>6.99</v>
      </c>
      <c r="N20" s="237">
        <v>2</v>
      </c>
      <c r="O20" s="224">
        <f t="shared" si="1"/>
        <v>1.9950000000000045</v>
      </c>
      <c r="P20" s="231"/>
      <c r="Q20" s="225">
        <v>5.9500000000000028</v>
      </c>
      <c r="R20" s="219">
        <v>60.75</v>
      </c>
      <c r="S20" s="225">
        <f t="shared" si="2"/>
        <v>-121.25</v>
      </c>
      <c r="T20" s="231"/>
      <c r="U20" s="226">
        <f t="shared" si="3"/>
        <v>0.18249999999983393</v>
      </c>
      <c r="V20" s="227">
        <v>0</v>
      </c>
      <c r="W20" s="226">
        <f t="shared" si="4"/>
        <v>6643</v>
      </c>
      <c r="X20" s="226">
        <f t="shared" si="5"/>
        <v>0</v>
      </c>
      <c r="Y20" s="226">
        <f t="shared" si="6"/>
        <v>6643</v>
      </c>
      <c r="Z20" s="226">
        <f t="shared" si="7"/>
        <v>0</v>
      </c>
      <c r="AA20" s="226">
        <f t="shared" si="8"/>
        <v>0.18249999999989086</v>
      </c>
    </row>
    <row r="21" spans="1:27" ht="15" x14ac:dyDescent="0.25">
      <c r="A21" s="215">
        <v>2220089</v>
      </c>
      <c r="B21" s="269" t="s">
        <v>143</v>
      </c>
      <c r="C21" s="216">
        <v>420</v>
      </c>
      <c r="D21" s="216">
        <v>420</v>
      </c>
      <c r="E21" s="217" t="s">
        <v>137</v>
      </c>
      <c r="F21" s="218">
        <v>0</v>
      </c>
      <c r="G21" s="219">
        <v>0</v>
      </c>
      <c r="H21" s="220">
        <v>0</v>
      </c>
      <c r="I21" s="221">
        <v>0</v>
      </c>
      <c r="J21" s="222">
        <v>0</v>
      </c>
      <c r="K21" s="292">
        <f t="shared" si="0"/>
        <v>0</v>
      </c>
      <c r="L21" s="292"/>
      <c r="M21" s="292"/>
      <c r="N21" s="237">
        <v>0</v>
      </c>
      <c r="O21" s="224">
        <f t="shared" si="1"/>
        <v>0</v>
      </c>
      <c r="P21" s="231"/>
      <c r="Q21" s="225">
        <v>0</v>
      </c>
      <c r="R21" s="219">
        <v>0</v>
      </c>
      <c r="S21" s="225">
        <f t="shared" si="2"/>
        <v>0</v>
      </c>
      <c r="T21" s="231"/>
      <c r="U21" s="226">
        <f t="shared" si="3"/>
        <v>0</v>
      </c>
      <c r="V21" s="227">
        <v>0</v>
      </c>
      <c r="W21" s="226">
        <f t="shared" si="4"/>
        <v>0</v>
      </c>
      <c r="X21" s="226">
        <f t="shared" si="5"/>
        <v>0</v>
      </c>
      <c r="Y21" s="226">
        <f t="shared" si="6"/>
        <v>0</v>
      </c>
      <c r="Z21" s="226">
        <f t="shared" si="7"/>
        <v>0</v>
      </c>
      <c r="AA21" s="226">
        <f t="shared" si="8"/>
        <v>0</v>
      </c>
    </row>
    <row r="22" spans="1:27" ht="15" x14ac:dyDescent="0.25">
      <c r="A22" s="215">
        <v>2220072</v>
      </c>
      <c r="B22" s="269" t="s">
        <v>144</v>
      </c>
      <c r="C22" s="216">
        <v>350</v>
      </c>
      <c r="D22" s="216">
        <v>350</v>
      </c>
      <c r="E22" s="217" t="s">
        <v>133</v>
      </c>
      <c r="F22" s="218">
        <v>1</v>
      </c>
      <c r="G22" s="219">
        <v>0</v>
      </c>
      <c r="H22" s="220">
        <v>0</v>
      </c>
      <c r="I22" s="221">
        <v>0</v>
      </c>
      <c r="J22" s="222">
        <v>0</v>
      </c>
      <c r="K22" s="292">
        <f t="shared" si="0"/>
        <v>1</v>
      </c>
      <c r="L22" s="292"/>
      <c r="M22" s="292"/>
      <c r="N22" s="237">
        <v>1</v>
      </c>
      <c r="O22" s="224">
        <f t="shared" si="1"/>
        <v>0</v>
      </c>
      <c r="P22" s="231"/>
      <c r="Q22" s="225">
        <v>1</v>
      </c>
      <c r="R22" s="219">
        <v>0</v>
      </c>
      <c r="S22" s="225">
        <f t="shared" si="2"/>
        <v>0</v>
      </c>
      <c r="T22" s="231"/>
      <c r="U22" s="226">
        <f t="shared" si="3"/>
        <v>350</v>
      </c>
      <c r="V22" s="227">
        <v>0</v>
      </c>
      <c r="W22" s="226">
        <f t="shared" si="4"/>
        <v>0</v>
      </c>
      <c r="X22" s="226">
        <f t="shared" si="5"/>
        <v>0</v>
      </c>
      <c r="Y22" s="226">
        <f t="shared" si="6"/>
        <v>0</v>
      </c>
      <c r="Z22" s="226">
        <f t="shared" si="7"/>
        <v>0</v>
      </c>
      <c r="AA22" s="226">
        <f t="shared" si="8"/>
        <v>350</v>
      </c>
    </row>
    <row r="23" spans="1:27" ht="15" x14ac:dyDescent="0.25">
      <c r="A23" s="215">
        <v>2220090</v>
      </c>
      <c r="B23" s="269" t="s">
        <v>145</v>
      </c>
      <c r="C23" s="216">
        <v>520</v>
      </c>
      <c r="D23" s="216">
        <v>520</v>
      </c>
      <c r="E23" s="217" t="s">
        <v>137</v>
      </c>
      <c r="F23" s="218">
        <v>0</v>
      </c>
      <c r="G23" s="219">
        <v>0</v>
      </c>
      <c r="H23" s="220">
        <v>0</v>
      </c>
      <c r="I23" s="221">
        <v>0</v>
      </c>
      <c r="J23" s="222">
        <v>0</v>
      </c>
      <c r="K23" s="292">
        <f t="shared" si="0"/>
        <v>0</v>
      </c>
      <c r="L23" s="292"/>
      <c r="M23" s="292"/>
      <c r="N23" s="237">
        <v>0</v>
      </c>
      <c r="O23" s="224">
        <f t="shared" si="1"/>
        <v>0</v>
      </c>
      <c r="P23" s="231"/>
      <c r="Q23" s="225">
        <v>0</v>
      </c>
      <c r="R23" s="219">
        <v>0</v>
      </c>
      <c r="S23" s="225">
        <f t="shared" si="2"/>
        <v>0</v>
      </c>
      <c r="T23" s="231"/>
      <c r="U23" s="226">
        <f t="shared" si="3"/>
        <v>0</v>
      </c>
      <c r="V23" s="227">
        <v>0</v>
      </c>
      <c r="W23" s="226">
        <f t="shared" si="4"/>
        <v>0</v>
      </c>
      <c r="X23" s="226">
        <f t="shared" si="5"/>
        <v>0</v>
      </c>
      <c r="Y23" s="226">
        <f t="shared" si="6"/>
        <v>0</v>
      </c>
      <c r="Z23" s="226">
        <f t="shared" si="7"/>
        <v>0</v>
      </c>
      <c r="AA23" s="226">
        <f t="shared" si="8"/>
        <v>0</v>
      </c>
    </row>
    <row r="24" spans="1:27" ht="15" x14ac:dyDescent="0.25">
      <c r="A24" s="215">
        <v>2220007</v>
      </c>
      <c r="B24" s="268" t="s">
        <v>37</v>
      </c>
      <c r="C24" s="216">
        <v>85.5</v>
      </c>
      <c r="D24" s="216">
        <v>85.5</v>
      </c>
      <c r="E24" s="217" t="s">
        <v>137</v>
      </c>
      <c r="F24" s="218">
        <v>0</v>
      </c>
      <c r="G24" s="319">
        <v>66.5</v>
      </c>
      <c r="H24" s="220">
        <v>0</v>
      </c>
      <c r="I24" s="321">
        <f>68.7-2.2</f>
        <v>66.5</v>
      </c>
      <c r="J24" s="222">
        <v>0</v>
      </c>
      <c r="K24" s="292">
        <f t="shared" si="0"/>
        <v>0</v>
      </c>
      <c r="L24" s="292">
        <v>1.1000000000000001</v>
      </c>
      <c r="M24" s="292">
        <v>2.2999999999999998</v>
      </c>
      <c r="N24" s="237">
        <v>1.4</v>
      </c>
      <c r="O24" s="224">
        <f t="shared" si="1"/>
        <v>1.4</v>
      </c>
      <c r="P24" s="231"/>
      <c r="Q24" s="225">
        <v>2.8000000000000007</v>
      </c>
      <c r="R24" s="219">
        <v>24.25</v>
      </c>
      <c r="S24" s="225">
        <f t="shared" si="2"/>
        <v>-42.25</v>
      </c>
      <c r="T24" s="231"/>
      <c r="U24" s="226">
        <f t="shared" si="3"/>
        <v>0</v>
      </c>
      <c r="V24" s="227">
        <v>0</v>
      </c>
      <c r="W24" s="226">
        <f t="shared" si="4"/>
        <v>5685.75</v>
      </c>
      <c r="X24" s="226">
        <f t="shared" si="5"/>
        <v>0</v>
      </c>
      <c r="Y24" s="226">
        <f t="shared" si="6"/>
        <v>5685.75</v>
      </c>
      <c r="Z24" s="226">
        <f t="shared" si="7"/>
        <v>0</v>
      </c>
      <c r="AA24" s="226">
        <f t="shared" si="8"/>
        <v>0</v>
      </c>
    </row>
    <row r="25" spans="1:27" ht="30" x14ac:dyDescent="0.25">
      <c r="A25" s="215">
        <v>2220050</v>
      </c>
      <c r="B25" s="271" t="s">
        <v>146</v>
      </c>
      <c r="C25" s="216">
        <v>1392</v>
      </c>
      <c r="D25" s="216">
        <v>1200</v>
      </c>
      <c r="E25" s="217" t="s">
        <v>135</v>
      </c>
      <c r="F25" s="218">
        <v>0</v>
      </c>
      <c r="G25" s="319">
        <v>37</v>
      </c>
      <c r="H25" s="220">
        <v>0</v>
      </c>
      <c r="I25" s="325">
        <v>17</v>
      </c>
      <c r="J25" s="222">
        <v>0</v>
      </c>
      <c r="K25" s="292">
        <f t="shared" si="0"/>
        <v>20</v>
      </c>
      <c r="L25" s="292"/>
      <c r="M25" s="292"/>
      <c r="N25" s="237">
        <v>20</v>
      </c>
      <c r="O25" s="224">
        <f t="shared" si="1"/>
        <v>0</v>
      </c>
      <c r="P25" s="231"/>
      <c r="Q25" s="225">
        <v>16</v>
      </c>
      <c r="R25" s="309">
        <v>12</v>
      </c>
      <c r="S25" s="225">
        <f t="shared" si="2"/>
        <v>-25</v>
      </c>
      <c r="T25" s="231"/>
      <c r="U25" s="226">
        <f t="shared" si="3"/>
        <v>0</v>
      </c>
      <c r="V25" s="227">
        <v>0</v>
      </c>
      <c r="W25" s="226">
        <f t="shared" si="4"/>
        <v>44400</v>
      </c>
      <c r="X25" s="226">
        <f t="shared" si="5"/>
        <v>0</v>
      </c>
      <c r="Y25" s="226">
        <f t="shared" si="6"/>
        <v>20400</v>
      </c>
      <c r="Z25" s="226">
        <f t="shared" si="7"/>
        <v>0</v>
      </c>
      <c r="AA25" s="226">
        <f t="shared" si="8"/>
        <v>24000</v>
      </c>
    </row>
    <row r="26" spans="1:27" ht="15" x14ac:dyDescent="0.25">
      <c r="A26" s="215">
        <v>2220042</v>
      </c>
      <c r="B26" s="272" t="s">
        <v>147</v>
      </c>
      <c r="C26" s="216">
        <v>215</v>
      </c>
      <c r="D26" s="216">
        <v>215</v>
      </c>
      <c r="E26" s="217" t="s">
        <v>137</v>
      </c>
      <c r="F26" s="218">
        <v>-2.2737367544323206E-13</v>
      </c>
      <c r="G26" s="265">
        <v>3000</v>
      </c>
      <c r="H26" s="220">
        <v>0</v>
      </c>
      <c r="I26" s="221">
        <v>3063.1</v>
      </c>
      <c r="J26" s="222">
        <v>0</v>
      </c>
      <c r="K26" s="292">
        <f t="shared" si="0"/>
        <v>-63.099999999999909</v>
      </c>
      <c r="L26" s="292"/>
      <c r="M26" s="292"/>
      <c r="N26" s="237">
        <v>0</v>
      </c>
      <c r="O26" s="224">
        <f t="shared" si="1"/>
        <v>63.099999999999909</v>
      </c>
      <c r="P26" s="231"/>
      <c r="Q26" s="225">
        <v>128.19999999999982</v>
      </c>
      <c r="R26" s="219">
        <v>1115</v>
      </c>
      <c r="S26" s="225">
        <f t="shared" si="2"/>
        <v>-1885</v>
      </c>
      <c r="T26" s="231"/>
      <c r="U26" s="226">
        <v>0</v>
      </c>
      <c r="V26" s="227">
        <v>0</v>
      </c>
      <c r="W26" s="226">
        <f t="shared" si="4"/>
        <v>645000</v>
      </c>
      <c r="X26" s="226">
        <f t="shared" si="5"/>
        <v>0</v>
      </c>
      <c r="Y26" s="226">
        <f t="shared" si="6"/>
        <v>658566.5</v>
      </c>
      <c r="Z26" s="226">
        <f t="shared" si="7"/>
        <v>0</v>
      </c>
      <c r="AA26" s="226">
        <f t="shared" si="8"/>
        <v>-13566.5</v>
      </c>
    </row>
    <row r="27" spans="1:27" ht="15" x14ac:dyDescent="0.25">
      <c r="A27" s="215">
        <v>2220068</v>
      </c>
      <c r="B27" s="269" t="s">
        <v>148</v>
      </c>
      <c r="C27" s="216">
        <v>519.67999999999995</v>
      </c>
      <c r="D27" s="216">
        <v>519.67999999999995</v>
      </c>
      <c r="E27" s="217" t="s">
        <v>133</v>
      </c>
      <c r="F27" s="218">
        <v>5</v>
      </c>
      <c r="G27" s="219">
        <v>0</v>
      </c>
      <c r="H27" s="220">
        <v>0</v>
      </c>
      <c r="I27" s="221">
        <v>0</v>
      </c>
      <c r="J27" s="222">
        <v>0</v>
      </c>
      <c r="K27" s="292">
        <f t="shared" si="0"/>
        <v>5</v>
      </c>
      <c r="L27" s="292"/>
      <c r="M27" s="292"/>
      <c r="N27" s="237">
        <v>5</v>
      </c>
      <c r="O27" s="224">
        <f t="shared" si="1"/>
        <v>0</v>
      </c>
      <c r="P27" s="231"/>
      <c r="Q27" s="225">
        <v>5</v>
      </c>
      <c r="R27" s="219">
        <v>0</v>
      </c>
      <c r="S27" s="225">
        <f t="shared" si="2"/>
        <v>0</v>
      </c>
      <c r="T27" s="231"/>
      <c r="U27" s="226">
        <f>C27*F27</f>
        <v>2598.3999999999996</v>
      </c>
      <c r="V27" s="227">
        <v>0</v>
      </c>
      <c r="W27" s="226">
        <f t="shared" si="4"/>
        <v>0</v>
      </c>
      <c r="X27" s="226">
        <f t="shared" si="5"/>
        <v>0</v>
      </c>
      <c r="Y27" s="226">
        <f t="shared" si="6"/>
        <v>0</v>
      </c>
      <c r="Z27" s="226">
        <f t="shared" si="7"/>
        <v>0</v>
      </c>
      <c r="AA27" s="226">
        <f t="shared" si="8"/>
        <v>2598.3999999999996</v>
      </c>
    </row>
    <row r="28" spans="1:27" ht="15" x14ac:dyDescent="0.25">
      <c r="A28" s="215">
        <v>2220008</v>
      </c>
      <c r="B28" s="268" t="s">
        <v>18</v>
      </c>
      <c r="C28" s="216">
        <v>40</v>
      </c>
      <c r="D28" s="216">
        <v>40</v>
      </c>
      <c r="E28" s="217" t="s">
        <v>137</v>
      </c>
      <c r="F28" s="218">
        <v>-2.886579864025407E-15</v>
      </c>
      <c r="G28" s="319">
        <v>178</v>
      </c>
      <c r="H28" s="220">
        <v>0</v>
      </c>
      <c r="I28" s="321">
        <v>181.4</v>
      </c>
      <c r="J28" s="222">
        <v>0</v>
      </c>
      <c r="K28" s="292">
        <f t="shared" si="0"/>
        <v>-3.4000000000000057</v>
      </c>
      <c r="L28" s="292"/>
      <c r="M28" s="292"/>
      <c r="N28" s="237">
        <v>2</v>
      </c>
      <c r="O28" s="224">
        <f t="shared" si="1"/>
        <v>5.4000000000000057</v>
      </c>
      <c r="P28" s="231"/>
      <c r="Q28" s="225">
        <v>6.8500000000000014</v>
      </c>
      <c r="R28" s="219">
        <v>61.6</v>
      </c>
      <c r="S28" s="225">
        <f t="shared" si="2"/>
        <v>-116.4</v>
      </c>
      <c r="T28" s="231"/>
      <c r="U28" s="226">
        <v>0</v>
      </c>
      <c r="V28" s="227">
        <v>0</v>
      </c>
      <c r="W28" s="226">
        <f t="shared" si="4"/>
        <v>7120</v>
      </c>
      <c r="X28" s="226">
        <f t="shared" si="5"/>
        <v>0</v>
      </c>
      <c r="Y28" s="226">
        <f t="shared" si="6"/>
        <v>7256</v>
      </c>
      <c r="Z28" s="226">
        <f t="shared" si="7"/>
        <v>0</v>
      </c>
      <c r="AA28" s="226">
        <f t="shared" si="8"/>
        <v>-136</v>
      </c>
    </row>
    <row r="29" spans="1:27" ht="30" x14ac:dyDescent="0.25">
      <c r="A29" s="215">
        <v>2220066</v>
      </c>
      <c r="B29" s="269" t="s">
        <v>149</v>
      </c>
      <c r="C29" s="216">
        <v>510</v>
      </c>
      <c r="D29" s="216">
        <v>510</v>
      </c>
      <c r="E29" s="217" t="s">
        <v>133</v>
      </c>
      <c r="F29" s="218">
        <v>0</v>
      </c>
      <c r="G29" s="219">
        <v>0</v>
      </c>
      <c r="H29" s="220">
        <v>0</v>
      </c>
      <c r="I29" s="221">
        <v>0</v>
      </c>
      <c r="J29" s="222">
        <v>0</v>
      </c>
      <c r="K29" s="292">
        <f t="shared" si="0"/>
        <v>0</v>
      </c>
      <c r="L29" s="292"/>
      <c r="M29" s="292"/>
      <c r="N29" s="237">
        <v>0</v>
      </c>
      <c r="O29" s="224">
        <f t="shared" si="1"/>
        <v>0</v>
      </c>
      <c r="P29" s="231"/>
      <c r="Q29" s="225">
        <v>0</v>
      </c>
      <c r="R29" s="219">
        <v>0</v>
      </c>
      <c r="S29" s="225">
        <f t="shared" si="2"/>
        <v>0</v>
      </c>
      <c r="T29" s="231"/>
      <c r="U29" s="226">
        <f>C29*F29</f>
        <v>0</v>
      </c>
      <c r="V29" s="227">
        <v>0</v>
      </c>
      <c r="W29" s="226">
        <f t="shared" si="4"/>
        <v>0</v>
      </c>
      <c r="X29" s="226">
        <f t="shared" si="5"/>
        <v>0</v>
      </c>
      <c r="Y29" s="226">
        <f t="shared" si="6"/>
        <v>0</v>
      </c>
      <c r="Z29" s="226">
        <f t="shared" si="7"/>
        <v>0</v>
      </c>
      <c r="AA29" s="226">
        <f t="shared" si="8"/>
        <v>0</v>
      </c>
    </row>
    <row r="30" spans="1:27" ht="15" x14ac:dyDescent="0.25">
      <c r="A30" s="215">
        <v>2220009</v>
      </c>
      <c r="B30" s="268" t="s">
        <v>19</v>
      </c>
      <c r="C30" s="216">
        <v>41.5</v>
      </c>
      <c r="D30" s="216">
        <v>41.5</v>
      </c>
      <c r="E30" s="217" t="s">
        <v>137</v>
      </c>
      <c r="F30" s="218">
        <v>-5.3290705182007514E-15</v>
      </c>
      <c r="G30" s="319">
        <v>28.4</v>
      </c>
      <c r="H30" s="220">
        <v>0</v>
      </c>
      <c r="I30" s="321">
        <v>31.36</v>
      </c>
      <c r="J30" s="222">
        <v>0</v>
      </c>
      <c r="K30" s="292">
        <f t="shared" si="0"/>
        <v>-2.960000000000008</v>
      </c>
      <c r="L30" s="292"/>
      <c r="M30" s="292"/>
      <c r="N30" s="237">
        <v>0.25</v>
      </c>
      <c r="O30" s="224">
        <f t="shared" si="1"/>
        <v>3.210000000000008</v>
      </c>
      <c r="P30" s="231"/>
      <c r="Q30" s="225">
        <v>1.1500000000000004</v>
      </c>
      <c r="R30" s="219">
        <v>10.9</v>
      </c>
      <c r="S30" s="225">
        <f t="shared" si="2"/>
        <v>-17.5</v>
      </c>
      <c r="T30" s="231"/>
      <c r="U30" s="226">
        <v>0</v>
      </c>
      <c r="V30" s="227">
        <v>0</v>
      </c>
      <c r="W30" s="226">
        <f t="shared" si="4"/>
        <v>1178.5999999999999</v>
      </c>
      <c r="X30" s="226">
        <f t="shared" si="5"/>
        <v>0</v>
      </c>
      <c r="Y30" s="226">
        <f t="shared" si="6"/>
        <v>1301.44</v>
      </c>
      <c r="Z30" s="226">
        <f t="shared" si="7"/>
        <v>0</v>
      </c>
      <c r="AA30" s="226">
        <f t="shared" si="8"/>
        <v>-122.84000000000015</v>
      </c>
    </row>
    <row r="31" spans="1:27" ht="15" x14ac:dyDescent="0.25">
      <c r="A31" s="231">
        <v>2220010</v>
      </c>
      <c r="B31" s="268" t="s">
        <v>72</v>
      </c>
      <c r="C31" s="216">
        <v>20.7</v>
      </c>
      <c r="D31" s="216">
        <v>20.7</v>
      </c>
      <c r="E31" s="217" t="s">
        <v>131</v>
      </c>
      <c r="F31" s="218">
        <v>0</v>
      </c>
      <c r="G31" s="319">
        <v>340</v>
      </c>
      <c r="H31" s="220">
        <v>0</v>
      </c>
      <c r="I31" s="321">
        <v>321</v>
      </c>
      <c r="J31" s="222">
        <v>0</v>
      </c>
      <c r="K31" s="292">
        <f t="shared" si="0"/>
        <v>19</v>
      </c>
      <c r="L31" s="292"/>
      <c r="M31" s="292"/>
      <c r="N31" s="237">
        <v>4</v>
      </c>
      <c r="O31" s="224">
        <f t="shared" si="1"/>
        <v>-15</v>
      </c>
      <c r="P31" s="231"/>
      <c r="Q31" s="225">
        <v>17</v>
      </c>
      <c r="R31" s="219">
        <v>109</v>
      </c>
      <c r="S31" s="225">
        <f t="shared" si="2"/>
        <v>-231</v>
      </c>
      <c r="T31" s="231"/>
      <c r="U31" s="226">
        <f t="shared" ref="U31:U48" si="9">C31*F31</f>
        <v>0</v>
      </c>
      <c r="V31" s="227">
        <v>0</v>
      </c>
      <c r="W31" s="226">
        <f t="shared" si="4"/>
        <v>7038</v>
      </c>
      <c r="X31" s="226">
        <f t="shared" si="5"/>
        <v>0</v>
      </c>
      <c r="Y31" s="226">
        <f t="shared" si="6"/>
        <v>6644.7</v>
      </c>
      <c r="Z31" s="226">
        <f t="shared" si="7"/>
        <v>0</v>
      </c>
      <c r="AA31" s="226">
        <f t="shared" si="8"/>
        <v>393.30000000000018</v>
      </c>
    </row>
    <row r="32" spans="1:27" ht="15" x14ac:dyDescent="0.25">
      <c r="A32" s="215">
        <v>2220011</v>
      </c>
      <c r="B32" s="268" t="s">
        <v>21</v>
      </c>
      <c r="C32" s="216">
        <v>46.9</v>
      </c>
      <c r="D32" s="216">
        <v>46.9</v>
      </c>
      <c r="E32" s="217" t="s">
        <v>133</v>
      </c>
      <c r="F32" s="218">
        <v>0</v>
      </c>
      <c r="G32" s="319">
        <v>324</v>
      </c>
      <c r="H32" s="220">
        <v>0</v>
      </c>
      <c r="I32" s="321">
        <v>312</v>
      </c>
      <c r="J32" s="222">
        <v>0</v>
      </c>
      <c r="K32" s="292">
        <f t="shared" si="0"/>
        <v>12</v>
      </c>
      <c r="L32" s="292"/>
      <c r="M32" s="292"/>
      <c r="N32" s="294">
        <v>4</v>
      </c>
      <c r="O32" s="224">
        <f t="shared" si="1"/>
        <v>-8</v>
      </c>
      <c r="P32" s="231"/>
      <c r="Q32" s="225">
        <v>11</v>
      </c>
      <c r="R32" s="219">
        <v>104</v>
      </c>
      <c r="S32" s="225">
        <f t="shared" si="2"/>
        <v>-220</v>
      </c>
      <c r="T32" s="231"/>
      <c r="U32" s="226">
        <f t="shared" si="9"/>
        <v>0</v>
      </c>
      <c r="V32" s="227">
        <v>0</v>
      </c>
      <c r="W32" s="226">
        <f t="shared" si="4"/>
        <v>15195.6</v>
      </c>
      <c r="X32" s="226">
        <f t="shared" si="5"/>
        <v>0</v>
      </c>
      <c r="Y32" s="226">
        <f t="shared" si="6"/>
        <v>14632.8</v>
      </c>
      <c r="Z32" s="226">
        <f t="shared" si="7"/>
        <v>0</v>
      </c>
      <c r="AA32" s="226">
        <f t="shared" si="8"/>
        <v>562.80000000000109</v>
      </c>
    </row>
    <row r="33" spans="1:27" ht="15" x14ac:dyDescent="0.25">
      <c r="A33" s="215">
        <v>2220070</v>
      </c>
      <c r="B33" s="269" t="s">
        <v>150</v>
      </c>
      <c r="C33" s="216">
        <v>54</v>
      </c>
      <c r="D33" s="216">
        <v>54</v>
      </c>
      <c r="E33" s="217" t="s">
        <v>133</v>
      </c>
      <c r="F33" s="218">
        <v>0</v>
      </c>
      <c r="G33" s="219">
        <v>0</v>
      </c>
      <c r="H33" s="220">
        <v>0</v>
      </c>
      <c r="I33" s="221">
        <v>0</v>
      </c>
      <c r="J33" s="222">
        <v>0</v>
      </c>
      <c r="K33" s="292">
        <f t="shared" si="0"/>
        <v>0</v>
      </c>
      <c r="L33" s="292"/>
      <c r="M33" s="292"/>
      <c r="N33" s="237">
        <v>0</v>
      </c>
      <c r="O33" s="224">
        <f t="shared" si="1"/>
        <v>0</v>
      </c>
      <c r="P33" s="231"/>
      <c r="Q33" s="225">
        <v>0</v>
      </c>
      <c r="R33" s="219">
        <v>0</v>
      </c>
      <c r="S33" s="225">
        <f t="shared" si="2"/>
        <v>0</v>
      </c>
      <c r="T33" s="231"/>
      <c r="U33" s="226">
        <f t="shared" si="9"/>
        <v>0</v>
      </c>
      <c r="V33" s="227">
        <v>0</v>
      </c>
      <c r="W33" s="226">
        <f t="shared" si="4"/>
        <v>0</v>
      </c>
      <c r="X33" s="226">
        <f t="shared" si="5"/>
        <v>0</v>
      </c>
      <c r="Y33" s="226">
        <f t="shared" si="6"/>
        <v>0</v>
      </c>
      <c r="Z33" s="226">
        <f t="shared" si="7"/>
        <v>0</v>
      </c>
      <c r="AA33" s="226">
        <f t="shared" si="8"/>
        <v>0</v>
      </c>
    </row>
    <row r="34" spans="1:27" ht="15" x14ac:dyDescent="0.25">
      <c r="A34" s="234">
        <v>2220139</v>
      </c>
      <c r="B34" s="271" t="s">
        <v>46</v>
      </c>
      <c r="C34" s="216">
        <v>890</v>
      </c>
      <c r="D34" s="216">
        <v>890</v>
      </c>
      <c r="E34" s="217" t="s">
        <v>135</v>
      </c>
      <c r="F34" s="233">
        <v>0</v>
      </c>
      <c r="G34" s="319">
        <v>91</v>
      </c>
      <c r="H34" s="220">
        <v>0</v>
      </c>
      <c r="I34" s="325">
        <v>78</v>
      </c>
      <c r="J34" s="222">
        <v>0</v>
      </c>
      <c r="K34" s="292">
        <f t="shared" si="0"/>
        <v>13</v>
      </c>
      <c r="L34" s="292"/>
      <c r="M34" s="292"/>
      <c r="N34" s="237">
        <v>13</v>
      </c>
      <c r="O34" s="224">
        <f t="shared" si="1"/>
        <v>0</v>
      </c>
      <c r="P34" s="231"/>
      <c r="Q34" s="225">
        <v>8</v>
      </c>
      <c r="R34" s="308">
        <v>28</v>
      </c>
      <c r="S34" s="225">
        <f t="shared" si="2"/>
        <v>-63</v>
      </c>
      <c r="T34" s="231"/>
      <c r="U34" s="226">
        <f t="shared" si="9"/>
        <v>0</v>
      </c>
      <c r="V34" s="227">
        <v>0</v>
      </c>
      <c r="W34" s="226">
        <f t="shared" si="4"/>
        <v>80990</v>
      </c>
      <c r="X34" s="226">
        <f t="shared" si="5"/>
        <v>0</v>
      </c>
      <c r="Y34" s="226">
        <f t="shared" si="6"/>
        <v>69420</v>
      </c>
      <c r="Z34" s="226">
        <f t="shared" si="7"/>
        <v>0</v>
      </c>
      <c r="AA34" s="226">
        <f t="shared" si="8"/>
        <v>11570</v>
      </c>
    </row>
    <row r="35" spans="1:27" ht="15" x14ac:dyDescent="0.25">
      <c r="A35" s="231">
        <v>2220047</v>
      </c>
      <c r="B35" s="269" t="s">
        <v>151</v>
      </c>
      <c r="C35" s="216">
        <v>1000</v>
      </c>
      <c r="D35" s="216">
        <v>1000</v>
      </c>
      <c r="E35" s="217" t="s">
        <v>135</v>
      </c>
      <c r="F35" s="218">
        <v>0</v>
      </c>
      <c r="G35" s="219">
        <v>0</v>
      </c>
      <c r="H35" s="220">
        <v>0</v>
      </c>
      <c r="I35" s="221">
        <v>0</v>
      </c>
      <c r="J35" s="222">
        <v>0</v>
      </c>
      <c r="K35" s="292">
        <f t="shared" si="0"/>
        <v>0</v>
      </c>
      <c r="L35" s="292"/>
      <c r="M35" s="292"/>
      <c r="N35" s="237">
        <v>0</v>
      </c>
      <c r="O35" s="224">
        <f t="shared" si="1"/>
        <v>0</v>
      </c>
      <c r="P35" s="231"/>
      <c r="Q35" s="225">
        <v>0</v>
      </c>
      <c r="R35" s="308">
        <v>0</v>
      </c>
      <c r="S35" s="225">
        <f t="shared" si="2"/>
        <v>0</v>
      </c>
      <c r="T35" s="231"/>
      <c r="U35" s="226">
        <f t="shared" si="9"/>
        <v>0</v>
      </c>
      <c r="V35" s="227">
        <v>0</v>
      </c>
      <c r="W35" s="226">
        <f t="shared" si="4"/>
        <v>0</v>
      </c>
      <c r="X35" s="226">
        <f t="shared" si="5"/>
        <v>0</v>
      </c>
      <c r="Y35" s="226">
        <f t="shared" si="6"/>
        <v>0</v>
      </c>
      <c r="Z35" s="226">
        <f t="shared" si="7"/>
        <v>0</v>
      </c>
      <c r="AA35" s="226">
        <f t="shared" si="8"/>
        <v>0</v>
      </c>
    </row>
    <row r="36" spans="1:27" ht="15" x14ac:dyDescent="0.25">
      <c r="A36" s="215">
        <v>2220012</v>
      </c>
      <c r="B36" s="268" t="s">
        <v>22</v>
      </c>
      <c r="C36" s="216">
        <v>13.7</v>
      </c>
      <c r="D36" s="216">
        <v>13.7</v>
      </c>
      <c r="E36" s="217" t="s">
        <v>133</v>
      </c>
      <c r="F36" s="218">
        <v>0</v>
      </c>
      <c r="G36" s="319">
        <v>766</v>
      </c>
      <c r="H36" s="220">
        <v>0</v>
      </c>
      <c r="I36" s="321">
        <v>797</v>
      </c>
      <c r="J36" s="222">
        <v>0</v>
      </c>
      <c r="K36" s="292">
        <f t="shared" si="0"/>
        <v>-31</v>
      </c>
      <c r="L36" s="292"/>
      <c r="M36" s="292"/>
      <c r="N36" s="237">
        <v>9</v>
      </c>
      <c r="O36" s="224">
        <f t="shared" si="1"/>
        <v>40</v>
      </c>
      <c r="P36" s="231"/>
      <c r="Q36" s="225">
        <v>27</v>
      </c>
      <c r="R36" s="308">
        <v>272</v>
      </c>
      <c r="S36" s="225">
        <f t="shared" si="2"/>
        <v>-494</v>
      </c>
      <c r="T36" s="231"/>
      <c r="U36" s="226">
        <f t="shared" si="9"/>
        <v>0</v>
      </c>
      <c r="V36" s="227">
        <v>0</v>
      </c>
      <c r="W36" s="226">
        <f t="shared" si="4"/>
        <v>10494.199999999999</v>
      </c>
      <c r="X36" s="226">
        <f t="shared" si="5"/>
        <v>0</v>
      </c>
      <c r="Y36" s="226">
        <f t="shared" si="6"/>
        <v>10918.9</v>
      </c>
      <c r="Z36" s="226">
        <f t="shared" si="7"/>
        <v>0</v>
      </c>
      <c r="AA36" s="226">
        <f t="shared" si="8"/>
        <v>-424.70000000000073</v>
      </c>
    </row>
    <row r="37" spans="1:27" ht="15" x14ac:dyDescent="0.25">
      <c r="A37" s="231">
        <v>2220135</v>
      </c>
      <c r="B37" s="269" t="s">
        <v>152</v>
      </c>
      <c r="C37" s="216">
        <v>199</v>
      </c>
      <c r="D37" s="216">
        <v>199</v>
      </c>
      <c r="E37" s="217" t="s">
        <v>133</v>
      </c>
      <c r="F37" s="218">
        <v>0</v>
      </c>
      <c r="G37" s="219">
        <v>0</v>
      </c>
      <c r="H37" s="220">
        <v>0</v>
      </c>
      <c r="I37" s="221">
        <v>0</v>
      </c>
      <c r="J37" s="222">
        <v>0</v>
      </c>
      <c r="K37" s="292">
        <f t="shared" si="0"/>
        <v>0</v>
      </c>
      <c r="L37" s="292"/>
      <c r="M37" s="292"/>
      <c r="N37" s="237">
        <v>0</v>
      </c>
      <c r="O37" s="224">
        <f t="shared" si="1"/>
        <v>0</v>
      </c>
      <c r="P37" s="231"/>
      <c r="Q37" s="225">
        <v>0</v>
      </c>
      <c r="R37" s="219">
        <v>0</v>
      </c>
      <c r="S37" s="225">
        <f t="shared" si="2"/>
        <v>0</v>
      </c>
      <c r="T37" s="231"/>
      <c r="U37" s="226">
        <f t="shared" si="9"/>
        <v>0</v>
      </c>
      <c r="V37" s="227">
        <v>0</v>
      </c>
      <c r="W37" s="226">
        <f t="shared" si="4"/>
        <v>0</v>
      </c>
      <c r="X37" s="226">
        <f t="shared" si="5"/>
        <v>0</v>
      </c>
      <c r="Y37" s="226">
        <f t="shared" si="6"/>
        <v>0</v>
      </c>
      <c r="Z37" s="226">
        <f t="shared" si="7"/>
        <v>0</v>
      </c>
      <c r="AA37" s="226">
        <f t="shared" si="8"/>
        <v>0</v>
      </c>
    </row>
    <row r="38" spans="1:27" ht="15" x14ac:dyDescent="0.25">
      <c r="A38" s="234">
        <v>2220140</v>
      </c>
      <c r="B38" s="271" t="s">
        <v>153</v>
      </c>
      <c r="C38" s="216">
        <v>690</v>
      </c>
      <c r="D38" s="216">
        <v>690</v>
      </c>
      <c r="E38" s="217" t="s">
        <v>135</v>
      </c>
      <c r="F38" s="218">
        <v>0</v>
      </c>
      <c r="G38" s="319">
        <v>75</v>
      </c>
      <c r="H38" s="220">
        <v>0</v>
      </c>
      <c r="I38" s="325">
        <v>67</v>
      </c>
      <c r="J38" s="222">
        <v>0</v>
      </c>
      <c r="K38" s="292">
        <f t="shared" si="0"/>
        <v>8</v>
      </c>
      <c r="L38" s="292"/>
      <c r="M38" s="292"/>
      <c r="N38" s="237">
        <v>8</v>
      </c>
      <c r="O38" s="224">
        <f t="shared" si="1"/>
        <v>0</v>
      </c>
      <c r="P38" s="231"/>
      <c r="Q38" s="225">
        <v>7</v>
      </c>
      <c r="R38" s="308">
        <v>23</v>
      </c>
      <c r="S38" s="225">
        <f t="shared" si="2"/>
        <v>-52</v>
      </c>
      <c r="T38" s="231"/>
      <c r="U38" s="226">
        <f t="shared" si="9"/>
        <v>0</v>
      </c>
      <c r="V38" s="227">
        <v>0</v>
      </c>
      <c r="W38" s="226">
        <f t="shared" si="4"/>
        <v>51750</v>
      </c>
      <c r="X38" s="226">
        <f t="shared" si="5"/>
        <v>0</v>
      </c>
      <c r="Y38" s="226">
        <f t="shared" si="6"/>
        <v>46230</v>
      </c>
      <c r="Z38" s="226">
        <f t="shared" si="7"/>
        <v>0</v>
      </c>
      <c r="AA38" s="226">
        <f t="shared" si="8"/>
        <v>5520</v>
      </c>
    </row>
    <row r="39" spans="1:27" ht="15" x14ac:dyDescent="0.25">
      <c r="A39" s="215">
        <v>2220048</v>
      </c>
      <c r="B39" s="269" t="s">
        <v>154</v>
      </c>
      <c r="C39" s="216">
        <v>790</v>
      </c>
      <c r="D39" s="216">
        <v>790</v>
      </c>
      <c r="E39" s="217" t="s">
        <v>135</v>
      </c>
      <c r="F39" s="218">
        <v>0</v>
      </c>
      <c r="G39" s="219">
        <v>0</v>
      </c>
      <c r="H39" s="220">
        <v>0</v>
      </c>
      <c r="I39" s="221">
        <v>0</v>
      </c>
      <c r="J39" s="222">
        <v>0</v>
      </c>
      <c r="K39" s="292">
        <f t="shared" si="0"/>
        <v>0</v>
      </c>
      <c r="L39" s="292"/>
      <c r="M39" s="292"/>
      <c r="N39" s="237">
        <v>0</v>
      </c>
      <c r="O39" s="224">
        <f t="shared" si="1"/>
        <v>0</v>
      </c>
      <c r="P39" s="231"/>
      <c r="Q39" s="225">
        <v>0</v>
      </c>
      <c r="R39" s="308">
        <v>0</v>
      </c>
      <c r="S39" s="225">
        <f t="shared" si="2"/>
        <v>0</v>
      </c>
      <c r="T39" s="231"/>
      <c r="U39" s="226">
        <f t="shared" si="9"/>
        <v>0</v>
      </c>
      <c r="V39" s="227">
        <v>0</v>
      </c>
      <c r="W39" s="226">
        <f t="shared" si="4"/>
        <v>0</v>
      </c>
      <c r="X39" s="226">
        <f t="shared" si="5"/>
        <v>0</v>
      </c>
      <c r="Y39" s="226">
        <f t="shared" si="6"/>
        <v>0</v>
      </c>
      <c r="Z39" s="226">
        <f t="shared" si="7"/>
        <v>0</v>
      </c>
      <c r="AA39" s="226">
        <f t="shared" si="8"/>
        <v>0</v>
      </c>
    </row>
    <row r="40" spans="1:27" ht="15" x14ac:dyDescent="0.25">
      <c r="A40" s="234">
        <v>2220137</v>
      </c>
      <c r="B40" s="271" t="s">
        <v>155</v>
      </c>
      <c r="C40" s="216">
        <v>1050</v>
      </c>
      <c r="D40" s="216">
        <v>1050</v>
      </c>
      <c r="E40" s="217" t="s">
        <v>135</v>
      </c>
      <c r="F40" s="218">
        <v>0</v>
      </c>
      <c r="G40" s="319">
        <v>0</v>
      </c>
      <c r="H40" s="220">
        <v>0</v>
      </c>
      <c r="I40" s="325">
        <v>0</v>
      </c>
      <c r="J40" s="222">
        <v>0</v>
      </c>
      <c r="K40" s="292">
        <f t="shared" si="0"/>
        <v>0</v>
      </c>
      <c r="L40" s="292"/>
      <c r="M40" s="292"/>
      <c r="N40" s="237">
        <v>0</v>
      </c>
      <c r="O40" s="224">
        <f t="shared" si="1"/>
        <v>0</v>
      </c>
      <c r="P40" s="231"/>
      <c r="Q40" s="225">
        <v>0</v>
      </c>
      <c r="R40" s="308">
        <v>0</v>
      </c>
      <c r="S40" s="225">
        <f t="shared" si="2"/>
        <v>0</v>
      </c>
      <c r="T40" s="231"/>
      <c r="U40" s="226">
        <f t="shared" si="9"/>
        <v>0</v>
      </c>
      <c r="V40" s="227">
        <v>0</v>
      </c>
      <c r="W40" s="226">
        <f t="shared" si="4"/>
        <v>0</v>
      </c>
      <c r="X40" s="226">
        <f t="shared" si="5"/>
        <v>0</v>
      </c>
      <c r="Y40" s="226">
        <f t="shared" si="6"/>
        <v>0</v>
      </c>
      <c r="Z40" s="226">
        <f t="shared" si="7"/>
        <v>0</v>
      </c>
      <c r="AA40" s="226">
        <f t="shared" si="8"/>
        <v>0</v>
      </c>
    </row>
    <row r="41" spans="1:27" ht="15" x14ac:dyDescent="0.25">
      <c r="A41" s="231">
        <v>2220049</v>
      </c>
      <c r="B41" s="269" t="s">
        <v>156</v>
      </c>
      <c r="C41" s="216">
        <v>1200</v>
      </c>
      <c r="D41" s="216">
        <v>1200</v>
      </c>
      <c r="E41" s="217" t="s">
        <v>135</v>
      </c>
      <c r="F41" s="218">
        <v>0</v>
      </c>
      <c r="G41" s="219">
        <v>0</v>
      </c>
      <c r="H41" s="220">
        <v>0</v>
      </c>
      <c r="I41" s="221">
        <v>0</v>
      </c>
      <c r="J41" s="222">
        <v>0</v>
      </c>
      <c r="K41" s="292">
        <f t="shared" si="0"/>
        <v>0</v>
      </c>
      <c r="L41" s="292"/>
      <c r="M41" s="292"/>
      <c r="N41" s="237">
        <v>0</v>
      </c>
      <c r="O41" s="224">
        <f t="shared" si="1"/>
        <v>0</v>
      </c>
      <c r="P41" s="231"/>
      <c r="Q41" s="225">
        <v>0</v>
      </c>
      <c r="R41" s="308">
        <v>0</v>
      </c>
      <c r="S41" s="225">
        <f t="shared" si="2"/>
        <v>0</v>
      </c>
      <c r="T41" s="231"/>
      <c r="U41" s="226">
        <f t="shared" si="9"/>
        <v>0</v>
      </c>
      <c r="V41" s="227">
        <v>0</v>
      </c>
      <c r="W41" s="226">
        <f t="shared" si="4"/>
        <v>0</v>
      </c>
      <c r="X41" s="226">
        <f t="shared" si="5"/>
        <v>0</v>
      </c>
      <c r="Y41" s="226">
        <f t="shared" si="6"/>
        <v>0</v>
      </c>
      <c r="Z41" s="226">
        <f t="shared" si="7"/>
        <v>0</v>
      </c>
      <c r="AA41" s="226">
        <f t="shared" si="8"/>
        <v>0</v>
      </c>
    </row>
    <row r="42" spans="1:27" ht="15" x14ac:dyDescent="0.25">
      <c r="A42" s="215">
        <v>2220013</v>
      </c>
      <c r="B42" s="268" t="s">
        <v>23</v>
      </c>
      <c r="C42" s="216">
        <v>20.8</v>
      </c>
      <c r="D42" s="216">
        <v>20.8</v>
      </c>
      <c r="E42" s="217" t="s">
        <v>131</v>
      </c>
      <c r="F42" s="218">
        <v>0</v>
      </c>
      <c r="G42" s="319">
        <v>2817</v>
      </c>
      <c r="H42" s="220">
        <v>0</v>
      </c>
      <c r="I42" s="321">
        <v>2854</v>
      </c>
      <c r="J42" s="222">
        <v>0</v>
      </c>
      <c r="K42" s="292">
        <f t="shared" si="0"/>
        <v>-37</v>
      </c>
      <c r="L42" s="292"/>
      <c r="M42" s="292"/>
      <c r="N42" s="237">
        <v>35</v>
      </c>
      <c r="O42" s="224">
        <f t="shared" si="1"/>
        <v>72</v>
      </c>
      <c r="P42" s="231"/>
      <c r="Q42" s="225">
        <v>98</v>
      </c>
      <c r="R42" s="308">
        <v>914</v>
      </c>
      <c r="S42" s="225">
        <f t="shared" si="2"/>
        <v>-1903</v>
      </c>
      <c r="T42" s="231"/>
      <c r="U42" s="226">
        <f t="shared" si="9"/>
        <v>0</v>
      </c>
      <c r="V42" s="227">
        <v>0</v>
      </c>
      <c r="W42" s="226">
        <f t="shared" si="4"/>
        <v>58593.599999999999</v>
      </c>
      <c r="X42" s="226">
        <f t="shared" si="5"/>
        <v>0</v>
      </c>
      <c r="Y42" s="226">
        <f t="shared" si="6"/>
        <v>59363.200000000004</v>
      </c>
      <c r="Z42" s="226">
        <f t="shared" si="7"/>
        <v>0</v>
      </c>
      <c r="AA42" s="226">
        <f t="shared" si="8"/>
        <v>-769.60000000000582</v>
      </c>
    </row>
    <row r="43" spans="1:27" ht="15" x14ac:dyDescent="0.25">
      <c r="A43" s="215">
        <v>2220081</v>
      </c>
      <c r="B43" s="269" t="s">
        <v>157</v>
      </c>
      <c r="C43" s="216">
        <v>1755</v>
      </c>
      <c r="D43" s="216">
        <v>1755</v>
      </c>
      <c r="E43" s="217" t="s">
        <v>133</v>
      </c>
      <c r="F43" s="218">
        <v>11</v>
      </c>
      <c r="G43" s="219">
        <v>0</v>
      </c>
      <c r="H43" s="220">
        <v>0</v>
      </c>
      <c r="I43" s="221">
        <v>0</v>
      </c>
      <c r="J43" s="222">
        <v>0</v>
      </c>
      <c r="K43" s="292">
        <f t="shared" si="0"/>
        <v>11</v>
      </c>
      <c r="L43" s="292"/>
      <c r="M43" s="292"/>
      <c r="N43" s="237">
        <v>11</v>
      </c>
      <c r="O43" s="224">
        <f t="shared" si="1"/>
        <v>0</v>
      </c>
      <c r="P43" s="231"/>
      <c r="Q43" s="225">
        <v>11</v>
      </c>
      <c r="R43" s="219">
        <v>0</v>
      </c>
      <c r="S43" s="225">
        <f t="shared" si="2"/>
        <v>0</v>
      </c>
      <c r="T43" s="231"/>
      <c r="U43" s="226">
        <f t="shared" si="9"/>
        <v>19305</v>
      </c>
      <c r="V43" s="227">
        <v>0</v>
      </c>
      <c r="W43" s="226">
        <f t="shared" si="4"/>
        <v>0</v>
      </c>
      <c r="X43" s="226">
        <f t="shared" si="5"/>
        <v>0</v>
      </c>
      <c r="Y43" s="226">
        <f t="shared" si="6"/>
        <v>0</v>
      </c>
      <c r="Z43" s="226">
        <f t="shared" si="7"/>
        <v>0</v>
      </c>
      <c r="AA43" s="226">
        <f t="shared" si="8"/>
        <v>19305</v>
      </c>
    </row>
    <row r="44" spans="1:27" ht="15" x14ac:dyDescent="0.25">
      <c r="A44" s="215">
        <v>2220136</v>
      </c>
      <c r="B44" s="269" t="s">
        <v>158</v>
      </c>
      <c r="C44" s="216">
        <v>558.4</v>
      </c>
      <c r="D44" s="216">
        <v>558.4</v>
      </c>
      <c r="E44" s="217" t="s">
        <v>133</v>
      </c>
      <c r="F44" s="218">
        <v>0</v>
      </c>
      <c r="G44" s="219">
        <v>0</v>
      </c>
      <c r="H44" s="220">
        <v>0</v>
      </c>
      <c r="I44" s="221">
        <v>0</v>
      </c>
      <c r="J44" s="222">
        <v>0</v>
      </c>
      <c r="K44" s="292">
        <f t="shared" si="0"/>
        <v>0</v>
      </c>
      <c r="L44" s="292"/>
      <c r="M44" s="292"/>
      <c r="N44" s="237">
        <v>0</v>
      </c>
      <c r="O44" s="224">
        <f t="shared" si="1"/>
        <v>0</v>
      </c>
      <c r="P44" s="231"/>
      <c r="Q44" s="225">
        <v>0</v>
      </c>
      <c r="R44" s="219">
        <v>0</v>
      </c>
      <c r="S44" s="225">
        <f t="shared" si="2"/>
        <v>0</v>
      </c>
      <c r="T44" s="231"/>
      <c r="U44" s="226">
        <f t="shared" si="9"/>
        <v>0</v>
      </c>
      <c r="V44" s="227">
        <v>0</v>
      </c>
      <c r="W44" s="226">
        <f t="shared" si="4"/>
        <v>0</v>
      </c>
      <c r="X44" s="226">
        <f t="shared" si="5"/>
        <v>0</v>
      </c>
      <c r="Y44" s="226">
        <f t="shared" si="6"/>
        <v>0</v>
      </c>
      <c r="Z44" s="226">
        <f t="shared" si="7"/>
        <v>0</v>
      </c>
      <c r="AA44" s="226">
        <f t="shared" si="8"/>
        <v>0</v>
      </c>
    </row>
    <row r="45" spans="1:27" ht="15" x14ac:dyDescent="0.25">
      <c r="A45" s="215">
        <v>2220091</v>
      </c>
      <c r="B45" s="269" t="s">
        <v>159</v>
      </c>
      <c r="C45" s="216">
        <v>190</v>
      </c>
      <c r="D45" s="216">
        <v>190</v>
      </c>
      <c r="E45" s="217" t="s">
        <v>137</v>
      </c>
      <c r="F45" s="218">
        <v>0</v>
      </c>
      <c r="G45" s="219">
        <v>0</v>
      </c>
      <c r="H45" s="220">
        <v>0</v>
      </c>
      <c r="I45" s="221">
        <v>0</v>
      </c>
      <c r="J45" s="222">
        <v>0</v>
      </c>
      <c r="K45" s="292">
        <f t="shared" si="0"/>
        <v>0</v>
      </c>
      <c r="L45" s="292"/>
      <c r="M45" s="292"/>
      <c r="N45" s="237">
        <v>0</v>
      </c>
      <c r="O45" s="224">
        <f t="shared" si="1"/>
        <v>0</v>
      </c>
      <c r="P45" s="231"/>
      <c r="Q45" s="225">
        <v>0</v>
      </c>
      <c r="R45" s="219">
        <v>0</v>
      </c>
      <c r="S45" s="225">
        <f t="shared" si="2"/>
        <v>0</v>
      </c>
      <c r="T45" s="231"/>
      <c r="U45" s="226">
        <f t="shared" si="9"/>
        <v>0</v>
      </c>
      <c r="V45" s="227">
        <v>0</v>
      </c>
      <c r="W45" s="226">
        <f t="shared" si="4"/>
        <v>0</v>
      </c>
      <c r="X45" s="226">
        <f t="shared" si="5"/>
        <v>0</v>
      </c>
      <c r="Y45" s="226">
        <f t="shared" si="6"/>
        <v>0</v>
      </c>
      <c r="Z45" s="226">
        <f t="shared" si="7"/>
        <v>0</v>
      </c>
      <c r="AA45" s="226">
        <f t="shared" si="8"/>
        <v>0</v>
      </c>
    </row>
    <row r="46" spans="1:27" ht="30" x14ac:dyDescent="0.25">
      <c r="A46" s="215">
        <v>2220079</v>
      </c>
      <c r="B46" s="269" t="s">
        <v>160</v>
      </c>
      <c r="C46" s="216">
        <v>287.86</v>
      </c>
      <c r="D46" s="216">
        <v>287.86</v>
      </c>
      <c r="E46" s="217" t="s">
        <v>133</v>
      </c>
      <c r="F46" s="218">
        <v>0</v>
      </c>
      <c r="G46" s="219">
        <v>0</v>
      </c>
      <c r="H46" s="220">
        <v>0</v>
      </c>
      <c r="I46" s="221">
        <v>0</v>
      </c>
      <c r="J46" s="222">
        <v>0</v>
      </c>
      <c r="K46" s="292">
        <f t="shared" si="0"/>
        <v>0</v>
      </c>
      <c r="L46" s="292"/>
      <c r="M46" s="292"/>
      <c r="N46" s="237">
        <v>0</v>
      </c>
      <c r="O46" s="224">
        <f t="shared" si="1"/>
        <v>0</v>
      </c>
      <c r="P46" s="231"/>
      <c r="Q46" s="225">
        <v>0</v>
      </c>
      <c r="R46" s="219">
        <v>0</v>
      </c>
      <c r="S46" s="225">
        <f t="shared" si="2"/>
        <v>0</v>
      </c>
      <c r="T46" s="231"/>
      <c r="U46" s="226">
        <f t="shared" si="9"/>
        <v>0</v>
      </c>
      <c r="V46" s="227">
        <v>0</v>
      </c>
      <c r="W46" s="226">
        <f t="shared" si="4"/>
        <v>0</v>
      </c>
      <c r="X46" s="226">
        <f t="shared" si="5"/>
        <v>0</v>
      </c>
      <c r="Y46" s="226">
        <f t="shared" si="6"/>
        <v>0</v>
      </c>
      <c r="Z46" s="226">
        <f t="shared" si="7"/>
        <v>0</v>
      </c>
      <c r="AA46" s="226">
        <f t="shared" si="8"/>
        <v>0</v>
      </c>
    </row>
    <row r="47" spans="1:27" ht="30" x14ac:dyDescent="0.25">
      <c r="A47" s="215">
        <v>2220076</v>
      </c>
      <c r="B47" s="269" t="s">
        <v>161</v>
      </c>
      <c r="C47" s="216">
        <v>164</v>
      </c>
      <c r="D47" s="216">
        <v>164</v>
      </c>
      <c r="E47" s="217" t="s">
        <v>133</v>
      </c>
      <c r="F47" s="218">
        <v>0</v>
      </c>
      <c r="G47" s="219">
        <v>0</v>
      </c>
      <c r="H47" s="220">
        <v>0</v>
      </c>
      <c r="I47" s="221">
        <v>0</v>
      </c>
      <c r="J47" s="222">
        <v>0</v>
      </c>
      <c r="K47" s="292">
        <f t="shared" si="0"/>
        <v>0</v>
      </c>
      <c r="L47" s="292"/>
      <c r="M47" s="292"/>
      <c r="N47" s="237">
        <v>0</v>
      </c>
      <c r="O47" s="224">
        <f t="shared" si="1"/>
        <v>0</v>
      </c>
      <c r="P47" s="231"/>
      <c r="Q47" s="225">
        <v>0</v>
      </c>
      <c r="R47" s="219">
        <v>0</v>
      </c>
      <c r="S47" s="225">
        <f t="shared" si="2"/>
        <v>0</v>
      </c>
      <c r="T47" s="231"/>
      <c r="U47" s="226">
        <f t="shared" si="9"/>
        <v>0</v>
      </c>
      <c r="V47" s="227">
        <v>0</v>
      </c>
      <c r="W47" s="226">
        <f t="shared" si="4"/>
        <v>0</v>
      </c>
      <c r="X47" s="226">
        <f t="shared" si="5"/>
        <v>0</v>
      </c>
      <c r="Y47" s="226">
        <f t="shared" si="6"/>
        <v>0</v>
      </c>
      <c r="Z47" s="226">
        <f t="shared" si="7"/>
        <v>0</v>
      </c>
      <c r="AA47" s="226">
        <f t="shared" si="8"/>
        <v>0</v>
      </c>
    </row>
    <row r="48" spans="1:27" ht="15" x14ac:dyDescent="0.25">
      <c r="A48" s="215">
        <v>2220014</v>
      </c>
      <c r="B48" s="268" t="s">
        <v>24</v>
      </c>
      <c r="C48" s="216">
        <v>59.9</v>
      </c>
      <c r="D48" s="216">
        <v>59.9</v>
      </c>
      <c r="E48" s="217" t="s">
        <v>137</v>
      </c>
      <c r="F48" s="218">
        <v>3.5527136788005009E-15</v>
      </c>
      <c r="G48" s="319">
        <v>43.5</v>
      </c>
      <c r="H48" s="220">
        <v>0</v>
      </c>
      <c r="I48" s="321">
        <v>43.4</v>
      </c>
      <c r="J48" s="222">
        <v>0</v>
      </c>
      <c r="K48" s="292">
        <f t="shared" si="0"/>
        <v>0.10000000000000142</v>
      </c>
      <c r="L48" s="292"/>
      <c r="M48" s="292"/>
      <c r="N48" s="237">
        <v>0.65</v>
      </c>
      <c r="O48" s="224">
        <f t="shared" si="1"/>
        <v>0.5499999999999986</v>
      </c>
      <c r="P48" s="231"/>
      <c r="Q48" s="225">
        <v>1.6500000000000004</v>
      </c>
      <c r="R48" s="219">
        <v>13.5</v>
      </c>
      <c r="S48" s="225">
        <f t="shared" si="2"/>
        <v>-30</v>
      </c>
      <c r="T48" s="231"/>
      <c r="U48" s="226">
        <f t="shared" si="9"/>
        <v>2.1280754936015E-13</v>
      </c>
      <c r="V48" s="227">
        <v>0</v>
      </c>
      <c r="W48" s="226">
        <f t="shared" si="4"/>
        <v>2605.65</v>
      </c>
      <c r="X48" s="226">
        <f t="shared" si="5"/>
        <v>0</v>
      </c>
      <c r="Y48" s="226">
        <f t="shared" si="6"/>
        <v>2599.66</v>
      </c>
      <c r="Z48" s="226">
        <f t="shared" si="7"/>
        <v>0</v>
      </c>
      <c r="AA48" s="226">
        <f t="shared" si="8"/>
        <v>5.9900000000002365</v>
      </c>
    </row>
    <row r="49" spans="1:27" ht="15" x14ac:dyDescent="0.25">
      <c r="A49" s="215">
        <v>2220015</v>
      </c>
      <c r="B49" s="268" t="s">
        <v>25</v>
      </c>
      <c r="C49" s="216">
        <v>98.9</v>
      </c>
      <c r="D49" s="216">
        <v>98.9</v>
      </c>
      <c r="E49" s="217" t="s">
        <v>137</v>
      </c>
      <c r="F49" s="218">
        <v>-1.4432899320127035E-15</v>
      </c>
      <c r="G49" s="319">
        <v>112.5</v>
      </c>
      <c r="H49" s="220">
        <v>0</v>
      </c>
      <c r="I49" s="321">
        <v>118.15</v>
      </c>
      <c r="J49" s="222">
        <v>0</v>
      </c>
      <c r="K49" s="292">
        <f t="shared" si="0"/>
        <v>-5.6500000000000057</v>
      </c>
      <c r="L49" s="292"/>
      <c r="M49" s="292"/>
      <c r="N49" s="237">
        <v>0</v>
      </c>
      <c r="O49" s="224">
        <f t="shared" si="1"/>
        <v>5.6500000000000057</v>
      </c>
      <c r="P49" s="231"/>
      <c r="Q49" s="225">
        <v>4.0499999999999901</v>
      </c>
      <c r="R49" s="219">
        <v>37.35</v>
      </c>
      <c r="S49" s="225">
        <f t="shared" si="2"/>
        <v>-75.150000000000006</v>
      </c>
      <c r="T49" s="231"/>
      <c r="U49" s="226">
        <v>0</v>
      </c>
      <c r="V49" s="227">
        <v>0</v>
      </c>
      <c r="W49" s="226">
        <f t="shared" si="4"/>
        <v>11126.25</v>
      </c>
      <c r="X49" s="226">
        <f t="shared" si="5"/>
        <v>0</v>
      </c>
      <c r="Y49" s="226">
        <f t="shared" si="6"/>
        <v>11685.035000000002</v>
      </c>
      <c r="Z49" s="226">
        <f t="shared" si="7"/>
        <v>0</v>
      </c>
      <c r="AA49" s="226">
        <f t="shared" si="8"/>
        <v>-558.78500000000167</v>
      </c>
    </row>
    <row r="50" spans="1:27" ht="15" x14ac:dyDescent="0.25">
      <c r="A50" s="215">
        <v>2220052</v>
      </c>
      <c r="B50" s="271" t="s">
        <v>162</v>
      </c>
      <c r="C50" s="216">
        <v>2710</v>
      </c>
      <c r="D50" s="216">
        <v>3270</v>
      </c>
      <c r="E50" s="217" t="s">
        <v>135</v>
      </c>
      <c r="F50" s="218">
        <v>2</v>
      </c>
      <c r="G50" s="319">
        <v>2</v>
      </c>
      <c r="H50" s="220">
        <v>0</v>
      </c>
      <c r="I50" s="325">
        <v>1</v>
      </c>
      <c r="J50" s="222">
        <v>0</v>
      </c>
      <c r="K50" s="292">
        <f t="shared" si="0"/>
        <v>3</v>
      </c>
      <c r="L50" s="292"/>
      <c r="M50" s="292"/>
      <c r="N50" s="237">
        <v>3</v>
      </c>
      <c r="O50" s="224">
        <f t="shared" si="1"/>
        <v>0</v>
      </c>
      <c r="P50" s="231"/>
      <c r="Q50" s="225">
        <v>4</v>
      </c>
      <c r="R50" s="219">
        <v>0</v>
      </c>
      <c r="S50" s="225">
        <f t="shared" si="2"/>
        <v>-2</v>
      </c>
      <c r="T50" s="231"/>
      <c r="U50" s="226">
        <f t="shared" ref="U50:U56" si="10">C50*F50</f>
        <v>5420</v>
      </c>
      <c r="V50" s="227">
        <v>0</v>
      </c>
      <c r="W50" s="226">
        <f t="shared" si="4"/>
        <v>6540</v>
      </c>
      <c r="X50" s="226">
        <f t="shared" si="5"/>
        <v>0</v>
      </c>
      <c r="Y50" s="226">
        <f t="shared" si="6"/>
        <v>3270</v>
      </c>
      <c r="Z50" s="226">
        <f t="shared" si="7"/>
        <v>0</v>
      </c>
      <c r="AA50" s="226">
        <f t="shared" si="8"/>
        <v>8690</v>
      </c>
    </row>
    <row r="51" spans="1:27" ht="15" x14ac:dyDescent="0.25">
      <c r="A51" s="215">
        <v>2220093</v>
      </c>
      <c r="B51" s="269" t="s">
        <v>163</v>
      </c>
      <c r="C51" s="216">
        <v>1091.99</v>
      </c>
      <c r="D51" s="216">
        <v>1091.99</v>
      </c>
      <c r="E51" s="217" t="s">
        <v>133</v>
      </c>
      <c r="F51" s="218">
        <v>0</v>
      </c>
      <c r="G51" s="219">
        <v>0</v>
      </c>
      <c r="H51" s="220">
        <v>0</v>
      </c>
      <c r="I51" s="221">
        <v>0</v>
      </c>
      <c r="J51" s="222">
        <v>0</v>
      </c>
      <c r="K51" s="292">
        <f t="shared" si="0"/>
        <v>0</v>
      </c>
      <c r="L51" s="292"/>
      <c r="M51" s="292"/>
      <c r="N51" s="237">
        <v>0</v>
      </c>
      <c r="O51" s="224">
        <f t="shared" si="1"/>
        <v>0</v>
      </c>
      <c r="P51" s="231"/>
      <c r="Q51" s="225">
        <v>0</v>
      </c>
      <c r="R51" s="219">
        <v>0</v>
      </c>
      <c r="S51" s="225">
        <f t="shared" si="2"/>
        <v>0</v>
      </c>
      <c r="T51" s="231"/>
      <c r="U51" s="226">
        <f t="shared" si="10"/>
        <v>0</v>
      </c>
      <c r="V51" s="227">
        <v>0</v>
      </c>
      <c r="W51" s="226">
        <f t="shared" si="4"/>
        <v>0</v>
      </c>
      <c r="X51" s="226">
        <f t="shared" si="5"/>
        <v>0</v>
      </c>
      <c r="Y51" s="226">
        <f t="shared" si="6"/>
        <v>0</v>
      </c>
      <c r="Z51" s="226">
        <f t="shared" si="7"/>
        <v>0</v>
      </c>
      <c r="AA51" s="226">
        <f t="shared" si="8"/>
        <v>0</v>
      </c>
    </row>
    <row r="52" spans="1:27" ht="15" x14ac:dyDescent="0.25">
      <c r="A52" s="215">
        <v>2220092</v>
      </c>
      <c r="B52" s="270" t="s">
        <v>164</v>
      </c>
      <c r="C52" s="216">
        <v>484.4</v>
      </c>
      <c r="D52" s="216">
        <v>484.4</v>
      </c>
      <c r="E52" s="217" t="s">
        <v>133</v>
      </c>
      <c r="F52" s="218">
        <v>5</v>
      </c>
      <c r="G52" s="219">
        <v>0</v>
      </c>
      <c r="H52" s="220">
        <v>0</v>
      </c>
      <c r="I52" s="221">
        <v>0</v>
      </c>
      <c r="J52" s="222">
        <v>0</v>
      </c>
      <c r="K52" s="292">
        <f t="shared" si="0"/>
        <v>5</v>
      </c>
      <c r="L52" s="292"/>
      <c r="M52" s="292"/>
      <c r="N52" s="237">
        <v>5</v>
      </c>
      <c r="O52" s="224">
        <f t="shared" si="1"/>
        <v>0</v>
      </c>
      <c r="P52" s="231"/>
      <c r="Q52" s="225">
        <v>5</v>
      </c>
      <c r="R52" s="219">
        <v>0</v>
      </c>
      <c r="S52" s="225">
        <f t="shared" si="2"/>
        <v>0</v>
      </c>
      <c r="T52" s="231"/>
      <c r="U52" s="226">
        <f t="shared" si="10"/>
        <v>2422</v>
      </c>
      <c r="V52" s="227">
        <v>0</v>
      </c>
      <c r="W52" s="226">
        <f t="shared" si="4"/>
        <v>0</v>
      </c>
      <c r="X52" s="226">
        <f t="shared" si="5"/>
        <v>0</v>
      </c>
      <c r="Y52" s="226">
        <f t="shared" si="6"/>
        <v>0</v>
      </c>
      <c r="Z52" s="226">
        <f t="shared" si="7"/>
        <v>0</v>
      </c>
      <c r="AA52" s="226">
        <f t="shared" si="8"/>
        <v>2422</v>
      </c>
    </row>
    <row r="53" spans="1:27" ht="15" customHeight="1" x14ac:dyDescent="0.25">
      <c r="A53" s="234">
        <v>2220144</v>
      </c>
      <c r="B53" s="273" t="s">
        <v>165</v>
      </c>
      <c r="C53" s="235">
        <v>631.04</v>
      </c>
      <c r="D53" s="235">
        <v>631.04</v>
      </c>
      <c r="E53" s="236" t="s">
        <v>133</v>
      </c>
      <c r="F53" s="229">
        <v>0</v>
      </c>
      <c r="G53" s="219">
        <v>0</v>
      </c>
      <c r="H53" s="220">
        <v>0</v>
      </c>
      <c r="I53" s="221">
        <v>0</v>
      </c>
      <c r="J53" s="222">
        <v>0</v>
      </c>
      <c r="K53" s="292">
        <f t="shared" si="0"/>
        <v>0</v>
      </c>
      <c r="L53" s="292"/>
      <c r="M53" s="292"/>
      <c r="N53" s="237">
        <v>0</v>
      </c>
      <c r="O53" s="224">
        <f t="shared" si="1"/>
        <v>0</v>
      </c>
      <c r="P53" s="231"/>
      <c r="Q53" s="237">
        <v>0</v>
      </c>
      <c r="R53" s="219">
        <v>0</v>
      </c>
      <c r="S53" s="225">
        <f t="shared" si="2"/>
        <v>0</v>
      </c>
      <c r="T53" s="231"/>
      <c r="U53" s="226">
        <f t="shared" si="10"/>
        <v>0</v>
      </c>
      <c r="V53" s="227">
        <v>0</v>
      </c>
      <c r="W53" s="226">
        <f t="shared" si="4"/>
        <v>0</v>
      </c>
      <c r="X53" s="226">
        <f t="shared" si="5"/>
        <v>0</v>
      </c>
      <c r="Y53" s="226">
        <f t="shared" si="6"/>
        <v>0</v>
      </c>
      <c r="Z53" s="226">
        <f t="shared" si="7"/>
        <v>0</v>
      </c>
      <c r="AA53" s="226">
        <f t="shared" si="8"/>
        <v>0</v>
      </c>
    </row>
    <row r="54" spans="1:27" ht="15" x14ac:dyDescent="0.25">
      <c r="A54" s="215">
        <v>2220016</v>
      </c>
      <c r="B54" s="268" t="s">
        <v>26</v>
      </c>
      <c r="C54" s="216">
        <v>26.1</v>
      </c>
      <c r="D54" s="216">
        <v>26.1</v>
      </c>
      <c r="E54" s="217" t="s">
        <v>133</v>
      </c>
      <c r="F54" s="218">
        <v>0</v>
      </c>
      <c r="G54" s="319">
        <v>3196</v>
      </c>
      <c r="H54" s="220">
        <v>0</v>
      </c>
      <c r="I54" s="321">
        <v>3246</v>
      </c>
      <c r="J54" s="222">
        <v>0</v>
      </c>
      <c r="K54" s="292">
        <f t="shared" si="0"/>
        <v>-50</v>
      </c>
      <c r="L54" s="292"/>
      <c r="M54" s="292"/>
      <c r="N54" s="237">
        <v>44</v>
      </c>
      <c r="O54" s="224">
        <f t="shared" si="1"/>
        <v>94</v>
      </c>
      <c r="P54" s="231"/>
      <c r="Q54" s="225">
        <v>145</v>
      </c>
      <c r="R54" s="219">
        <v>1074</v>
      </c>
      <c r="S54" s="225">
        <f t="shared" si="2"/>
        <v>-2122</v>
      </c>
      <c r="T54" s="231"/>
      <c r="U54" s="226">
        <f t="shared" si="10"/>
        <v>0</v>
      </c>
      <c r="V54" s="227">
        <v>0</v>
      </c>
      <c r="W54" s="226">
        <f t="shared" si="4"/>
        <v>83415.600000000006</v>
      </c>
      <c r="X54" s="226">
        <f t="shared" si="5"/>
        <v>0</v>
      </c>
      <c r="Y54" s="226">
        <f t="shared" si="6"/>
        <v>84720.6</v>
      </c>
      <c r="Z54" s="226">
        <f t="shared" si="7"/>
        <v>0</v>
      </c>
      <c r="AA54" s="226">
        <f t="shared" si="8"/>
        <v>-1305</v>
      </c>
    </row>
    <row r="55" spans="1:27" ht="15" x14ac:dyDescent="0.25">
      <c r="A55" s="215">
        <v>2220131</v>
      </c>
      <c r="B55" s="268" t="s">
        <v>166</v>
      </c>
      <c r="C55" s="216">
        <v>78.2</v>
      </c>
      <c r="D55" s="216">
        <v>78.2</v>
      </c>
      <c r="E55" s="217" t="s">
        <v>137</v>
      </c>
      <c r="F55" s="218">
        <v>0</v>
      </c>
      <c r="G55" s="319">
        <v>46.5</v>
      </c>
      <c r="H55" s="220">
        <v>0</v>
      </c>
      <c r="I55" s="321">
        <v>50.7</v>
      </c>
      <c r="J55" s="222">
        <v>0</v>
      </c>
      <c r="K55" s="292">
        <f t="shared" si="0"/>
        <v>-4.2000000000000028</v>
      </c>
      <c r="L55" s="292"/>
      <c r="M55" s="292"/>
      <c r="N55" s="237">
        <v>0.4</v>
      </c>
      <c r="O55" s="224">
        <f t="shared" si="1"/>
        <v>4.6000000000000032</v>
      </c>
      <c r="P55" s="231"/>
      <c r="Q55" s="225">
        <v>2.5500000000000007</v>
      </c>
      <c r="R55" s="219">
        <v>24.7</v>
      </c>
      <c r="S55" s="225">
        <f t="shared" si="2"/>
        <v>-21.8</v>
      </c>
      <c r="T55" s="231"/>
      <c r="U55" s="226">
        <f t="shared" si="10"/>
        <v>0</v>
      </c>
      <c r="V55" s="227">
        <v>0</v>
      </c>
      <c r="W55" s="226">
        <f t="shared" si="4"/>
        <v>3636.3</v>
      </c>
      <c r="X55" s="226">
        <f t="shared" si="5"/>
        <v>0</v>
      </c>
      <c r="Y55" s="226">
        <f t="shared" si="6"/>
        <v>3964.7400000000002</v>
      </c>
      <c r="Z55" s="226">
        <f t="shared" si="7"/>
        <v>0</v>
      </c>
      <c r="AA55" s="226">
        <f t="shared" si="8"/>
        <v>-328.44000000000005</v>
      </c>
    </row>
    <row r="56" spans="1:27" ht="15" x14ac:dyDescent="0.25">
      <c r="A56" s="215">
        <v>2220086</v>
      </c>
      <c r="B56" s="269" t="s">
        <v>167</v>
      </c>
      <c r="C56" s="216">
        <v>440</v>
      </c>
      <c r="D56" s="216">
        <v>440</v>
      </c>
      <c r="E56" s="217" t="s">
        <v>133</v>
      </c>
      <c r="F56" s="218">
        <v>0</v>
      </c>
      <c r="G56" s="219">
        <v>0</v>
      </c>
      <c r="H56" s="220">
        <v>0</v>
      </c>
      <c r="I56" s="221">
        <v>0</v>
      </c>
      <c r="J56" s="222">
        <v>0</v>
      </c>
      <c r="K56" s="292">
        <f t="shared" si="0"/>
        <v>0</v>
      </c>
      <c r="L56" s="292"/>
      <c r="M56" s="292"/>
      <c r="N56" s="237">
        <v>0</v>
      </c>
      <c r="O56" s="224">
        <f t="shared" si="1"/>
        <v>0</v>
      </c>
      <c r="P56" s="231"/>
      <c r="Q56" s="225">
        <v>0</v>
      </c>
      <c r="R56" s="219">
        <v>0</v>
      </c>
      <c r="S56" s="225">
        <f t="shared" si="2"/>
        <v>0</v>
      </c>
      <c r="T56" s="231"/>
      <c r="U56" s="226">
        <f t="shared" si="10"/>
        <v>0</v>
      </c>
      <c r="V56" s="227">
        <v>0</v>
      </c>
      <c r="W56" s="226">
        <f t="shared" si="4"/>
        <v>0</v>
      </c>
      <c r="X56" s="226">
        <f t="shared" si="5"/>
        <v>0</v>
      </c>
      <c r="Y56" s="226">
        <f t="shared" si="6"/>
        <v>0</v>
      </c>
      <c r="Z56" s="226">
        <f t="shared" si="7"/>
        <v>0</v>
      </c>
      <c r="AA56" s="226">
        <f t="shared" si="8"/>
        <v>0</v>
      </c>
    </row>
    <row r="57" spans="1:27" ht="15" x14ac:dyDescent="0.25">
      <c r="A57" s="215">
        <v>2220017</v>
      </c>
      <c r="B57" s="268" t="s">
        <v>74</v>
      </c>
      <c r="C57" s="216">
        <v>135.4</v>
      </c>
      <c r="D57" s="216">
        <v>135.4</v>
      </c>
      <c r="E57" s="217" t="s">
        <v>137</v>
      </c>
      <c r="F57" s="218">
        <v>-8.5265128291212022E-14</v>
      </c>
      <c r="G57" s="319">
        <v>1337</v>
      </c>
      <c r="H57" s="220">
        <v>0</v>
      </c>
      <c r="I57" s="321">
        <v>1392.13</v>
      </c>
      <c r="J57" s="222">
        <v>0</v>
      </c>
      <c r="K57" s="292">
        <f t="shared" si="0"/>
        <v>-55.130000000000109</v>
      </c>
      <c r="L57" s="292"/>
      <c r="M57" s="292"/>
      <c r="N57" s="237">
        <v>16</v>
      </c>
      <c r="O57" s="224">
        <f t="shared" si="1"/>
        <v>71.130000000000109</v>
      </c>
      <c r="P57" s="231"/>
      <c r="Q57" s="225">
        <v>0</v>
      </c>
      <c r="R57" s="308">
        <v>467.1</v>
      </c>
      <c r="S57" s="225">
        <f t="shared" si="2"/>
        <v>-869.9</v>
      </c>
      <c r="T57" s="231"/>
      <c r="U57" s="226">
        <v>0</v>
      </c>
      <c r="V57" s="227">
        <v>0</v>
      </c>
      <c r="W57" s="226">
        <f t="shared" si="4"/>
        <v>181029.80000000002</v>
      </c>
      <c r="X57" s="226">
        <f t="shared" si="5"/>
        <v>0</v>
      </c>
      <c r="Y57" s="226">
        <f t="shared" si="6"/>
        <v>188494.40200000003</v>
      </c>
      <c r="Z57" s="226">
        <f t="shared" si="7"/>
        <v>0</v>
      </c>
      <c r="AA57" s="226">
        <f t="shared" si="8"/>
        <v>-7464.6020000000135</v>
      </c>
    </row>
    <row r="58" spans="1:27" ht="15" x14ac:dyDescent="0.25">
      <c r="A58" s="215">
        <v>2220062</v>
      </c>
      <c r="B58" s="269" t="s">
        <v>168</v>
      </c>
      <c r="C58" s="216">
        <v>850</v>
      </c>
      <c r="D58" s="216">
        <v>850</v>
      </c>
      <c r="E58" s="217" t="s">
        <v>135</v>
      </c>
      <c r="F58" s="218">
        <v>0</v>
      </c>
      <c r="G58" s="219">
        <v>0</v>
      </c>
      <c r="H58" s="220">
        <v>0</v>
      </c>
      <c r="I58" s="221">
        <v>0</v>
      </c>
      <c r="J58" s="222">
        <v>0</v>
      </c>
      <c r="K58" s="292">
        <f t="shared" si="0"/>
        <v>0</v>
      </c>
      <c r="L58" s="292"/>
      <c r="M58" s="292"/>
      <c r="N58" s="237">
        <v>0</v>
      </c>
      <c r="O58" s="224">
        <f t="shared" si="1"/>
        <v>0</v>
      </c>
      <c r="P58" s="231"/>
      <c r="Q58" s="225">
        <v>0</v>
      </c>
      <c r="R58" s="308">
        <v>0</v>
      </c>
      <c r="S58" s="225">
        <f t="shared" si="2"/>
        <v>0</v>
      </c>
      <c r="T58" s="231"/>
      <c r="U58" s="226">
        <f t="shared" ref="U58:U66" si="11">C58*F58</f>
        <v>0</v>
      </c>
      <c r="V58" s="227">
        <v>0</v>
      </c>
      <c r="W58" s="226">
        <f t="shared" si="4"/>
        <v>0</v>
      </c>
      <c r="X58" s="226">
        <f t="shared" si="5"/>
        <v>0</v>
      </c>
      <c r="Y58" s="226">
        <f t="shared" si="6"/>
        <v>0</v>
      </c>
      <c r="Z58" s="226">
        <f t="shared" si="7"/>
        <v>0</v>
      </c>
      <c r="AA58" s="226">
        <f t="shared" si="8"/>
        <v>0</v>
      </c>
    </row>
    <row r="59" spans="1:27" ht="15" customHeight="1" x14ac:dyDescent="0.25">
      <c r="A59" s="215">
        <v>2220082</v>
      </c>
      <c r="B59" s="271" t="s">
        <v>169</v>
      </c>
      <c r="C59" s="216">
        <v>376.36</v>
      </c>
      <c r="D59" s="216">
        <v>2760</v>
      </c>
      <c r="E59" s="217" t="s">
        <v>135</v>
      </c>
      <c r="F59" s="218">
        <v>0</v>
      </c>
      <c r="G59" s="319">
        <v>2</v>
      </c>
      <c r="H59" s="220">
        <v>0</v>
      </c>
      <c r="I59" s="325">
        <v>0</v>
      </c>
      <c r="J59" s="222">
        <v>0</v>
      </c>
      <c r="K59" s="292">
        <f t="shared" si="0"/>
        <v>2</v>
      </c>
      <c r="L59" s="292"/>
      <c r="M59" s="292"/>
      <c r="N59" s="237">
        <v>2</v>
      </c>
      <c r="O59" s="224">
        <f t="shared" si="1"/>
        <v>0</v>
      </c>
      <c r="P59" s="231"/>
      <c r="Q59" s="225">
        <v>2</v>
      </c>
      <c r="R59" s="308">
        <v>0</v>
      </c>
      <c r="S59" s="225">
        <f t="shared" si="2"/>
        <v>-2</v>
      </c>
      <c r="T59" s="231"/>
      <c r="U59" s="226">
        <f t="shared" si="11"/>
        <v>0</v>
      </c>
      <c r="V59" s="227">
        <v>0</v>
      </c>
      <c r="W59" s="226">
        <f t="shared" si="4"/>
        <v>5520</v>
      </c>
      <c r="X59" s="226">
        <f t="shared" si="5"/>
        <v>0</v>
      </c>
      <c r="Y59" s="226">
        <f t="shared" si="6"/>
        <v>0</v>
      </c>
      <c r="Z59" s="226">
        <f t="shared" si="7"/>
        <v>0</v>
      </c>
      <c r="AA59" s="226">
        <f t="shared" si="8"/>
        <v>5520</v>
      </c>
    </row>
    <row r="60" spans="1:27" ht="15" customHeight="1" x14ac:dyDescent="0.25">
      <c r="A60" s="215">
        <v>2220061</v>
      </c>
      <c r="B60" s="269" t="s">
        <v>170</v>
      </c>
      <c r="C60" s="216">
        <v>2500</v>
      </c>
      <c r="D60" s="216">
        <v>2500</v>
      </c>
      <c r="E60" s="217" t="s">
        <v>135</v>
      </c>
      <c r="F60" s="218">
        <v>0</v>
      </c>
      <c r="G60" s="219">
        <v>0</v>
      </c>
      <c r="H60" s="220">
        <v>0</v>
      </c>
      <c r="I60" s="221">
        <v>0</v>
      </c>
      <c r="J60" s="222">
        <v>0</v>
      </c>
      <c r="K60" s="292">
        <f t="shared" si="0"/>
        <v>0</v>
      </c>
      <c r="L60" s="292"/>
      <c r="M60" s="292"/>
      <c r="N60" s="237">
        <v>0</v>
      </c>
      <c r="O60" s="224">
        <f t="shared" si="1"/>
        <v>0</v>
      </c>
      <c r="P60" s="231"/>
      <c r="Q60" s="225">
        <v>0</v>
      </c>
      <c r="R60" s="308">
        <v>0</v>
      </c>
      <c r="S60" s="225">
        <f t="shared" si="2"/>
        <v>0</v>
      </c>
      <c r="T60" s="231"/>
      <c r="U60" s="226">
        <f t="shared" si="11"/>
        <v>0</v>
      </c>
      <c r="V60" s="227">
        <v>0</v>
      </c>
      <c r="W60" s="226">
        <f t="shared" si="4"/>
        <v>0</v>
      </c>
      <c r="X60" s="226">
        <f t="shared" si="5"/>
        <v>0</v>
      </c>
      <c r="Y60" s="226">
        <f t="shared" si="6"/>
        <v>0</v>
      </c>
      <c r="Z60" s="226">
        <f t="shared" si="7"/>
        <v>0</v>
      </c>
      <c r="AA60" s="226">
        <f t="shared" si="8"/>
        <v>0</v>
      </c>
    </row>
    <row r="61" spans="1:27" ht="15" customHeight="1" x14ac:dyDescent="0.25">
      <c r="A61" s="215">
        <v>2220051</v>
      </c>
      <c r="B61" s="271" t="s">
        <v>171</v>
      </c>
      <c r="C61" s="216">
        <v>2840</v>
      </c>
      <c r="D61" s="216">
        <v>2840</v>
      </c>
      <c r="E61" s="217" t="s">
        <v>135</v>
      </c>
      <c r="F61" s="218">
        <v>2</v>
      </c>
      <c r="G61" s="319">
        <v>2</v>
      </c>
      <c r="H61" s="220">
        <v>0</v>
      </c>
      <c r="I61" s="325">
        <v>1</v>
      </c>
      <c r="J61" s="222">
        <v>0</v>
      </c>
      <c r="K61" s="292">
        <f t="shared" si="0"/>
        <v>3</v>
      </c>
      <c r="L61" s="292"/>
      <c r="M61" s="292"/>
      <c r="N61" s="237">
        <v>3</v>
      </c>
      <c r="O61" s="224">
        <f t="shared" si="1"/>
        <v>0</v>
      </c>
      <c r="P61" s="231"/>
      <c r="Q61" s="225">
        <v>4</v>
      </c>
      <c r="R61" s="308">
        <v>0</v>
      </c>
      <c r="S61" s="225">
        <f t="shared" si="2"/>
        <v>-2</v>
      </c>
      <c r="T61" s="231"/>
      <c r="U61" s="226">
        <f t="shared" si="11"/>
        <v>5680</v>
      </c>
      <c r="V61" s="227">
        <v>0</v>
      </c>
      <c r="W61" s="226">
        <f t="shared" si="4"/>
        <v>5680</v>
      </c>
      <c r="X61" s="226">
        <f t="shared" si="5"/>
        <v>0</v>
      </c>
      <c r="Y61" s="226">
        <f t="shared" si="6"/>
        <v>2840</v>
      </c>
      <c r="Z61" s="226">
        <f t="shared" si="7"/>
        <v>0</v>
      </c>
      <c r="AA61" s="226">
        <f t="shared" si="8"/>
        <v>8520</v>
      </c>
    </row>
    <row r="62" spans="1:27" ht="15" customHeight="1" x14ac:dyDescent="0.25">
      <c r="A62" s="215">
        <v>2220064</v>
      </c>
      <c r="B62" s="271" t="s">
        <v>172</v>
      </c>
      <c r="C62" s="216">
        <v>2370</v>
      </c>
      <c r="D62" s="216">
        <v>2370</v>
      </c>
      <c r="E62" s="217" t="s">
        <v>135</v>
      </c>
      <c r="F62" s="218">
        <v>3</v>
      </c>
      <c r="G62" s="319">
        <v>0</v>
      </c>
      <c r="H62" s="220">
        <v>0</v>
      </c>
      <c r="I62" s="325">
        <v>0</v>
      </c>
      <c r="J62" s="222">
        <v>0</v>
      </c>
      <c r="K62" s="292">
        <f t="shared" si="0"/>
        <v>3</v>
      </c>
      <c r="L62" s="292"/>
      <c r="M62" s="292"/>
      <c r="N62" s="237">
        <v>3</v>
      </c>
      <c r="O62" s="224">
        <f t="shared" si="1"/>
        <v>0</v>
      </c>
      <c r="P62" s="231"/>
      <c r="Q62" s="225">
        <v>3</v>
      </c>
      <c r="R62" s="308">
        <v>0</v>
      </c>
      <c r="S62" s="225">
        <f t="shared" si="2"/>
        <v>0</v>
      </c>
      <c r="T62" s="231"/>
      <c r="U62" s="226">
        <f t="shared" si="11"/>
        <v>7110</v>
      </c>
      <c r="V62" s="227">
        <v>0</v>
      </c>
      <c r="W62" s="226">
        <f t="shared" si="4"/>
        <v>0</v>
      </c>
      <c r="X62" s="226">
        <f t="shared" si="5"/>
        <v>0</v>
      </c>
      <c r="Y62" s="226">
        <f t="shared" si="6"/>
        <v>0</v>
      </c>
      <c r="Z62" s="226">
        <f t="shared" si="7"/>
        <v>0</v>
      </c>
      <c r="AA62" s="226">
        <f t="shared" si="8"/>
        <v>7110</v>
      </c>
    </row>
    <row r="63" spans="1:27" ht="15" customHeight="1" x14ac:dyDescent="0.25">
      <c r="A63" s="215">
        <v>2220063</v>
      </c>
      <c r="B63" s="269" t="s">
        <v>173</v>
      </c>
      <c r="C63" s="216">
        <v>2720</v>
      </c>
      <c r="D63" s="216">
        <v>2720</v>
      </c>
      <c r="E63" s="217" t="s">
        <v>135</v>
      </c>
      <c r="F63" s="218">
        <v>0</v>
      </c>
      <c r="G63" s="219">
        <v>0</v>
      </c>
      <c r="H63" s="220">
        <v>0</v>
      </c>
      <c r="I63" s="221">
        <v>0</v>
      </c>
      <c r="J63" s="222">
        <v>0</v>
      </c>
      <c r="K63" s="292">
        <f t="shared" si="0"/>
        <v>0</v>
      </c>
      <c r="L63" s="292"/>
      <c r="M63" s="292"/>
      <c r="N63" s="237">
        <v>0</v>
      </c>
      <c r="O63" s="224">
        <f t="shared" si="1"/>
        <v>0</v>
      </c>
      <c r="P63" s="231"/>
      <c r="Q63" s="225">
        <v>0</v>
      </c>
      <c r="R63" s="308">
        <v>0</v>
      </c>
      <c r="S63" s="225">
        <f t="shared" si="2"/>
        <v>0</v>
      </c>
      <c r="T63" s="231"/>
      <c r="U63" s="226">
        <f t="shared" si="11"/>
        <v>0</v>
      </c>
      <c r="V63" s="227">
        <v>0</v>
      </c>
      <c r="W63" s="226">
        <f t="shared" si="4"/>
        <v>0</v>
      </c>
      <c r="X63" s="226">
        <f t="shared" si="5"/>
        <v>0</v>
      </c>
      <c r="Y63" s="226">
        <f t="shared" si="6"/>
        <v>0</v>
      </c>
      <c r="Z63" s="226">
        <f t="shared" si="7"/>
        <v>0</v>
      </c>
      <c r="AA63" s="226">
        <f t="shared" si="8"/>
        <v>0</v>
      </c>
    </row>
    <row r="64" spans="1:27" ht="15" x14ac:dyDescent="0.25">
      <c r="A64" s="215">
        <v>2220018</v>
      </c>
      <c r="B64" s="268" t="s">
        <v>28</v>
      </c>
      <c r="C64" s="216">
        <v>44.8</v>
      </c>
      <c r="D64" s="216">
        <v>44.8</v>
      </c>
      <c r="E64" s="217" t="s">
        <v>137</v>
      </c>
      <c r="F64" s="218">
        <v>0</v>
      </c>
      <c r="G64" s="319">
        <v>459</v>
      </c>
      <c r="H64" s="220">
        <v>0</v>
      </c>
      <c r="I64" s="321">
        <v>481.35</v>
      </c>
      <c r="J64" s="222">
        <v>0</v>
      </c>
      <c r="K64" s="292">
        <f t="shared" si="0"/>
        <v>-22.350000000000023</v>
      </c>
      <c r="L64" s="292"/>
      <c r="M64" s="292"/>
      <c r="N64" s="237">
        <v>0</v>
      </c>
      <c r="O64" s="224">
        <f t="shared" si="1"/>
        <v>22.350000000000023</v>
      </c>
      <c r="P64" s="231"/>
      <c r="Q64" s="225">
        <v>14.900000000000006</v>
      </c>
      <c r="R64" s="308">
        <v>157.44999999999999</v>
      </c>
      <c r="S64" s="225">
        <f t="shared" si="2"/>
        <v>-301.55</v>
      </c>
      <c r="T64" s="231"/>
      <c r="U64" s="226">
        <f t="shared" si="11"/>
        <v>0</v>
      </c>
      <c r="V64" s="227">
        <v>0</v>
      </c>
      <c r="W64" s="226">
        <f t="shared" si="4"/>
        <v>20563.199999999997</v>
      </c>
      <c r="X64" s="226">
        <f t="shared" si="5"/>
        <v>0</v>
      </c>
      <c r="Y64" s="226">
        <f t="shared" si="6"/>
        <v>21564.48</v>
      </c>
      <c r="Z64" s="226">
        <f t="shared" si="7"/>
        <v>0</v>
      </c>
      <c r="AA64" s="226">
        <f t="shared" si="8"/>
        <v>-1001.2800000000025</v>
      </c>
    </row>
    <row r="65" spans="1:27" ht="15" x14ac:dyDescent="0.25">
      <c r="A65" s="215">
        <v>2220037</v>
      </c>
      <c r="B65" s="270" t="s">
        <v>174</v>
      </c>
      <c r="C65" s="216">
        <v>302.10000000000002</v>
      </c>
      <c r="D65" s="216">
        <v>302.10000000000002</v>
      </c>
      <c r="E65" s="217" t="s">
        <v>175</v>
      </c>
      <c r="F65" s="218">
        <v>0</v>
      </c>
      <c r="G65" s="319">
        <v>50</v>
      </c>
      <c r="H65" s="220">
        <v>0</v>
      </c>
      <c r="I65" s="325">
        <v>18</v>
      </c>
      <c r="J65" s="222">
        <v>0</v>
      </c>
      <c r="K65" s="292">
        <f t="shared" si="0"/>
        <v>32</v>
      </c>
      <c r="L65" s="292"/>
      <c r="M65" s="292"/>
      <c r="N65" s="237">
        <v>34</v>
      </c>
      <c r="O65" s="224">
        <f t="shared" si="1"/>
        <v>2</v>
      </c>
      <c r="P65" s="231"/>
      <c r="Q65" s="225">
        <v>26</v>
      </c>
      <c r="R65" s="219">
        <v>20</v>
      </c>
      <c r="S65" s="225">
        <f t="shared" si="2"/>
        <v>-30</v>
      </c>
      <c r="T65" s="231"/>
      <c r="U65" s="226">
        <f t="shared" si="11"/>
        <v>0</v>
      </c>
      <c r="V65" s="227">
        <v>0</v>
      </c>
      <c r="W65" s="226">
        <f t="shared" si="4"/>
        <v>15105.000000000002</v>
      </c>
      <c r="X65" s="226">
        <f t="shared" si="5"/>
        <v>0</v>
      </c>
      <c r="Y65" s="226">
        <f t="shared" si="6"/>
        <v>5437.8</v>
      </c>
      <c r="Z65" s="226">
        <f t="shared" si="7"/>
        <v>0</v>
      </c>
      <c r="AA65" s="226">
        <f t="shared" si="8"/>
        <v>9667.2000000000007</v>
      </c>
    </row>
    <row r="66" spans="1:27" ht="15" x14ac:dyDescent="0.25">
      <c r="A66" s="215">
        <v>2220060</v>
      </c>
      <c r="B66" s="269" t="s">
        <v>176</v>
      </c>
      <c r="C66" s="216">
        <v>1610</v>
      </c>
      <c r="D66" s="216">
        <v>1610</v>
      </c>
      <c r="E66" s="217" t="s">
        <v>135</v>
      </c>
      <c r="F66" s="218">
        <v>1</v>
      </c>
      <c r="G66" s="219">
        <v>0</v>
      </c>
      <c r="H66" s="220">
        <v>0</v>
      </c>
      <c r="I66" s="221">
        <v>0</v>
      </c>
      <c r="J66" s="222">
        <v>0</v>
      </c>
      <c r="K66" s="292">
        <f t="shared" si="0"/>
        <v>1</v>
      </c>
      <c r="L66" s="292"/>
      <c r="M66" s="292"/>
      <c r="N66" s="237">
        <v>1</v>
      </c>
      <c r="O66" s="224">
        <f t="shared" si="1"/>
        <v>0</v>
      </c>
      <c r="P66" s="231"/>
      <c r="Q66" s="225">
        <v>1</v>
      </c>
      <c r="R66" s="219">
        <v>0</v>
      </c>
      <c r="S66" s="225">
        <f t="shared" si="2"/>
        <v>0</v>
      </c>
      <c r="T66" s="231"/>
      <c r="U66" s="226">
        <f t="shared" si="11"/>
        <v>1610</v>
      </c>
      <c r="V66" s="227">
        <v>0</v>
      </c>
      <c r="W66" s="226">
        <f t="shared" si="4"/>
        <v>0</v>
      </c>
      <c r="X66" s="226">
        <f t="shared" si="5"/>
        <v>0</v>
      </c>
      <c r="Y66" s="226">
        <f t="shared" si="6"/>
        <v>0</v>
      </c>
      <c r="Z66" s="226">
        <f t="shared" si="7"/>
        <v>0</v>
      </c>
      <c r="AA66" s="226">
        <f t="shared" si="8"/>
        <v>1610</v>
      </c>
    </row>
    <row r="67" spans="1:27" ht="15" x14ac:dyDescent="0.25">
      <c r="A67" s="215">
        <v>2220019</v>
      </c>
      <c r="B67" s="268" t="s">
        <v>29</v>
      </c>
      <c r="C67" s="216">
        <v>36.5</v>
      </c>
      <c r="D67" s="216">
        <v>36.5</v>
      </c>
      <c r="E67" s="217" t="s">
        <v>137</v>
      </c>
      <c r="F67" s="218">
        <v>-1.1546319456101628E-14</v>
      </c>
      <c r="G67" s="319">
        <v>513</v>
      </c>
      <c r="H67" s="220">
        <v>0</v>
      </c>
      <c r="I67" s="321">
        <v>526.20000000000005</v>
      </c>
      <c r="J67" s="222">
        <v>0</v>
      </c>
      <c r="K67" s="292">
        <f t="shared" si="0"/>
        <v>-13.200000000000045</v>
      </c>
      <c r="L67" s="292"/>
      <c r="M67" s="292"/>
      <c r="N67" s="237">
        <v>5.95</v>
      </c>
      <c r="O67" s="224">
        <f t="shared" si="1"/>
        <v>19.150000000000045</v>
      </c>
      <c r="P67" s="231"/>
      <c r="Q67" s="225">
        <v>17.449999999999989</v>
      </c>
      <c r="R67" s="219">
        <v>168.4</v>
      </c>
      <c r="S67" s="225">
        <f t="shared" si="2"/>
        <v>-344.6</v>
      </c>
      <c r="T67" s="231"/>
      <c r="U67" s="226">
        <v>0</v>
      </c>
      <c r="V67" s="227">
        <v>0</v>
      </c>
      <c r="W67" s="226">
        <f t="shared" si="4"/>
        <v>18724.5</v>
      </c>
      <c r="X67" s="226">
        <f t="shared" si="5"/>
        <v>0</v>
      </c>
      <c r="Y67" s="226">
        <f t="shared" si="6"/>
        <v>19206.300000000003</v>
      </c>
      <c r="Z67" s="226">
        <f t="shared" si="7"/>
        <v>0</v>
      </c>
      <c r="AA67" s="226">
        <f t="shared" si="8"/>
        <v>-481.80000000000291</v>
      </c>
    </row>
    <row r="68" spans="1:27" ht="15" x14ac:dyDescent="0.25">
      <c r="A68" s="215">
        <v>2220032</v>
      </c>
      <c r="B68" s="270" t="s">
        <v>177</v>
      </c>
      <c r="C68" s="216">
        <v>93.8</v>
      </c>
      <c r="D68" s="216">
        <v>93.8</v>
      </c>
      <c r="E68" s="217" t="s">
        <v>133</v>
      </c>
      <c r="F68" s="218">
        <v>0</v>
      </c>
      <c r="G68" s="319">
        <v>28</v>
      </c>
      <c r="H68" s="220">
        <v>0</v>
      </c>
      <c r="I68" s="325">
        <v>6</v>
      </c>
      <c r="J68" s="222">
        <v>0</v>
      </c>
      <c r="K68" s="292">
        <f t="shared" si="0"/>
        <v>22</v>
      </c>
      <c r="L68" s="292"/>
      <c r="M68" s="292"/>
      <c r="N68" s="237">
        <v>22</v>
      </c>
      <c r="O68" s="224">
        <f t="shared" si="1"/>
        <v>0</v>
      </c>
      <c r="P68" s="231"/>
      <c r="Q68" s="225">
        <v>16</v>
      </c>
      <c r="R68" s="219">
        <v>9</v>
      </c>
      <c r="S68" s="225">
        <f t="shared" si="2"/>
        <v>-19</v>
      </c>
      <c r="T68" s="231"/>
      <c r="U68" s="226">
        <f t="shared" ref="U68:U78" si="12">C68*F68</f>
        <v>0</v>
      </c>
      <c r="V68" s="227">
        <v>0</v>
      </c>
      <c r="W68" s="226">
        <f t="shared" si="4"/>
        <v>2626.4</v>
      </c>
      <c r="X68" s="226">
        <f t="shared" si="5"/>
        <v>0</v>
      </c>
      <c r="Y68" s="226">
        <f t="shared" si="6"/>
        <v>562.79999999999995</v>
      </c>
      <c r="Z68" s="226">
        <f t="shared" si="7"/>
        <v>0</v>
      </c>
      <c r="AA68" s="226">
        <f t="shared" si="8"/>
        <v>2063.6000000000004</v>
      </c>
    </row>
    <row r="69" spans="1:27" ht="15" x14ac:dyDescent="0.25">
      <c r="A69" s="215">
        <v>2220020</v>
      </c>
      <c r="B69" s="268" t="s">
        <v>30</v>
      </c>
      <c r="C69" s="216">
        <v>75</v>
      </c>
      <c r="D69" s="216">
        <v>75</v>
      </c>
      <c r="E69" s="217" t="s">
        <v>137</v>
      </c>
      <c r="F69" s="218">
        <v>5.773159728050814E-15</v>
      </c>
      <c r="G69" s="319">
        <v>46.1</v>
      </c>
      <c r="H69" s="220">
        <v>0</v>
      </c>
      <c r="I69" s="321">
        <v>46.1</v>
      </c>
      <c r="J69" s="222">
        <v>0</v>
      </c>
      <c r="K69" s="292">
        <f t="shared" si="0"/>
        <v>7.1054273576010019E-15</v>
      </c>
      <c r="L69" s="292"/>
      <c r="M69" s="292"/>
      <c r="N69" s="237">
        <v>1.34</v>
      </c>
      <c r="O69" s="224">
        <f t="shared" si="1"/>
        <v>1.339999999999993</v>
      </c>
      <c r="P69" s="231"/>
      <c r="Q69" s="225">
        <v>1.7499999999999964</v>
      </c>
      <c r="R69" s="219">
        <v>15.5</v>
      </c>
      <c r="S69" s="225">
        <f t="shared" si="2"/>
        <v>-30.6</v>
      </c>
      <c r="T69" s="231"/>
      <c r="U69" s="226">
        <f t="shared" si="12"/>
        <v>4.3298697960381105E-13</v>
      </c>
      <c r="V69" s="227">
        <v>0</v>
      </c>
      <c r="W69" s="226">
        <f t="shared" si="4"/>
        <v>3457.5</v>
      </c>
      <c r="X69" s="226">
        <f t="shared" si="5"/>
        <v>0</v>
      </c>
      <c r="Y69" s="226">
        <f t="shared" si="6"/>
        <v>3457.5</v>
      </c>
      <c r="Z69" s="226">
        <f t="shared" si="7"/>
        <v>0</v>
      </c>
      <c r="AA69" s="226">
        <f t="shared" si="8"/>
        <v>4.5474735088646412E-13</v>
      </c>
    </row>
    <row r="70" spans="1:27" ht="30" x14ac:dyDescent="0.25">
      <c r="A70" s="215">
        <v>2220055</v>
      </c>
      <c r="B70" s="271" t="s">
        <v>178</v>
      </c>
      <c r="C70" s="216">
        <v>1120</v>
      </c>
      <c r="D70" s="216">
        <v>1120</v>
      </c>
      <c r="E70" s="217" t="s">
        <v>135</v>
      </c>
      <c r="F70" s="218">
        <v>0</v>
      </c>
      <c r="G70" s="319">
        <v>10</v>
      </c>
      <c r="H70" s="220">
        <v>0</v>
      </c>
      <c r="I70" s="325">
        <v>7</v>
      </c>
      <c r="J70" s="222">
        <v>0</v>
      </c>
      <c r="K70" s="292">
        <f t="shared" si="0"/>
        <v>3</v>
      </c>
      <c r="L70" s="292"/>
      <c r="M70" s="292"/>
      <c r="N70" s="237">
        <v>3</v>
      </c>
      <c r="O70" s="224">
        <f t="shared" si="1"/>
        <v>0</v>
      </c>
      <c r="P70" s="231"/>
      <c r="Q70" s="225">
        <v>5</v>
      </c>
      <c r="R70" s="219">
        <v>1</v>
      </c>
      <c r="S70" s="225">
        <f t="shared" si="2"/>
        <v>-9</v>
      </c>
      <c r="T70" s="231"/>
      <c r="U70" s="226">
        <f t="shared" si="12"/>
        <v>0</v>
      </c>
      <c r="V70" s="227">
        <v>0</v>
      </c>
      <c r="W70" s="226">
        <f t="shared" si="4"/>
        <v>11200</v>
      </c>
      <c r="X70" s="226">
        <f t="shared" si="5"/>
        <v>0</v>
      </c>
      <c r="Y70" s="226">
        <f t="shared" si="6"/>
        <v>7840</v>
      </c>
      <c r="Z70" s="226">
        <f t="shared" si="7"/>
        <v>0</v>
      </c>
      <c r="AA70" s="226">
        <f t="shared" si="8"/>
        <v>3360</v>
      </c>
    </row>
    <row r="71" spans="1:27" ht="27.75" customHeight="1" x14ac:dyDescent="0.25">
      <c r="A71" s="215">
        <v>2220067</v>
      </c>
      <c r="B71" s="269" t="s">
        <v>179</v>
      </c>
      <c r="C71" s="216">
        <v>565.5</v>
      </c>
      <c r="D71" s="216">
        <v>565.5</v>
      </c>
      <c r="E71" s="217" t="s">
        <v>133</v>
      </c>
      <c r="F71" s="218">
        <v>5</v>
      </c>
      <c r="G71" s="219">
        <v>0</v>
      </c>
      <c r="H71" s="220">
        <v>0</v>
      </c>
      <c r="I71" s="221">
        <v>0</v>
      </c>
      <c r="J71" s="222">
        <v>0</v>
      </c>
      <c r="K71" s="292">
        <f t="shared" si="0"/>
        <v>5</v>
      </c>
      <c r="L71" s="292"/>
      <c r="M71" s="292"/>
      <c r="N71" s="237">
        <v>3</v>
      </c>
      <c r="O71" s="224">
        <f t="shared" si="1"/>
        <v>-2</v>
      </c>
      <c r="P71" s="231"/>
      <c r="Q71" s="225">
        <v>5</v>
      </c>
      <c r="R71" s="219">
        <v>0</v>
      </c>
      <c r="S71" s="225">
        <f t="shared" si="2"/>
        <v>0</v>
      </c>
      <c r="T71" s="231"/>
      <c r="U71" s="226">
        <f t="shared" si="12"/>
        <v>2827.5</v>
      </c>
      <c r="V71" s="227">
        <v>0</v>
      </c>
      <c r="W71" s="226">
        <f t="shared" si="4"/>
        <v>0</v>
      </c>
      <c r="X71" s="226">
        <f t="shared" si="5"/>
        <v>0</v>
      </c>
      <c r="Y71" s="226">
        <f t="shared" si="6"/>
        <v>0</v>
      </c>
      <c r="Z71" s="226">
        <f t="shared" si="7"/>
        <v>0</v>
      </c>
      <c r="AA71" s="226">
        <f t="shared" si="8"/>
        <v>2827.5</v>
      </c>
    </row>
    <row r="72" spans="1:27" ht="15" x14ac:dyDescent="0.25">
      <c r="A72" s="234">
        <v>2220073</v>
      </c>
      <c r="B72" s="269" t="s">
        <v>180</v>
      </c>
      <c r="C72" s="216">
        <v>306.82</v>
      </c>
      <c r="D72" s="216">
        <v>306.82</v>
      </c>
      <c r="E72" s="217" t="s">
        <v>133</v>
      </c>
      <c r="F72" s="218">
        <v>5</v>
      </c>
      <c r="G72" s="219">
        <v>0</v>
      </c>
      <c r="H72" s="220">
        <v>0</v>
      </c>
      <c r="I72" s="221">
        <v>0</v>
      </c>
      <c r="J72" s="222">
        <v>0</v>
      </c>
      <c r="K72" s="292">
        <f t="shared" ref="K72:K115" si="13">F72+G72+H72-I72-J72</f>
        <v>5</v>
      </c>
      <c r="L72" s="292"/>
      <c r="M72" s="292"/>
      <c r="N72" s="237">
        <v>5</v>
      </c>
      <c r="O72" s="224">
        <f t="shared" ref="O72:O115" si="14">N72-K72</f>
        <v>0</v>
      </c>
      <c r="P72" s="231"/>
      <c r="Q72" s="225">
        <v>5</v>
      </c>
      <c r="R72" s="308">
        <v>0</v>
      </c>
      <c r="S72" s="225">
        <f t="shared" ref="S72:S115" si="15">R72-G72</f>
        <v>0</v>
      </c>
      <c r="T72" s="231"/>
      <c r="U72" s="226">
        <f t="shared" si="12"/>
        <v>1534.1</v>
      </c>
      <c r="V72" s="227">
        <v>0</v>
      </c>
      <c r="W72" s="226">
        <f t="shared" ref="W72:W115" si="16">G72*D72</f>
        <v>0</v>
      </c>
      <c r="X72" s="226">
        <f t="shared" ref="X72:X111" si="17">H72*D72</f>
        <v>0</v>
      </c>
      <c r="Y72" s="226">
        <f t="shared" ref="Y72:Y115" si="18">I72*D72</f>
        <v>0</v>
      </c>
      <c r="Z72" s="226">
        <f t="shared" ref="Z72:Z111" si="19">J72*D72</f>
        <v>0</v>
      </c>
      <c r="AA72" s="226">
        <f t="shared" ref="AA72:AA111" si="20">U72+V72+W72+X72-Y72-Z72</f>
        <v>1534.1</v>
      </c>
    </row>
    <row r="73" spans="1:27" ht="15" x14ac:dyDescent="0.25">
      <c r="A73" s="215">
        <v>2220141</v>
      </c>
      <c r="B73" s="271" t="s">
        <v>181</v>
      </c>
      <c r="C73" s="216">
        <v>700</v>
      </c>
      <c r="D73" s="216">
        <v>700</v>
      </c>
      <c r="E73" s="217" t="s">
        <v>135</v>
      </c>
      <c r="F73" s="218">
        <v>0</v>
      </c>
      <c r="G73" s="319">
        <v>82</v>
      </c>
      <c r="H73" s="220">
        <v>0</v>
      </c>
      <c r="I73" s="325">
        <v>79</v>
      </c>
      <c r="J73" s="222">
        <v>0</v>
      </c>
      <c r="K73" s="292">
        <f t="shared" si="13"/>
        <v>3</v>
      </c>
      <c r="L73" s="292"/>
      <c r="M73" s="292"/>
      <c r="N73" s="237">
        <v>6</v>
      </c>
      <c r="O73" s="224">
        <f t="shared" si="14"/>
        <v>3</v>
      </c>
      <c r="P73" s="231"/>
      <c r="Q73" s="225">
        <v>6</v>
      </c>
      <c r="R73" s="308">
        <v>25</v>
      </c>
      <c r="S73" s="225">
        <f t="shared" si="15"/>
        <v>-57</v>
      </c>
      <c r="T73" s="231"/>
      <c r="U73" s="226">
        <f t="shared" si="12"/>
        <v>0</v>
      </c>
      <c r="V73" s="227">
        <v>0</v>
      </c>
      <c r="W73" s="226">
        <f t="shared" si="16"/>
        <v>57400</v>
      </c>
      <c r="X73" s="226">
        <f t="shared" si="17"/>
        <v>0</v>
      </c>
      <c r="Y73" s="226">
        <f t="shared" si="18"/>
        <v>55300</v>
      </c>
      <c r="Z73" s="226">
        <f t="shared" si="19"/>
        <v>0</v>
      </c>
      <c r="AA73" s="226">
        <f t="shared" si="20"/>
        <v>2100</v>
      </c>
    </row>
    <row r="74" spans="1:27" ht="15" x14ac:dyDescent="0.25">
      <c r="A74" s="234">
        <v>2220056</v>
      </c>
      <c r="B74" s="269" t="s">
        <v>182</v>
      </c>
      <c r="C74" s="216">
        <v>800</v>
      </c>
      <c r="D74" s="216">
        <v>800</v>
      </c>
      <c r="E74" s="217" t="s">
        <v>135</v>
      </c>
      <c r="F74" s="218">
        <v>0</v>
      </c>
      <c r="G74" s="219">
        <v>0</v>
      </c>
      <c r="H74" s="220">
        <v>0</v>
      </c>
      <c r="I74" s="221">
        <v>0</v>
      </c>
      <c r="J74" s="222">
        <v>0</v>
      </c>
      <c r="K74" s="292">
        <f t="shared" si="13"/>
        <v>0</v>
      </c>
      <c r="L74" s="292"/>
      <c r="M74" s="292"/>
      <c r="N74" s="237">
        <v>0</v>
      </c>
      <c r="O74" s="224">
        <f t="shared" si="14"/>
        <v>0</v>
      </c>
      <c r="P74" s="231"/>
      <c r="Q74" s="225">
        <v>0</v>
      </c>
      <c r="R74" s="308">
        <v>0</v>
      </c>
      <c r="S74" s="225">
        <f t="shared" si="15"/>
        <v>0</v>
      </c>
      <c r="T74" s="231"/>
      <c r="U74" s="226">
        <f t="shared" si="12"/>
        <v>0</v>
      </c>
      <c r="V74" s="227">
        <v>0</v>
      </c>
      <c r="W74" s="226">
        <f t="shared" si="16"/>
        <v>0</v>
      </c>
      <c r="X74" s="226">
        <f t="shared" si="17"/>
        <v>0</v>
      </c>
      <c r="Y74" s="226">
        <f t="shared" si="18"/>
        <v>0</v>
      </c>
      <c r="Z74" s="226">
        <f t="shared" si="19"/>
        <v>0</v>
      </c>
      <c r="AA74" s="226">
        <f t="shared" si="20"/>
        <v>0</v>
      </c>
    </row>
    <row r="75" spans="1:27" ht="31.5" customHeight="1" x14ac:dyDescent="0.25">
      <c r="A75" s="215">
        <v>2220142</v>
      </c>
      <c r="B75" s="271" t="s">
        <v>183</v>
      </c>
      <c r="C75" s="216">
        <v>650</v>
      </c>
      <c r="D75" s="216">
        <v>650</v>
      </c>
      <c r="E75" s="217" t="s">
        <v>135</v>
      </c>
      <c r="F75" s="218">
        <v>0</v>
      </c>
      <c r="G75" s="319">
        <v>0</v>
      </c>
      <c r="H75" s="220">
        <v>0</v>
      </c>
      <c r="I75" s="325">
        <v>0</v>
      </c>
      <c r="J75" s="222">
        <v>0</v>
      </c>
      <c r="K75" s="292">
        <f t="shared" si="13"/>
        <v>0</v>
      </c>
      <c r="L75" s="292"/>
      <c r="M75" s="292"/>
      <c r="N75" s="237">
        <v>0</v>
      </c>
      <c r="O75" s="224">
        <f t="shared" si="14"/>
        <v>0</v>
      </c>
      <c r="P75" s="231"/>
      <c r="Q75" s="225">
        <v>0</v>
      </c>
      <c r="R75" s="308">
        <v>0</v>
      </c>
      <c r="S75" s="225">
        <f t="shared" si="15"/>
        <v>0</v>
      </c>
      <c r="T75" s="231"/>
      <c r="U75" s="226">
        <f t="shared" si="12"/>
        <v>0</v>
      </c>
      <c r="V75" s="227">
        <v>0</v>
      </c>
      <c r="W75" s="226">
        <f t="shared" si="16"/>
        <v>0</v>
      </c>
      <c r="X75" s="226">
        <f t="shared" si="17"/>
        <v>0</v>
      </c>
      <c r="Y75" s="226">
        <f t="shared" si="18"/>
        <v>0</v>
      </c>
      <c r="Z75" s="226">
        <f t="shared" si="19"/>
        <v>0</v>
      </c>
      <c r="AA75" s="226">
        <f t="shared" si="20"/>
        <v>0</v>
      </c>
    </row>
    <row r="76" spans="1:27" ht="15" x14ac:dyDescent="0.25">
      <c r="A76" s="215">
        <v>2220075</v>
      </c>
      <c r="B76" s="269" t="s">
        <v>184</v>
      </c>
      <c r="C76" s="216">
        <v>698.4</v>
      </c>
      <c r="D76" s="216">
        <v>698.4</v>
      </c>
      <c r="E76" s="217" t="s">
        <v>135</v>
      </c>
      <c r="F76" s="218">
        <v>0</v>
      </c>
      <c r="G76" s="219">
        <v>0</v>
      </c>
      <c r="H76" s="220">
        <v>0</v>
      </c>
      <c r="I76" s="221">
        <v>0</v>
      </c>
      <c r="J76" s="222">
        <v>0</v>
      </c>
      <c r="K76" s="292">
        <f t="shared" si="13"/>
        <v>0</v>
      </c>
      <c r="L76" s="292"/>
      <c r="M76" s="292"/>
      <c r="N76" s="237">
        <v>0</v>
      </c>
      <c r="O76" s="224">
        <f t="shared" si="14"/>
        <v>0</v>
      </c>
      <c r="P76" s="231"/>
      <c r="Q76" s="225">
        <v>0</v>
      </c>
      <c r="R76" s="219">
        <v>0</v>
      </c>
      <c r="S76" s="225">
        <f t="shared" si="15"/>
        <v>0</v>
      </c>
      <c r="T76" s="231"/>
      <c r="U76" s="226">
        <f t="shared" si="12"/>
        <v>0</v>
      </c>
      <c r="V76" s="227">
        <v>0</v>
      </c>
      <c r="W76" s="226">
        <f t="shared" si="16"/>
        <v>0</v>
      </c>
      <c r="X76" s="226">
        <f t="shared" si="17"/>
        <v>0</v>
      </c>
      <c r="Y76" s="226">
        <f t="shared" si="18"/>
        <v>0</v>
      </c>
      <c r="Z76" s="226">
        <f t="shared" si="19"/>
        <v>0</v>
      </c>
      <c r="AA76" s="226">
        <f t="shared" si="20"/>
        <v>0</v>
      </c>
    </row>
    <row r="77" spans="1:27" ht="15" x14ac:dyDescent="0.25">
      <c r="A77" s="215">
        <v>2220034</v>
      </c>
      <c r="B77" s="270" t="s">
        <v>185</v>
      </c>
      <c r="C77" s="216">
        <v>62.5</v>
      </c>
      <c r="D77" s="216">
        <v>62.5</v>
      </c>
      <c r="E77" s="217" t="s">
        <v>133</v>
      </c>
      <c r="F77" s="218">
        <v>0</v>
      </c>
      <c r="G77" s="319">
        <v>86</v>
      </c>
      <c r="H77" s="220">
        <v>0</v>
      </c>
      <c r="I77" s="325">
        <v>79</v>
      </c>
      <c r="J77" s="222">
        <v>0</v>
      </c>
      <c r="K77" s="292">
        <f t="shared" si="13"/>
        <v>7</v>
      </c>
      <c r="L77" s="292"/>
      <c r="M77" s="292"/>
      <c r="N77" s="237">
        <v>7</v>
      </c>
      <c r="O77" s="224">
        <f t="shared" si="14"/>
        <v>0</v>
      </c>
      <c r="P77" s="231"/>
      <c r="Q77" s="225">
        <v>9</v>
      </c>
      <c r="R77" s="219">
        <v>28</v>
      </c>
      <c r="S77" s="225">
        <f t="shared" si="15"/>
        <v>-58</v>
      </c>
      <c r="T77" s="231"/>
      <c r="U77" s="226">
        <f t="shared" si="12"/>
        <v>0</v>
      </c>
      <c r="V77" s="227">
        <v>0</v>
      </c>
      <c r="W77" s="226">
        <f t="shared" si="16"/>
        <v>5375</v>
      </c>
      <c r="X77" s="226">
        <f t="shared" si="17"/>
        <v>0</v>
      </c>
      <c r="Y77" s="226">
        <f t="shared" si="18"/>
        <v>4937.5</v>
      </c>
      <c r="Z77" s="226">
        <f t="shared" si="19"/>
        <v>0</v>
      </c>
      <c r="AA77" s="226">
        <f t="shared" si="20"/>
        <v>437.5</v>
      </c>
    </row>
    <row r="78" spans="1:27" ht="15" x14ac:dyDescent="0.25">
      <c r="A78" s="215">
        <v>2220033</v>
      </c>
      <c r="B78" s="270" t="s">
        <v>186</v>
      </c>
      <c r="C78" s="216">
        <v>72.400000000000006</v>
      </c>
      <c r="D78" s="216">
        <v>72.400000000000006</v>
      </c>
      <c r="E78" s="217" t="s">
        <v>133</v>
      </c>
      <c r="F78" s="218">
        <v>0</v>
      </c>
      <c r="G78" s="319">
        <v>86</v>
      </c>
      <c r="H78" s="220">
        <v>0</v>
      </c>
      <c r="I78" s="325">
        <v>84</v>
      </c>
      <c r="J78" s="222">
        <v>0</v>
      </c>
      <c r="K78" s="292">
        <f t="shared" si="13"/>
        <v>2</v>
      </c>
      <c r="L78" s="292"/>
      <c r="M78" s="292"/>
      <c r="N78" s="237">
        <v>4</v>
      </c>
      <c r="O78" s="224">
        <f t="shared" si="14"/>
        <v>2</v>
      </c>
      <c r="P78" s="231"/>
      <c r="Q78" s="225">
        <v>6</v>
      </c>
      <c r="R78" s="219">
        <v>28</v>
      </c>
      <c r="S78" s="225">
        <f t="shared" si="15"/>
        <v>-58</v>
      </c>
      <c r="T78" s="231"/>
      <c r="U78" s="226">
        <f t="shared" si="12"/>
        <v>0</v>
      </c>
      <c r="V78" s="227">
        <v>0</v>
      </c>
      <c r="W78" s="226">
        <f t="shared" si="16"/>
        <v>6226.4000000000005</v>
      </c>
      <c r="X78" s="226">
        <f t="shared" si="17"/>
        <v>0</v>
      </c>
      <c r="Y78" s="226">
        <f t="shared" si="18"/>
        <v>6081.6</v>
      </c>
      <c r="Z78" s="226">
        <f t="shared" si="19"/>
        <v>0</v>
      </c>
      <c r="AA78" s="226">
        <f t="shared" si="20"/>
        <v>144.80000000000018</v>
      </c>
    </row>
    <row r="79" spans="1:27" ht="15" x14ac:dyDescent="0.25">
      <c r="A79" s="215">
        <v>2220021</v>
      </c>
      <c r="B79" s="268" t="s">
        <v>31</v>
      </c>
      <c r="C79" s="216">
        <v>41.2</v>
      </c>
      <c r="D79" s="216">
        <v>41.2</v>
      </c>
      <c r="E79" s="217" t="s">
        <v>137</v>
      </c>
      <c r="F79" s="218">
        <v>-2.8421709430404007E-14</v>
      </c>
      <c r="G79" s="319">
        <v>345.5</v>
      </c>
      <c r="H79" s="220">
        <v>0</v>
      </c>
      <c r="I79" s="321">
        <v>346.2</v>
      </c>
      <c r="J79" s="222">
        <v>0</v>
      </c>
      <c r="K79" s="292">
        <f t="shared" si="13"/>
        <v>-0.69999999999998863</v>
      </c>
      <c r="L79" s="292"/>
      <c r="M79" s="292"/>
      <c r="N79" s="237">
        <v>4</v>
      </c>
      <c r="O79" s="224">
        <f t="shared" si="14"/>
        <v>4.6999999999999886</v>
      </c>
      <c r="P79" s="231"/>
      <c r="Q79" s="225">
        <v>11.649999999999991</v>
      </c>
      <c r="R79" s="219">
        <v>116.15</v>
      </c>
      <c r="S79" s="225">
        <f t="shared" si="15"/>
        <v>-229.35</v>
      </c>
      <c r="T79" s="231"/>
      <c r="U79" s="226">
        <v>0</v>
      </c>
      <c r="V79" s="227">
        <v>0</v>
      </c>
      <c r="W79" s="226">
        <f t="shared" si="16"/>
        <v>14234.6</v>
      </c>
      <c r="X79" s="226">
        <f t="shared" si="17"/>
        <v>0</v>
      </c>
      <c r="Y79" s="226">
        <f t="shared" si="18"/>
        <v>14263.44</v>
      </c>
      <c r="Z79" s="226">
        <f t="shared" si="19"/>
        <v>0</v>
      </c>
      <c r="AA79" s="226">
        <f t="shared" si="20"/>
        <v>-28.840000000000146</v>
      </c>
    </row>
    <row r="80" spans="1:27" ht="15" x14ac:dyDescent="0.25">
      <c r="A80" s="238">
        <v>2220147</v>
      </c>
      <c r="B80" s="274" t="s">
        <v>187</v>
      </c>
      <c r="C80" s="239">
        <v>12</v>
      </c>
      <c r="D80" s="239">
        <v>12</v>
      </c>
      <c r="E80" s="240" t="s">
        <v>133</v>
      </c>
      <c r="F80" s="241">
        <v>0</v>
      </c>
      <c r="G80" s="219">
        <v>0</v>
      </c>
      <c r="H80" s="220">
        <v>0</v>
      </c>
      <c r="I80" s="221">
        <v>0</v>
      </c>
      <c r="J80" s="222">
        <v>0</v>
      </c>
      <c r="K80" s="292">
        <f t="shared" si="13"/>
        <v>0</v>
      </c>
      <c r="L80" s="292"/>
      <c r="M80" s="292"/>
      <c r="N80" s="237">
        <v>0</v>
      </c>
      <c r="O80" s="224">
        <f t="shared" si="14"/>
        <v>0</v>
      </c>
      <c r="P80" s="231"/>
      <c r="Q80" s="229">
        <v>0</v>
      </c>
      <c r="R80" s="219">
        <v>0</v>
      </c>
      <c r="S80" s="225">
        <f t="shared" si="15"/>
        <v>0</v>
      </c>
      <c r="T80" s="231"/>
      <c r="U80" s="226">
        <f>C80*F80</f>
        <v>0</v>
      </c>
      <c r="V80" s="227">
        <v>0</v>
      </c>
      <c r="W80" s="226">
        <f t="shared" si="16"/>
        <v>0</v>
      </c>
      <c r="X80" s="226">
        <f t="shared" si="17"/>
        <v>0</v>
      </c>
      <c r="Y80" s="226">
        <f t="shared" si="18"/>
        <v>0</v>
      </c>
      <c r="Z80" s="226">
        <f t="shared" si="19"/>
        <v>0</v>
      </c>
      <c r="AA80" s="226">
        <f t="shared" si="20"/>
        <v>0</v>
      </c>
    </row>
    <row r="81" spans="1:27" ht="15" x14ac:dyDescent="0.25">
      <c r="A81" s="215">
        <v>2220022</v>
      </c>
      <c r="B81" s="268" t="s">
        <v>78</v>
      </c>
      <c r="C81" s="216">
        <v>140.69999999999999</v>
      </c>
      <c r="D81" s="216">
        <v>140.69999999999999</v>
      </c>
      <c r="E81" s="217" t="s">
        <v>137</v>
      </c>
      <c r="F81" s="218">
        <v>0</v>
      </c>
      <c r="G81" s="319">
        <v>52</v>
      </c>
      <c r="H81" s="220">
        <v>0</v>
      </c>
      <c r="I81" s="321">
        <v>53.41</v>
      </c>
      <c r="J81" s="222">
        <v>0</v>
      </c>
      <c r="K81" s="292">
        <f t="shared" si="13"/>
        <v>-1.4099999999999966</v>
      </c>
      <c r="L81" s="292"/>
      <c r="M81" s="292"/>
      <c r="N81" s="237">
        <v>2</v>
      </c>
      <c r="O81" s="224">
        <f t="shared" si="14"/>
        <v>3.4099999999999966</v>
      </c>
      <c r="P81" s="231"/>
      <c r="Q81" s="225">
        <v>-0.60000000000000142</v>
      </c>
      <c r="R81" s="219">
        <v>16.149999999999999</v>
      </c>
      <c r="S81" s="225">
        <f t="shared" si="15"/>
        <v>-35.85</v>
      </c>
      <c r="T81" s="231"/>
      <c r="U81" s="226">
        <f>C81*F81</f>
        <v>0</v>
      </c>
      <c r="V81" s="227">
        <v>0</v>
      </c>
      <c r="W81" s="226">
        <f t="shared" si="16"/>
        <v>7316.4</v>
      </c>
      <c r="X81" s="226">
        <f t="shared" si="17"/>
        <v>0</v>
      </c>
      <c r="Y81" s="226">
        <f t="shared" si="18"/>
        <v>7514.7869999999994</v>
      </c>
      <c r="Z81" s="226">
        <f t="shared" si="19"/>
        <v>0</v>
      </c>
      <c r="AA81" s="226">
        <f t="shared" si="20"/>
        <v>-198.38699999999972</v>
      </c>
    </row>
    <row r="82" spans="1:27" ht="15" x14ac:dyDescent="0.25">
      <c r="A82" s="215">
        <v>2220023</v>
      </c>
      <c r="B82" s="268" t="s">
        <v>32</v>
      </c>
      <c r="C82" s="216">
        <v>18.2</v>
      </c>
      <c r="D82" s="216">
        <v>18.2</v>
      </c>
      <c r="E82" s="217" t="s">
        <v>131</v>
      </c>
      <c r="F82" s="218">
        <v>0</v>
      </c>
      <c r="G82" s="319">
        <v>87</v>
      </c>
      <c r="H82" s="220">
        <v>0</v>
      </c>
      <c r="I82" s="321">
        <v>89</v>
      </c>
      <c r="J82" s="222">
        <v>0</v>
      </c>
      <c r="K82" s="292">
        <f t="shared" si="13"/>
        <v>-2</v>
      </c>
      <c r="L82" s="292"/>
      <c r="M82" s="292"/>
      <c r="N82" s="237">
        <v>1</v>
      </c>
      <c r="O82" s="224">
        <f t="shared" si="14"/>
        <v>3</v>
      </c>
      <c r="P82" s="231"/>
      <c r="Q82" s="225">
        <v>3</v>
      </c>
      <c r="R82" s="219">
        <v>29</v>
      </c>
      <c r="S82" s="225">
        <f t="shared" si="15"/>
        <v>-58</v>
      </c>
      <c r="T82" s="231"/>
      <c r="U82" s="226">
        <f>C82*F82</f>
        <v>0</v>
      </c>
      <c r="V82" s="227">
        <v>0</v>
      </c>
      <c r="W82" s="226">
        <f t="shared" si="16"/>
        <v>1583.3999999999999</v>
      </c>
      <c r="X82" s="226">
        <f t="shared" si="17"/>
        <v>0</v>
      </c>
      <c r="Y82" s="226">
        <f t="shared" si="18"/>
        <v>1619.8</v>
      </c>
      <c r="Z82" s="226">
        <f t="shared" si="19"/>
        <v>0</v>
      </c>
      <c r="AA82" s="226">
        <f t="shared" si="20"/>
        <v>-36.400000000000091</v>
      </c>
    </row>
    <row r="83" spans="1:27" ht="15" x14ac:dyDescent="0.25">
      <c r="A83" s="215">
        <v>2220024</v>
      </c>
      <c r="B83" s="268" t="s">
        <v>33</v>
      </c>
      <c r="C83" s="216">
        <v>31.3</v>
      </c>
      <c r="D83" s="216">
        <v>31.3</v>
      </c>
      <c r="E83" s="217" t="s">
        <v>137</v>
      </c>
      <c r="F83" s="218">
        <v>-1.0658141036401503E-14</v>
      </c>
      <c r="G83" s="319">
        <v>679</v>
      </c>
      <c r="H83" s="220">
        <v>0</v>
      </c>
      <c r="I83" s="321">
        <v>652.79</v>
      </c>
      <c r="J83" s="222">
        <v>0</v>
      </c>
      <c r="K83" s="292">
        <f t="shared" si="13"/>
        <v>26.210000000000036</v>
      </c>
      <c r="L83" s="292"/>
      <c r="M83" s="292"/>
      <c r="N83" s="237">
        <v>7</v>
      </c>
      <c r="O83" s="224">
        <f t="shared" si="14"/>
        <v>-19.210000000000036</v>
      </c>
      <c r="P83" s="231"/>
      <c r="Q83" s="225">
        <v>23</v>
      </c>
      <c r="R83" s="219">
        <v>212.85</v>
      </c>
      <c r="S83" s="225">
        <f t="shared" si="15"/>
        <v>-466.15</v>
      </c>
      <c r="T83" s="231"/>
      <c r="U83" s="226">
        <v>0</v>
      </c>
      <c r="V83" s="227">
        <v>0</v>
      </c>
      <c r="W83" s="226">
        <f t="shared" si="16"/>
        <v>21252.7</v>
      </c>
      <c r="X83" s="226">
        <f t="shared" si="17"/>
        <v>0</v>
      </c>
      <c r="Y83" s="226">
        <f t="shared" si="18"/>
        <v>20432.327000000001</v>
      </c>
      <c r="Z83" s="226">
        <f t="shared" si="19"/>
        <v>0</v>
      </c>
      <c r="AA83" s="226">
        <f t="shared" si="20"/>
        <v>820.37299999999959</v>
      </c>
    </row>
    <row r="84" spans="1:27" ht="30" x14ac:dyDescent="0.25">
      <c r="A84" s="215">
        <v>2220074</v>
      </c>
      <c r="B84" s="269" t="s">
        <v>188</v>
      </c>
      <c r="C84" s="216">
        <v>312.25</v>
      </c>
      <c r="D84" s="216">
        <v>312.25</v>
      </c>
      <c r="E84" s="217" t="s">
        <v>133</v>
      </c>
      <c r="F84" s="218">
        <v>0</v>
      </c>
      <c r="G84" s="219">
        <v>0</v>
      </c>
      <c r="H84" s="220">
        <v>0</v>
      </c>
      <c r="I84" s="221">
        <v>0</v>
      </c>
      <c r="J84" s="222">
        <v>0</v>
      </c>
      <c r="K84" s="292">
        <f t="shared" si="13"/>
        <v>0</v>
      </c>
      <c r="L84" s="292"/>
      <c r="M84" s="292"/>
      <c r="N84" s="237">
        <v>0</v>
      </c>
      <c r="O84" s="224">
        <f t="shared" si="14"/>
        <v>0</v>
      </c>
      <c r="P84" s="231"/>
      <c r="Q84" s="225">
        <v>0</v>
      </c>
      <c r="R84" s="219">
        <v>0</v>
      </c>
      <c r="S84" s="225">
        <f t="shared" si="15"/>
        <v>0</v>
      </c>
      <c r="T84" s="231"/>
      <c r="U84" s="226">
        <f>C84*F84</f>
        <v>0</v>
      </c>
      <c r="V84" s="227">
        <v>0</v>
      </c>
      <c r="W84" s="226">
        <f t="shared" si="16"/>
        <v>0</v>
      </c>
      <c r="X84" s="226">
        <f t="shared" si="17"/>
        <v>0</v>
      </c>
      <c r="Y84" s="226">
        <f t="shared" si="18"/>
        <v>0</v>
      </c>
      <c r="Z84" s="226">
        <f t="shared" si="19"/>
        <v>0</v>
      </c>
      <c r="AA84" s="226">
        <f t="shared" si="20"/>
        <v>0</v>
      </c>
    </row>
    <row r="85" spans="1:27" ht="15" customHeight="1" x14ac:dyDescent="0.25">
      <c r="A85" s="215">
        <v>2220043</v>
      </c>
      <c r="B85" s="272" t="s">
        <v>189</v>
      </c>
      <c r="C85" s="216">
        <v>125</v>
      </c>
      <c r="D85" s="216">
        <v>125</v>
      </c>
      <c r="E85" s="217" t="s">
        <v>137</v>
      </c>
      <c r="F85" s="218">
        <v>-2.2737367544323206E-13</v>
      </c>
      <c r="G85" s="265">
        <v>4660</v>
      </c>
      <c r="H85" s="220">
        <v>0</v>
      </c>
      <c r="I85" s="284">
        <v>4557.41</v>
      </c>
      <c r="J85" s="222">
        <v>0</v>
      </c>
      <c r="K85" s="292">
        <f t="shared" si="13"/>
        <v>102.59000000000015</v>
      </c>
      <c r="L85" s="292"/>
      <c r="M85" s="292"/>
      <c r="N85" s="237">
        <v>111.12</v>
      </c>
      <c r="O85" s="224">
        <f t="shared" si="14"/>
        <v>8.529999999999859</v>
      </c>
      <c r="P85" s="231"/>
      <c r="Q85" s="225">
        <v>23.0300000000002</v>
      </c>
      <c r="R85" s="219">
        <v>1473.95</v>
      </c>
      <c r="S85" s="225">
        <f t="shared" si="15"/>
        <v>-3186.05</v>
      </c>
      <c r="T85" s="231"/>
      <c r="U85" s="226">
        <v>0</v>
      </c>
      <c r="V85" s="227">
        <v>0</v>
      </c>
      <c r="W85" s="226">
        <f t="shared" si="16"/>
        <v>582500</v>
      </c>
      <c r="X85" s="226">
        <f t="shared" si="17"/>
        <v>0</v>
      </c>
      <c r="Y85" s="226">
        <f t="shared" si="18"/>
        <v>569676.25</v>
      </c>
      <c r="Z85" s="226">
        <f t="shared" si="19"/>
        <v>0</v>
      </c>
      <c r="AA85" s="226">
        <f t="shared" si="20"/>
        <v>12823.75</v>
      </c>
    </row>
    <row r="86" spans="1:27" ht="15" x14ac:dyDescent="0.25">
      <c r="A86" s="234">
        <v>2220083</v>
      </c>
      <c r="B86" s="269" t="s">
        <v>190</v>
      </c>
      <c r="C86" s="216">
        <v>55</v>
      </c>
      <c r="D86" s="216">
        <v>55</v>
      </c>
      <c r="E86" s="217" t="s">
        <v>137</v>
      </c>
      <c r="F86" s="218">
        <v>0</v>
      </c>
      <c r="G86" s="219">
        <v>0</v>
      </c>
      <c r="H86" s="220">
        <v>0</v>
      </c>
      <c r="I86" s="221">
        <v>0</v>
      </c>
      <c r="J86" s="222">
        <v>0</v>
      </c>
      <c r="K86" s="292">
        <f t="shared" si="13"/>
        <v>0</v>
      </c>
      <c r="L86" s="292"/>
      <c r="M86" s="292"/>
      <c r="N86" s="237">
        <v>0</v>
      </c>
      <c r="O86" s="224">
        <f t="shared" si="14"/>
        <v>0</v>
      </c>
      <c r="P86" s="231"/>
      <c r="Q86" s="225">
        <v>0</v>
      </c>
      <c r="R86" s="308">
        <v>0</v>
      </c>
      <c r="S86" s="225">
        <f t="shared" si="15"/>
        <v>0</v>
      </c>
      <c r="T86" s="231"/>
      <c r="U86" s="226">
        <f t="shared" ref="U86:U109" si="21">C86*F86</f>
        <v>0</v>
      </c>
      <c r="V86" s="227">
        <v>0</v>
      </c>
      <c r="W86" s="226">
        <f t="shared" si="16"/>
        <v>0</v>
      </c>
      <c r="X86" s="226">
        <f t="shared" si="17"/>
        <v>0</v>
      </c>
      <c r="Y86" s="226">
        <f t="shared" si="18"/>
        <v>0</v>
      </c>
      <c r="Z86" s="226">
        <f t="shared" si="19"/>
        <v>0</v>
      </c>
      <c r="AA86" s="226">
        <f t="shared" si="20"/>
        <v>0</v>
      </c>
    </row>
    <row r="87" spans="1:27" ht="15" x14ac:dyDescent="0.25">
      <c r="A87" s="215">
        <v>2220143</v>
      </c>
      <c r="B87" s="271" t="s">
        <v>191</v>
      </c>
      <c r="C87" s="216">
        <v>590</v>
      </c>
      <c r="D87" s="216">
        <v>590</v>
      </c>
      <c r="E87" s="217" t="s">
        <v>135</v>
      </c>
      <c r="F87" s="218">
        <v>0</v>
      </c>
      <c r="G87" s="319">
        <v>147</v>
      </c>
      <c r="H87" s="220">
        <v>0</v>
      </c>
      <c r="I87" s="325">
        <v>126</v>
      </c>
      <c r="J87" s="222">
        <v>0</v>
      </c>
      <c r="K87" s="292">
        <f t="shared" si="13"/>
        <v>21</v>
      </c>
      <c r="L87" s="292"/>
      <c r="M87" s="292"/>
      <c r="N87" s="237">
        <v>21</v>
      </c>
      <c r="O87" s="224">
        <f t="shared" si="14"/>
        <v>0</v>
      </c>
      <c r="P87" s="231"/>
      <c r="Q87" s="225">
        <v>15</v>
      </c>
      <c r="R87" s="308">
        <v>46</v>
      </c>
      <c r="S87" s="225">
        <f t="shared" si="15"/>
        <v>-101</v>
      </c>
      <c r="T87" s="231"/>
      <c r="U87" s="226">
        <f t="shared" si="21"/>
        <v>0</v>
      </c>
      <c r="V87" s="227">
        <v>0</v>
      </c>
      <c r="W87" s="226">
        <f t="shared" si="16"/>
        <v>86730</v>
      </c>
      <c r="X87" s="226">
        <f t="shared" si="17"/>
        <v>0</v>
      </c>
      <c r="Y87" s="226">
        <f t="shared" si="18"/>
        <v>74340</v>
      </c>
      <c r="Z87" s="226">
        <f t="shared" si="19"/>
        <v>0</v>
      </c>
      <c r="AA87" s="226">
        <f t="shared" si="20"/>
        <v>12390</v>
      </c>
    </row>
    <row r="88" spans="1:27" ht="15" x14ac:dyDescent="0.25">
      <c r="A88" s="215">
        <v>2220057</v>
      </c>
      <c r="B88" s="269" t="s">
        <v>192</v>
      </c>
      <c r="C88" s="216">
        <v>650</v>
      </c>
      <c r="D88" s="216">
        <v>650</v>
      </c>
      <c r="E88" s="217" t="s">
        <v>135</v>
      </c>
      <c r="F88" s="218">
        <v>0</v>
      </c>
      <c r="G88" s="219">
        <v>0</v>
      </c>
      <c r="H88" s="220">
        <v>0</v>
      </c>
      <c r="I88" s="221">
        <v>0</v>
      </c>
      <c r="J88" s="222">
        <v>0</v>
      </c>
      <c r="K88" s="292">
        <f t="shared" si="13"/>
        <v>0</v>
      </c>
      <c r="L88" s="292"/>
      <c r="M88" s="292"/>
      <c r="N88" s="237">
        <v>0</v>
      </c>
      <c r="O88" s="224">
        <f t="shared" si="14"/>
        <v>0</v>
      </c>
      <c r="P88" s="231"/>
      <c r="Q88" s="225">
        <v>0</v>
      </c>
      <c r="R88" s="219">
        <v>0</v>
      </c>
      <c r="S88" s="225">
        <f t="shared" si="15"/>
        <v>0</v>
      </c>
      <c r="T88" s="231"/>
      <c r="U88" s="226">
        <f t="shared" si="21"/>
        <v>0</v>
      </c>
      <c r="V88" s="227">
        <v>0</v>
      </c>
      <c r="W88" s="226">
        <f t="shared" si="16"/>
        <v>0</v>
      </c>
      <c r="X88" s="226">
        <f t="shared" si="17"/>
        <v>0</v>
      </c>
      <c r="Y88" s="226">
        <f t="shared" si="18"/>
        <v>0</v>
      </c>
      <c r="Z88" s="226">
        <f t="shared" si="19"/>
        <v>0</v>
      </c>
      <c r="AA88" s="226">
        <f t="shared" si="20"/>
        <v>0</v>
      </c>
    </row>
    <row r="89" spans="1:27" ht="15" x14ac:dyDescent="0.25">
      <c r="A89" s="215">
        <v>2220077</v>
      </c>
      <c r="B89" s="269" t="s">
        <v>193</v>
      </c>
      <c r="C89" s="216">
        <v>156.80000000000001</v>
      </c>
      <c r="D89" s="216">
        <v>156.80000000000001</v>
      </c>
      <c r="E89" s="217" t="s">
        <v>133</v>
      </c>
      <c r="F89" s="218">
        <v>1</v>
      </c>
      <c r="G89" s="219">
        <v>0</v>
      </c>
      <c r="H89" s="220">
        <v>0</v>
      </c>
      <c r="I89" s="221">
        <v>0</v>
      </c>
      <c r="J89" s="222">
        <v>0</v>
      </c>
      <c r="K89" s="292">
        <f t="shared" si="13"/>
        <v>1</v>
      </c>
      <c r="L89" s="292"/>
      <c r="M89" s="292"/>
      <c r="N89" s="237">
        <v>1</v>
      </c>
      <c r="O89" s="224">
        <f t="shared" si="14"/>
        <v>0</v>
      </c>
      <c r="P89" s="231"/>
      <c r="Q89" s="225">
        <v>1</v>
      </c>
      <c r="R89" s="219">
        <v>0</v>
      </c>
      <c r="S89" s="225">
        <f t="shared" si="15"/>
        <v>0</v>
      </c>
      <c r="T89" s="231"/>
      <c r="U89" s="226">
        <f t="shared" si="21"/>
        <v>156.80000000000001</v>
      </c>
      <c r="V89" s="227">
        <v>0</v>
      </c>
      <c r="W89" s="226">
        <f t="shared" si="16"/>
        <v>0</v>
      </c>
      <c r="X89" s="226">
        <f t="shared" si="17"/>
        <v>0</v>
      </c>
      <c r="Y89" s="226">
        <f t="shared" si="18"/>
        <v>0</v>
      </c>
      <c r="Z89" s="226">
        <f t="shared" si="19"/>
        <v>0</v>
      </c>
      <c r="AA89" s="226">
        <f t="shared" si="20"/>
        <v>156.80000000000001</v>
      </c>
    </row>
    <row r="90" spans="1:27" ht="15" x14ac:dyDescent="0.25">
      <c r="A90" s="215">
        <v>2220058</v>
      </c>
      <c r="B90" s="271" t="s">
        <v>194</v>
      </c>
      <c r="C90" s="216">
        <v>730</v>
      </c>
      <c r="D90" s="216">
        <v>730</v>
      </c>
      <c r="E90" s="217" t="s">
        <v>135</v>
      </c>
      <c r="F90" s="218">
        <v>0</v>
      </c>
      <c r="G90" s="319">
        <v>13</v>
      </c>
      <c r="H90" s="220">
        <v>0</v>
      </c>
      <c r="I90" s="325">
        <v>11</v>
      </c>
      <c r="J90" s="222">
        <v>0</v>
      </c>
      <c r="K90" s="292">
        <f t="shared" si="13"/>
        <v>2</v>
      </c>
      <c r="L90" s="292"/>
      <c r="M90" s="292"/>
      <c r="N90" s="237">
        <v>2</v>
      </c>
      <c r="O90" s="224">
        <f t="shared" si="14"/>
        <v>0</v>
      </c>
      <c r="P90" s="231"/>
      <c r="Q90" s="225">
        <v>2</v>
      </c>
      <c r="R90" s="219">
        <v>4</v>
      </c>
      <c r="S90" s="225">
        <f t="shared" si="15"/>
        <v>-9</v>
      </c>
      <c r="T90" s="231"/>
      <c r="U90" s="226">
        <f t="shared" si="21"/>
        <v>0</v>
      </c>
      <c r="V90" s="227">
        <v>0</v>
      </c>
      <c r="W90" s="226">
        <f t="shared" si="16"/>
        <v>9490</v>
      </c>
      <c r="X90" s="226">
        <f t="shared" si="17"/>
        <v>0</v>
      </c>
      <c r="Y90" s="226">
        <f t="shared" si="18"/>
        <v>8030</v>
      </c>
      <c r="Z90" s="226">
        <f t="shared" si="19"/>
        <v>0</v>
      </c>
      <c r="AA90" s="226">
        <f t="shared" si="20"/>
        <v>1460</v>
      </c>
    </row>
    <row r="91" spans="1:27" ht="15" x14ac:dyDescent="0.25">
      <c r="A91" s="215">
        <v>2220133</v>
      </c>
      <c r="B91" s="269" t="s">
        <v>195</v>
      </c>
      <c r="C91" s="216">
        <v>215.18</v>
      </c>
      <c r="D91" s="216">
        <v>215.18</v>
      </c>
      <c r="E91" s="217" t="s">
        <v>133</v>
      </c>
      <c r="F91" s="218">
        <v>0</v>
      </c>
      <c r="G91" s="219">
        <v>0</v>
      </c>
      <c r="H91" s="220">
        <v>0</v>
      </c>
      <c r="I91" s="221">
        <v>0</v>
      </c>
      <c r="J91" s="222">
        <v>0</v>
      </c>
      <c r="K91" s="292">
        <f t="shared" si="13"/>
        <v>0</v>
      </c>
      <c r="L91" s="292"/>
      <c r="M91" s="292"/>
      <c r="N91" s="237">
        <v>0</v>
      </c>
      <c r="O91" s="224">
        <f t="shared" si="14"/>
        <v>0</v>
      </c>
      <c r="P91" s="231"/>
      <c r="Q91" s="225">
        <v>0</v>
      </c>
      <c r="R91" s="219">
        <v>0</v>
      </c>
      <c r="S91" s="225">
        <f t="shared" si="15"/>
        <v>0</v>
      </c>
      <c r="T91" s="231"/>
      <c r="U91" s="226">
        <f t="shared" si="21"/>
        <v>0</v>
      </c>
      <c r="V91" s="227">
        <v>0</v>
      </c>
      <c r="W91" s="226">
        <f t="shared" si="16"/>
        <v>0</v>
      </c>
      <c r="X91" s="226">
        <f t="shared" si="17"/>
        <v>0</v>
      </c>
      <c r="Y91" s="226">
        <f t="shared" si="18"/>
        <v>0</v>
      </c>
      <c r="Z91" s="226">
        <f t="shared" si="19"/>
        <v>0</v>
      </c>
      <c r="AA91" s="226">
        <f t="shared" si="20"/>
        <v>0</v>
      </c>
    </row>
    <row r="92" spans="1:27" ht="15" x14ac:dyDescent="0.25">
      <c r="A92" s="215">
        <v>2220088</v>
      </c>
      <c r="B92" s="269" t="s">
        <v>196</v>
      </c>
      <c r="C92" s="216">
        <v>160</v>
      </c>
      <c r="D92" s="216">
        <v>160</v>
      </c>
      <c r="E92" s="217" t="s">
        <v>137</v>
      </c>
      <c r="F92" s="218">
        <v>0</v>
      </c>
      <c r="G92" s="219">
        <v>0</v>
      </c>
      <c r="H92" s="220">
        <v>0</v>
      </c>
      <c r="I92" s="221">
        <v>0</v>
      </c>
      <c r="J92" s="222">
        <v>0</v>
      </c>
      <c r="K92" s="292">
        <f t="shared" si="13"/>
        <v>0</v>
      </c>
      <c r="L92" s="292"/>
      <c r="M92" s="292"/>
      <c r="N92" s="237">
        <v>0</v>
      </c>
      <c r="O92" s="224">
        <f t="shared" si="14"/>
        <v>0</v>
      </c>
      <c r="P92" s="231"/>
      <c r="Q92" s="225">
        <v>0</v>
      </c>
      <c r="R92" s="219">
        <v>0</v>
      </c>
      <c r="S92" s="225">
        <f t="shared" si="15"/>
        <v>0</v>
      </c>
      <c r="T92" s="231"/>
      <c r="U92" s="226">
        <f t="shared" si="21"/>
        <v>0</v>
      </c>
      <c r="V92" s="227">
        <v>0</v>
      </c>
      <c r="W92" s="226">
        <f t="shared" si="16"/>
        <v>0</v>
      </c>
      <c r="X92" s="226">
        <f t="shared" si="17"/>
        <v>0</v>
      </c>
      <c r="Y92" s="226">
        <f t="shared" si="18"/>
        <v>0</v>
      </c>
      <c r="Z92" s="226">
        <f t="shared" si="19"/>
        <v>0</v>
      </c>
      <c r="AA92" s="226">
        <f t="shared" si="20"/>
        <v>0</v>
      </c>
    </row>
    <row r="93" spans="1:27" ht="15" x14ac:dyDescent="0.25">
      <c r="A93" s="215">
        <v>2220087</v>
      </c>
      <c r="B93" s="269" t="s">
        <v>197</v>
      </c>
      <c r="C93" s="216">
        <v>830</v>
      </c>
      <c r="D93" s="216">
        <v>830</v>
      </c>
      <c r="E93" s="217" t="s">
        <v>133</v>
      </c>
      <c r="F93" s="218">
        <v>0</v>
      </c>
      <c r="G93" s="219">
        <v>0</v>
      </c>
      <c r="H93" s="220">
        <v>0</v>
      </c>
      <c r="I93" s="221">
        <v>0</v>
      </c>
      <c r="J93" s="222">
        <v>0</v>
      </c>
      <c r="K93" s="292">
        <f t="shared" si="13"/>
        <v>0</v>
      </c>
      <c r="L93" s="292"/>
      <c r="M93" s="292"/>
      <c r="N93" s="237">
        <v>0</v>
      </c>
      <c r="O93" s="224">
        <f t="shared" si="14"/>
        <v>0</v>
      </c>
      <c r="P93" s="231"/>
      <c r="Q93" s="225">
        <v>0</v>
      </c>
      <c r="R93" s="219">
        <v>0</v>
      </c>
      <c r="S93" s="225">
        <f t="shared" si="15"/>
        <v>0</v>
      </c>
      <c r="T93" s="231"/>
      <c r="U93" s="226">
        <f t="shared" si="21"/>
        <v>0</v>
      </c>
      <c r="V93" s="227">
        <v>0</v>
      </c>
      <c r="W93" s="226">
        <f t="shared" si="16"/>
        <v>0</v>
      </c>
      <c r="X93" s="226">
        <f t="shared" si="17"/>
        <v>0</v>
      </c>
      <c r="Y93" s="226">
        <f t="shared" si="18"/>
        <v>0</v>
      </c>
      <c r="Z93" s="226">
        <f t="shared" si="19"/>
        <v>0</v>
      </c>
      <c r="AA93" s="226">
        <f t="shared" si="20"/>
        <v>0</v>
      </c>
    </row>
    <row r="94" spans="1:27" ht="15" x14ac:dyDescent="0.25">
      <c r="A94" s="215">
        <v>2220132</v>
      </c>
      <c r="B94" s="269" t="s">
        <v>198</v>
      </c>
      <c r="C94" s="216">
        <v>239</v>
      </c>
      <c r="D94" s="216">
        <v>239</v>
      </c>
      <c r="E94" s="217" t="s">
        <v>135</v>
      </c>
      <c r="F94" s="218">
        <v>0</v>
      </c>
      <c r="G94" s="219">
        <v>0</v>
      </c>
      <c r="H94" s="220">
        <v>0</v>
      </c>
      <c r="I94" s="221">
        <v>0</v>
      </c>
      <c r="J94" s="222">
        <v>0</v>
      </c>
      <c r="K94" s="292">
        <f t="shared" si="13"/>
        <v>0</v>
      </c>
      <c r="L94" s="292"/>
      <c r="M94" s="292"/>
      <c r="N94" s="237">
        <v>0</v>
      </c>
      <c r="O94" s="224">
        <f t="shared" si="14"/>
        <v>0</v>
      </c>
      <c r="P94" s="231"/>
      <c r="Q94" s="225">
        <v>0</v>
      </c>
      <c r="R94" s="219">
        <v>0</v>
      </c>
      <c r="S94" s="225">
        <f t="shared" si="15"/>
        <v>0</v>
      </c>
      <c r="T94" s="231"/>
      <c r="U94" s="226">
        <f t="shared" si="21"/>
        <v>0</v>
      </c>
      <c r="V94" s="227">
        <v>0</v>
      </c>
      <c r="W94" s="226">
        <f t="shared" si="16"/>
        <v>0</v>
      </c>
      <c r="X94" s="226">
        <f t="shared" si="17"/>
        <v>0</v>
      </c>
      <c r="Y94" s="226">
        <f t="shared" si="18"/>
        <v>0</v>
      </c>
      <c r="Z94" s="226">
        <f t="shared" si="19"/>
        <v>0</v>
      </c>
      <c r="AA94" s="226">
        <f t="shared" si="20"/>
        <v>0</v>
      </c>
    </row>
    <row r="95" spans="1:27" ht="15" x14ac:dyDescent="0.25">
      <c r="A95" s="248">
        <v>2220054</v>
      </c>
      <c r="B95" s="271" t="s">
        <v>199</v>
      </c>
      <c r="C95" s="216">
        <v>140</v>
      </c>
      <c r="D95" s="216">
        <v>140</v>
      </c>
      <c r="E95" s="217" t="s">
        <v>135</v>
      </c>
      <c r="F95" s="218">
        <v>0</v>
      </c>
      <c r="G95" s="319">
        <v>0</v>
      </c>
      <c r="H95" s="220">
        <v>0</v>
      </c>
      <c r="I95" s="325">
        <v>0</v>
      </c>
      <c r="J95" s="222">
        <v>0</v>
      </c>
      <c r="K95" s="292">
        <f t="shared" si="13"/>
        <v>0</v>
      </c>
      <c r="L95" s="292"/>
      <c r="M95" s="292"/>
      <c r="N95" s="237">
        <v>0</v>
      </c>
      <c r="O95" s="224">
        <f t="shared" si="14"/>
        <v>0</v>
      </c>
      <c r="P95" s="231"/>
      <c r="Q95" s="225">
        <v>0</v>
      </c>
      <c r="R95" s="219">
        <v>0</v>
      </c>
      <c r="S95" s="225">
        <f t="shared" si="15"/>
        <v>0</v>
      </c>
      <c r="T95" s="231"/>
      <c r="U95" s="226">
        <f t="shared" si="21"/>
        <v>0</v>
      </c>
      <c r="V95" s="227">
        <v>0</v>
      </c>
      <c r="W95" s="226">
        <f t="shared" si="16"/>
        <v>0</v>
      </c>
      <c r="X95" s="226">
        <f t="shared" si="17"/>
        <v>0</v>
      </c>
      <c r="Y95" s="226">
        <f t="shared" si="18"/>
        <v>0</v>
      </c>
      <c r="Z95" s="226">
        <f t="shared" si="19"/>
        <v>0</v>
      </c>
      <c r="AA95" s="226">
        <f t="shared" si="20"/>
        <v>0</v>
      </c>
    </row>
    <row r="96" spans="1:27" ht="15" x14ac:dyDescent="0.25">
      <c r="A96" s="215">
        <v>2220025</v>
      </c>
      <c r="B96" s="268" t="s">
        <v>34</v>
      </c>
      <c r="C96" s="216">
        <v>19.2</v>
      </c>
      <c r="D96" s="216">
        <v>19.2</v>
      </c>
      <c r="E96" s="217" t="s">
        <v>137</v>
      </c>
      <c r="F96" s="218">
        <v>0</v>
      </c>
      <c r="G96" s="319">
        <v>1136.5</v>
      </c>
      <c r="H96" s="220">
        <v>0</v>
      </c>
      <c r="I96" s="321">
        <v>1200.8499999999999</v>
      </c>
      <c r="J96" s="222">
        <v>0</v>
      </c>
      <c r="K96" s="292">
        <f t="shared" si="13"/>
        <v>-64.349999999999909</v>
      </c>
      <c r="L96" s="292"/>
      <c r="M96" s="292"/>
      <c r="N96" s="237">
        <v>14</v>
      </c>
      <c r="O96" s="224">
        <f t="shared" si="14"/>
        <v>78.349999999999909</v>
      </c>
      <c r="P96" s="231"/>
      <c r="Q96" s="225">
        <v>39.350000000000023</v>
      </c>
      <c r="R96" s="219">
        <v>397.1</v>
      </c>
      <c r="S96" s="225">
        <f t="shared" si="15"/>
        <v>-739.4</v>
      </c>
      <c r="T96" s="231"/>
      <c r="U96" s="226">
        <f t="shared" si="21"/>
        <v>0</v>
      </c>
      <c r="V96" s="227">
        <v>0</v>
      </c>
      <c r="W96" s="226">
        <f t="shared" si="16"/>
        <v>21820.799999999999</v>
      </c>
      <c r="X96" s="226">
        <f t="shared" si="17"/>
        <v>0</v>
      </c>
      <c r="Y96" s="226">
        <f t="shared" si="18"/>
        <v>23056.319999999996</v>
      </c>
      <c r="Z96" s="226">
        <f t="shared" si="19"/>
        <v>0</v>
      </c>
      <c r="AA96" s="226">
        <f t="shared" si="20"/>
        <v>-1235.5199999999968</v>
      </c>
    </row>
    <row r="97" spans="1:27" ht="15" x14ac:dyDescent="0.25">
      <c r="A97" s="215">
        <v>2220059</v>
      </c>
      <c r="B97" s="271" t="s">
        <v>200</v>
      </c>
      <c r="C97" s="216">
        <v>1310</v>
      </c>
      <c r="D97" s="216">
        <v>1310</v>
      </c>
      <c r="E97" s="217" t="s">
        <v>135</v>
      </c>
      <c r="F97" s="218">
        <v>0</v>
      </c>
      <c r="G97" s="319">
        <v>5</v>
      </c>
      <c r="H97" s="220">
        <v>0</v>
      </c>
      <c r="I97" s="325">
        <v>4</v>
      </c>
      <c r="J97" s="222">
        <v>0</v>
      </c>
      <c r="K97" s="292">
        <f t="shared" si="13"/>
        <v>1</v>
      </c>
      <c r="L97" s="292"/>
      <c r="M97" s="292"/>
      <c r="N97" s="237">
        <v>1</v>
      </c>
      <c r="O97" s="224">
        <f t="shared" si="14"/>
        <v>0</v>
      </c>
      <c r="P97" s="231"/>
      <c r="Q97" s="225">
        <v>3</v>
      </c>
      <c r="R97" s="219">
        <v>1</v>
      </c>
      <c r="S97" s="225">
        <f t="shared" si="15"/>
        <v>-4</v>
      </c>
      <c r="T97" s="231"/>
      <c r="U97" s="226">
        <f t="shared" si="21"/>
        <v>0</v>
      </c>
      <c r="V97" s="227">
        <v>0</v>
      </c>
      <c r="W97" s="226">
        <f t="shared" si="16"/>
        <v>6550</v>
      </c>
      <c r="X97" s="226">
        <f t="shared" si="17"/>
        <v>0</v>
      </c>
      <c r="Y97" s="226">
        <f t="shared" si="18"/>
        <v>5240</v>
      </c>
      <c r="Z97" s="226">
        <f t="shared" si="19"/>
        <v>0</v>
      </c>
      <c r="AA97" s="226">
        <f t="shared" si="20"/>
        <v>1310</v>
      </c>
    </row>
    <row r="98" spans="1:27" ht="15" x14ac:dyDescent="0.25">
      <c r="A98" s="215">
        <v>2220071</v>
      </c>
      <c r="B98" s="269" t="s">
        <v>201</v>
      </c>
      <c r="C98" s="216">
        <v>371</v>
      </c>
      <c r="D98" s="216">
        <v>371</v>
      </c>
      <c r="E98" s="217" t="s">
        <v>133</v>
      </c>
      <c r="F98" s="218">
        <v>0</v>
      </c>
      <c r="G98" s="219">
        <v>0</v>
      </c>
      <c r="H98" s="220">
        <v>0</v>
      </c>
      <c r="I98" s="221">
        <v>0</v>
      </c>
      <c r="J98" s="222">
        <v>0</v>
      </c>
      <c r="K98" s="292">
        <f t="shared" si="13"/>
        <v>0</v>
      </c>
      <c r="L98" s="292"/>
      <c r="M98" s="292"/>
      <c r="N98" s="237">
        <v>0</v>
      </c>
      <c r="O98" s="224">
        <f t="shared" si="14"/>
        <v>0</v>
      </c>
      <c r="P98" s="231"/>
      <c r="Q98" s="225">
        <v>0</v>
      </c>
      <c r="R98" s="219">
        <v>0</v>
      </c>
      <c r="S98" s="225">
        <f t="shared" si="15"/>
        <v>0</v>
      </c>
      <c r="T98" s="231"/>
      <c r="U98" s="226">
        <f t="shared" si="21"/>
        <v>0</v>
      </c>
      <c r="V98" s="227">
        <v>0</v>
      </c>
      <c r="W98" s="226">
        <f t="shared" si="16"/>
        <v>0</v>
      </c>
      <c r="X98" s="226">
        <f t="shared" si="17"/>
        <v>0</v>
      </c>
      <c r="Y98" s="226">
        <f t="shared" si="18"/>
        <v>0</v>
      </c>
      <c r="Z98" s="226">
        <f t="shared" si="19"/>
        <v>0</v>
      </c>
      <c r="AA98" s="226">
        <f t="shared" si="20"/>
        <v>0</v>
      </c>
    </row>
    <row r="99" spans="1:27" ht="15" x14ac:dyDescent="0.25">
      <c r="A99" s="215">
        <v>2220069</v>
      </c>
      <c r="B99" s="269" t="s">
        <v>113</v>
      </c>
      <c r="C99" s="216">
        <v>256</v>
      </c>
      <c r="D99" s="216">
        <v>256</v>
      </c>
      <c r="E99" s="217" t="s">
        <v>133</v>
      </c>
      <c r="F99" s="218">
        <v>8</v>
      </c>
      <c r="G99" s="219">
        <v>0</v>
      </c>
      <c r="H99" s="220">
        <v>0</v>
      </c>
      <c r="I99" s="221">
        <v>0</v>
      </c>
      <c r="J99" s="222">
        <v>0</v>
      </c>
      <c r="K99" s="292">
        <f t="shared" si="13"/>
        <v>8</v>
      </c>
      <c r="L99" s="292"/>
      <c r="M99" s="292"/>
      <c r="N99" s="237">
        <v>5</v>
      </c>
      <c r="O99" s="224">
        <f t="shared" si="14"/>
        <v>-3</v>
      </c>
      <c r="P99" s="231"/>
      <c r="Q99" s="225">
        <v>8</v>
      </c>
      <c r="R99" s="308">
        <v>0</v>
      </c>
      <c r="S99" s="225">
        <f t="shared" si="15"/>
        <v>0</v>
      </c>
      <c r="T99" s="231"/>
      <c r="U99" s="226">
        <f t="shared" si="21"/>
        <v>2048</v>
      </c>
      <c r="V99" s="227">
        <v>0</v>
      </c>
      <c r="W99" s="226">
        <f t="shared" si="16"/>
        <v>0</v>
      </c>
      <c r="X99" s="226">
        <f t="shared" si="17"/>
        <v>0</v>
      </c>
      <c r="Y99" s="226">
        <f t="shared" si="18"/>
        <v>0</v>
      </c>
      <c r="Z99" s="226">
        <f t="shared" si="19"/>
        <v>0</v>
      </c>
      <c r="AA99" s="226">
        <f t="shared" si="20"/>
        <v>2048</v>
      </c>
    </row>
    <row r="100" spans="1:27" ht="15" x14ac:dyDescent="0.25">
      <c r="A100" s="215">
        <v>2220078</v>
      </c>
      <c r="B100" s="269" t="s">
        <v>202</v>
      </c>
      <c r="C100" s="216">
        <v>85</v>
      </c>
      <c r="D100" s="216">
        <v>85</v>
      </c>
      <c r="E100" s="217" t="s">
        <v>133</v>
      </c>
      <c r="F100" s="218">
        <v>0</v>
      </c>
      <c r="G100" s="219">
        <v>0</v>
      </c>
      <c r="H100" s="220">
        <v>0</v>
      </c>
      <c r="I100" s="221">
        <v>0</v>
      </c>
      <c r="J100" s="222">
        <v>0</v>
      </c>
      <c r="K100" s="292">
        <f t="shared" si="13"/>
        <v>0</v>
      </c>
      <c r="L100" s="292"/>
      <c r="M100" s="292"/>
      <c r="N100" s="237">
        <v>0</v>
      </c>
      <c r="O100" s="224">
        <f t="shared" si="14"/>
        <v>0</v>
      </c>
      <c r="P100" s="231"/>
      <c r="Q100" s="225">
        <v>0</v>
      </c>
      <c r="R100" s="308">
        <v>0</v>
      </c>
      <c r="S100" s="225">
        <f t="shared" si="15"/>
        <v>0</v>
      </c>
      <c r="T100" s="231"/>
      <c r="U100" s="226">
        <f t="shared" si="21"/>
        <v>0</v>
      </c>
      <c r="V100" s="227">
        <v>0</v>
      </c>
      <c r="W100" s="226">
        <f t="shared" si="16"/>
        <v>0</v>
      </c>
      <c r="X100" s="226">
        <f t="shared" si="17"/>
        <v>0</v>
      </c>
      <c r="Y100" s="226">
        <f t="shared" si="18"/>
        <v>0</v>
      </c>
      <c r="Z100" s="226">
        <f t="shared" si="19"/>
        <v>0</v>
      </c>
      <c r="AA100" s="226">
        <f t="shared" si="20"/>
        <v>0</v>
      </c>
    </row>
    <row r="101" spans="1:27" ht="15" x14ac:dyDescent="0.25">
      <c r="A101" s="215">
        <v>2220065</v>
      </c>
      <c r="B101" s="276" t="s">
        <v>203</v>
      </c>
      <c r="C101" s="243">
        <v>136.56</v>
      </c>
      <c r="D101" s="243">
        <v>136.56</v>
      </c>
      <c r="E101" s="244" t="s">
        <v>133</v>
      </c>
      <c r="F101" s="245">
        <v>0</v>
      </c>
      <c r="G101" s="219">
        <v>0</v>
      </c>
      <c r="H101" s="220">
        <v>0</v>
      </c>
      <c r="I101" s="221">
        <v>0</v>
      </c>
      <c r="J101" s="222">
        <v>0</v>
      </c>
      <c r="K101" s="292">
        <f t="shared" si="13"/>
        <v>0</v>
      </c>
      <c r="L101" s="292"/>
      <c r="M101" s="292"/>
      <c r="N101" s="237">
        <v>0</v>
      </c>
      <c r="O101" s="224">
        <f t="shared" si="14"/>
        <v>0</v>
      </c>
      <c r="P101" s="231"/>
      <c r="Q101" s="225">
        <v>0</v>
      </c>
      <c r="R101" s="308">
        <v>0</v>
      </c>
      <c r="S101" s="225">
        <f t="shared" si="15"/>
        <v>0</v>
      </c>
      <c r="T101" s="231"/>
      <c r="U101" s="226">
        <f t="shared" si="21"/>
        <v>0</v>
      </c>
      <c r="V101" s="227">
        <v>0</v>
      </c>
      <c r="W101" s="226">
        <f t="shared" si="16"/>
        <v>0</v>
      </c>
      <c r="X101" s="226">
        <f t="shared" si="17"/>
        <v>0</v>
      </c>
      <c r="Y101" s="226">
        <f t="shared" si="18"/>
        <v>0</v>
      </c>
      <c r="Z101" s="226">
        <f t="shared" si="19"/>
        <v>0</v>
      </c>
      <c r="AA101" s="226">
        <f t="shared" si="20"/>
        <v>0</v>
      </c>
    </row>
    <row r="102" spans="1:27" ht="15.75" customHeight="1" x14ac:dyDescent="0.25">
      <c r="A102" s="215">
        <v>2220084</v>
      </c>
      <c r="B102" s="269" t="s">
        <v>204</v>
      </c>
      <c r="C102" s="216">
        <v>320</v>
      </c>
      <c r="D102" s="216">
        <v>320</v>
      </c>
      <c r="E102" s="217" t="s">
        <v>133</v>
      </c>
      <c r="F102" s="218">
        <v>0</v>
      </c>
      <c r="G102" s="219">
        <v>0</v>
      </c>
      <c r="H102" s="220">
        <v>0</v>
      </c>
      <c r="I102" s="221">
        <v>0</v>
      </c>
      <c r="J102" s="222">
        <v>0</v>
      </c>
      <c r="K102" s="292">
        <f t="shared" si="13"/>
        <v>0</v>
      </c>
      <c r="L102" s="292"/>
      <c r="M102" s="292"/>
      <c r="N102" s="237">
        <v>0</v>
      </c>
      <c r="O102" s="224">
        <f t="shared" si="14"/>
        <v>0</v>
      </c>
      <c r="P102" s="231"/>
      <c r="Q102" s="225">
        <v>0</v>
      </c>
      <c r="R102" s="219">
        <v>0</v>
      </c>
      <c r="S102" s="225">
        <f t="shared" si="15"/>
        <v>0</v>
      </c>
      <c r="T102" s="231"/>
      <c r="U102" s="226">
        <f t="shared" si="21"/>
        <v>0</v>
      </c>
      <c r="V102" s="227">
        <v>0</v>
      </c>
      <c r="W102" s="226">
        <f t="shared" si="16"/>
        <v>0</v>
      </c>
      <c r="X102" s="226">
        <f t="shared" si="17"/>
        <v>0</v>
      </c>
      <c r="Y102" s="226">
        <f t="shared" si="18"/>
        <v>0</v>
      </c>
      <c r="Z102" s="226">
        <f t="shared" si="19"/>
        <v>0</v>
      </c>
      <c r="AA102" s="226">
        <f t="shared" si="20"/>
        <v>0</v>
      </c>
    </row>
    <row r="103" spans="1:27" ht="46.8" x14ac:dyDescent="0.25">
      <c r="A103" s="242">
        <v>2220145</v>
      </c>
      <c r="B103" s="277" t="s">
        <v>205</v>
      </c>
      <c r="C103" s="243">
        <v>760</v>
      </c>
      <c r="D103" s="243">
        <v>760</v>
      </c>
      <c r="E103" s="244" t="s">
        <v>133</v>
      </c>
      <c r="F103" s="278">
        <v>0</v>
      </c>
      <c r="G103" s="219">
        <v>0</v>
      </c>
      <c r="H103" s="220">
        <v>0</v>
      </c>
      <c r="I103" s="221">
        <v>0</v>
      </c>
      <c r="J103" s="222">
        <v>0</v>
      </c>
      <c r="K103" s="292">
        <f t="shared" si="13"/>
        <v>0</v>
      </c>
      <c r="L103" s="292"/>
      <c r="M103" s="292"/>
      <c r="N103" s="237">
        <v>0</v>
      </c>
      <c r="O103" s="224">
        <f t="shared" si="14"/>
        <v>0</v>
      </c>
      <c r="P103" s="231"/>
      <c r="Q103" s="237">
        <v>0</v>
      </c>
      <c r="R103" s="219">
        <v>0</v>
      </c>
      <c r="S103" s="225">
        <f t="shared" si="15"/>
        <v>0</v>
      </c>
      <c r="T103" s="231"/>
      <c r="U103" s="226">
        <f t="shared" si="21"/>
        <v>0</v>
      </c>
      <c r="V103" s="227">
        <v>0</v>
      </c>
      <c r="W103" s="226">
        <f t="shared" si="16"/>
        <v>0</v>
      </c>
      <c r="X103" s="226">
        <f t="shared" si="17"/>
        <v>0</v>
      </c>
      <c r="Y103" s="226">
        <f t="shared" si="18"/>
        <v>0</v>
      </c>
      <c r="Z103" s="226">
        <f t="shared" si="19"/>
        <v>0</v>
      </c>
      <c r="AA103" s="226">
        <f t="shared" si="20"/>
        <v>0</v>
      </c>
    </row>
    <row r="104" spans="1:27" ht="45" x14ac:dyDescent="0.25">
      <c r="A104" s="215">
        <v>2220146</v>
      </c>
      <c r="B104" s="269" t="s">
        <v>206</v>
      </c>
      <c r="C104" s="243">
        <v>638.4</v>
      </c>
      <c r="D104" s="243">
        <v>638.4</v>
      </c>
      <c r="E104" s="244" t="s">
        <v>133</v>
      </c>
      <c r="F104" s="278">
        <v>0</v>
      </c>
      <c r="G104" s="219">
        <v>0</v>
      </c>
      <c r="H104" s="220">
        <v>0</v>
      </c>
      <c r="I104" s="221">
        <v>0</v>
      </c>
      <c r="J104" s="222">
        <v>0</v>
      </c>
      <c r="K104" s="292">
        <f t="shared" si="13"/>
        <v>0</v>
      </c>
      <c r="L104" s="292"/>
      <c r="M104" s="292"/>
      <c r="N104" s="237">
        <v>0</v>
      </c>
      <c r="O104" s="224">
        <f t="shared" si="14"/>
        <v>0</v>
      </c>
      <c r="P104" s="231"/>
      <c r="Q104" s="237">
        <v>0</v>
      </c>
      <c r="R104" s="219">
        <v>0</v>
      </c>
      <c r="S104" s="225">
        <f t="shared" si="15"/>
        <v>0</v>
      </c>
      <c r="T104" s="231"/>
      <c r="U104" s="226">
        <f t="shared" si="21"/>
        <v>0</v>
      </c>
      <c r="V104" s="227">
        <v>0</v>
      </c>
      <c r="W104" s="226">
        <f t="shared" si="16"/>
        <v>0</v>
      </c>
      <c r="X104" s="226">
        <f t="shared" si="17"/>
        <v>0</v>
      </c>
      <c r="Y104" s="226">
        <f t="shared" si="18"/>
        <v>0</v>
      </c>
      <c r="Z104" s="226">
        <f t="shared" si="19"/>
        <v>0</v>
      </c>
      <c r="AA104" s="226">
        <f t="shared" si="20"/>
        <v>0</v>
      </c>
    </row>
    <row r="105" spans="1:27" ht="16.5" customHeight="1" x14ac:dyDescent="0.25">
      <c r="A105" s="242">
        <v>2220026</v>
      </c>
      <c r="B105" s="268" t="s">
        <v>35</v>
      </c>
      <c r="C105" s="243">
        <v>67.7</v>
      </c>
      <c r="D105" s="243">
        <v>67.7</v>
      </c>
      <c r="E105" s="244" t="s">
        <v>137</v>
      </c>
      <c r="F105" s="245">
        <v>1.4210854715202004E-14</v>
      </c>
      <c r="G105" s="319">
        <v>294</v>
      </c>
      <c r="H105" s="220">
        <v>0</v>
      </c>
      <c r="I105" s="321">
        <v>308.55</v>
      </c>
      <c r="J105" s="222">
        <v>0</v>
      </c>
      <c r="K105" s="292">
        <f t="shared" si="13"/>
        <v>-14.550000000000011</v>
      </c>
      <c r="L105" s="292"/>
      <c r="M105" s="292"/>
      <c r="N105" s="237">
        <v>3</v>
      </c>
      <c r="O105" s="224">
        <f t="shared" si="14"/>
        <v>17.550000000000011</v>
      </c>
      <c r="P105" s="231"/>
      <c r="Q105" s="225">
        <v>9</v>
      </c>
      <c r="R105" s="219">
        <v>101.65</v>
      </c>
      <c r="S105" s="225">
        <f t="shared" si="15"/>
        <v>-192.35</v>
      </c>
      <c r="T105" s="231"/>
      <c r="U105" s="226">
        <f t="shared" si="21"/>
        <v>9.6207486421917569E-13</v>
      </c>
      <c r="V105" s="227">
        <v>0</v>
      </c>
      <c r="W105" s="226">
        <f t="shared" si="16"/>
        <v>19903.8</v>
      </c>
      <c r="X105" s="226">
        <f t="shared" si="17"/>
        <v>0</v>
      </c>
      <c r="Y105" s="226">
        <f t="shared" si="18"/>
        <v>20888.835000000003</v>
      </c>
      <c r="Z105" s="226">
        <f t="shared" si="19"/>
        <v>0</v>
      </c>
      <c r="AA105" s="226">
        <f t="shared" si="20"/>
        <v>-985.03500000000349</v>
      </c>
    </row>
    <row r="106" spans="1:27" ht="15" x14ac:dyDescent="0.25">
      <c r="A106" s="295">
        <v>2220027</v>
      </c>
      <c r="B106" s="275" t="s">
        <v>79</v>
      </c>
      <c r="C106" s="296">
        <v>166.7</v>
      </c>
      <c r="D106" s="296">
        <v>166.7</v>
      </c>
      <c r="E106" s="297" t="s">
        <v>137</v>
      </c>
      <c r="F106" s="298">
        <v>0</v>
      </c>
      <c r="G106" s="322">
        <v>0</v>
      </c>
      <c r="H106" s="247">
        <v>0</v>
      </c>
      <c r="I106" s="323">
        <v>0</v>
      </c>
      <c r="J106" s="299">
        <v>0</v>
      </c>
      <c r="K106" s="300">
        <f t="shared" si="13"/>
        <v>0</v>
      </c>
      <c r="L106" s="300"/>
      <c r="M106" s="300"/>
      <c r="N106" s="279">
        <v>0</v>
      </c>
      <c r="O106" s="224">
        <f t="shared" si="14"/>
        <v>0</v>
      </c>
      <c r="P106" s="231"/>
      <c r="Q106" s="225">
        <v>0.90000000000000169</v>
      </c>
      <c r="R106" s="219">
        <v>0</v>
      </c>
      <c r="S106" s="225">
        <f t="shared" si="15"/>
        <v>0</v>
      </c>
      <c r="T106" s="231"/>
      <c r="U106" s="226">
        <f t="shared" si="21"/>
        <v>0</v>
      </c>
      <c r="V106" s="227">
        <v>0</v>
      </c>
      <c r="W106" s="226">
        <f t="shared" si="16"/>
        <v>0</v>
      </c>
      <c r="X106" s="226">
        <f t="shared" si="17"/>
        <v>0</v>
      </c>
      <c r="Y106" s="226">
        <f t="shared" si="18"/>
        <v>0</v>
      </c>
      <c r="Z106" s="226">
        <f t="shared" si="19"/>
        <v>0</v>
      </c>
      <c r="AA106" s="226">
        <f t="shared" si="20"/>
        <v>0</v>
      </c>
    </row>
    <row r="107" spans="1:27" ht="15" x14ac:dyDescent="0.25">
      <c r="A107" s="215">
        <v>2220080</v>
      </c>
      <c r="B107" s="283" t="s">
        <v>207</v>
      </c>
      <c r="C107" s="216">
        <v>15.85</v>
      </c>
      <c r="D107" s="216">
        <v>15.85</v>
      </c>
      <c r="E107" s="217" t="s">
        <v>133</v>
      </c>
      <c r="F107" s="218">
        <v>1</v>
      </c>
      <c r="G107" s="219">
        <v>0</v>
      </c>
      <c r="H107" s="219">
        <v>0</v>
      </c>
      <c r="I107" s="305">
        <v>0</v>
      </c>
      <c r="J107" s="223">
        <v>0</v>
      </c>
      <c r="K107" s="237">
        <f t="shared" si="13"/>
        <v>1</v>
      </c>
      <c r="L107" s="237"/>
      <c r="M107" s="237"/>
      <c r="N107" s="237">
        <v>1</v>
      </c>
      <c r="O107" s="224">
        <f t="shared" si="14"/>
        <v>0</v>
      </c>
      <c r="P107" s="232"/>
      <c r="Q107" s="225">
        <v>1</v>
      </c>
      <c r="R107" s="219">
        <v>0</v>
      </c>
      <c r="S107" s="225">
        <f t="shared" si="15"/>
        <v>0</v>
      </c>
      <c r="T107" s="232"/>
      <c r="U107" s="226">
        <f t="shared" si="21"/>
        <v>15.85</v>
      </c>
      <c r="V107" s="227">
        <v>0</v>
      </c>
      <c r="W107" s="226">
        <f t="shared" si="16"/>
        <v>0</v>
      </c>
      <c r="X107" s="226">
        <f t="shared" si="17"/>
        <v>0</v>
      </c>
      <c r="Y107" s="226">
        <f t="shared" si="18"/>
        <v>0</v>
      </c>
      <c r="Z107" s="226">
        <f t="shared" si="19"/>
        <v>0</v>
      </c>
      <c r="AA107" s="226">
        <f t="shared" si="20"/>
        <v>15.85</v>
      </c>
    </row>
    <row r="108" spans="1:27" ht="15" x14ac:dyDescent="0.25">
      <c r="A108" s="215">
        <v>2220035</v>
      </c>
      <c r="B108" s="306" t="s">
        <v>208</v>
      </c>
      <c r="C108" s="216">
        <v>75</v>
      </c>
      <c r="D108" s="216">
        <v>75</v>
      </c>
      <c r="E108" s="217" t="s">
        <v>133</v>
      </c>
      <c r="F108" s="218">
        <v>0</v>
      </c>
      <c r="G108" s="319">
        <v>24</v>
      </c>
      <c r="H108" s="219">
        <v>0</v>
      </c>
      <c r="I108" s="326">
        <v>23</v>
      </c>
      <c r="J108" s="223">
        <v>0</v>
      </c>
      <c r="K108" s="237">
        <f t="shared" si="13"/>
        <v>1</v>
      </c>
      <c r="L108" s="237"/>
      <c r="M108" s="237"/>
      <c r="N108" s="237">
        <v>0</v>
      </c>
      <c r="O108" s="224">
        <f t="shared" si="14"/>
        <v>-1</v>
      </c>
      <c r="P108" s="231"/>
      <c r="Q108" s="225">
        <v>0</v>
      </c>
      <c r="R108" s="219">
        <v>8</v>
      </c>
      <c r="S108" s="225">
        <f t="shared" si="15"/>
        <v>-16</v>
      </c>
      <c r="T108" s="231"/>
      <c r="U108" s="280">
        <f t="shared" si="21"/>
        <v>0</v>
      </c>
      <c r="V108" s="281">
        <v>0</v>
      </c>
      <c r="W108" s="280">
        <f t="shared" si="16"/>
        <v>1800</v>
      </c>
      <c r="X108" s="280">
        <f t="shared" si="17"/>
        <v>0</v>
      </c>
      <c r="Y108" s="280">
        <f t="shared" si="18"/>
        <v>1725</v>
      </c>
      <c r="Z108" s="280">
        <f t="shared" si="19"/>
        <v>0</v>
      </c>
      <c r="AA108" s="280">
        <f t="shared" si="20"/>
        <v>75</v>
      </c>
    </row>
    <row r="109" spans="1:27" ht="15.75" customHeight="1" x14ac:dyDescent="0.25">
      <c r="A109" s="215">
        <v>2220045</v>
      </c>
      <c r="B109" s="267" t="s">
        <v>96</v>
      </c>
      <c r="C109" s="216">
        <v>86</v>
      </c>
      <c r="D109" s="216">
        <v>86</v>
      </c>
      <c r="E109" s="217" t="s">
        <v>210</v>
      </c>
      <c r="F109" s="218">
        <v>29</v>
      </c>
      <c r="G109" s="319">
        <v>20</v>
      </c>
      <c r="H109" s="219">
        <v>0</v>
      </c>
      <c r="I109" s="326">
        <v>3</v>
      </c>
      <c r="J109" s="223">
        <v>0</v>
      </c>
      <c r="K109" s="237">
        <f t="shared" si="13"/>
        <v>46</v>
      </c>
      <c r="L109" s="237"/>
      <c r="M109" s="237"/>
      <c r="N109" s="237">
        <v>46</v>
      </c>
      <c r="O109" s="224">
        <f t="shared" si="14"/>
        <v>0</v>
      </c>
      <c r="P109" s="231"/>
      <c r="Q109" s="225">
        <v>29</v>
      </c>
      <c r="R109" s="219">
        <v>20</v>
      </c>
      <c r="S109" s="225">
        <f t="shared" si="15"/>
        <v>0</v>
      </c>
      <c r="T109" s="231"/>
      <c r="U109" s="280">
        <f t="shared" si="21"/>
        <v>2494</v>
      </c>
      <c r="V109" s="281">
        <v>0</v>
      </c>
      <c r="W109" s="280">
        <f t="shared" si="16"/>
        <v>1720</v>
      </c>
      <c r="X109" s="280">
        <f t="shared" si="17"/>
        <v>0</v>
      </c>
      <c r="Y109" s="280">
        <f t="shared" si="18"/>
        <v>258</v>
      </c>
      <c r="Z109" s="280">
        <f t="shared" si="19"/>
        <v>0</v>
      </c>
      <c r="AA109" s="280">
        <f t="shared" si="20"/>
        <v>3956</v>
      </c>
    </row>
    <row r="110" spans="1:27" s="246" customFormat="1" ht="15.6" x14ac:dyDescent="0.25">
      <c r="A110" s="215">
        <v>2220028</v>
      </c>
      <c r="B110" s="266" t="s">
        <v>36</v>
      </c>
      <c r="C110" s="216">
        <v>29.2</v>
      </c>
      <c r="D110" s="216">
        <v>29.2</v>
      </c>
      <c r="E110" s="217" t="s">
        <v>137</v>
      </c>
      <c r="F110" s="218">
        <v>-4.2632564145606011E-14</v>
      </c>
      <c r="G110" s="319">
        <v>3154.5</v>
      </c>
      <c r="H110" s="219">
        <v>0</v>
      </c>
      <c r="I110" s="324">
        <v>3191.1</v>
      </c>
      <c r="J110" s="223">
        <v>0</v>
      </c>
      <c r="K110" s="237">
        <f t="shared" si="13"/>
        <v>-36.599999999999909</v>
      </c>
      <c r="L110" s="237"/>
      <c r="M110" s="237"/>
      <c r="N110" s="237">
        <v>38</v>
      </c>
      <c r="O110" s="224">
        <f t="shared" si="14"/>
        <v>74.599999999999909</v>
      </c>
      <c r="P110" s="231"/>
      <c r="Q110" s="225">
        <v>105.9</v>
      </c>
      <c r="R110" s="219">
        <v>1062</v>
      </c>
      <c r="S110" s="225">
        <f t="shared" si="15"/>
        <v>-2092.5</v>
      </c>
      <c r="T110" s="231"/>
      <c r="U110" s="280">
        <v>0</v>
      </c>
      <c r="V110" s="281">
        <v>0</v>
      </c>
      <c r="W110" s="280">
        <f t="shared" si="16"/>
        <v>92111.4</v>
      </c>
      <c r="X110" s="280">
        <f t="shared" si="17"/>
        <v>0</v>
      </c>
      <c r="Y110" s="280">
        <f t="shared" si="18"/>
        <v>93180.12</v>
      </c>
      <c r="Z110" s="280">
        <f t="shared" si="19"/>
        <v>0</v>
      </c>
      <c r="AA110" s="280">
        <f t="shared" si="20"/>
        <v>-1068.7200000000012</v>
      </c>
    </row>
    <row r="111" spans="1:27" ht="15" customHeight="1" x14ac:dyDescent="0.25">
      <c r="A111" s="234">
        <v>2220053</v>
      </c>
      <c r="B111" s="283" t="s">
        <v>211</v>
      </c>
      <c r="C111" s="282">
        <v>2830</v>
      </c>
      <c r="D111" s="282">
        <v>2830</v>
      </c>
      <c r="E111" s="236" t="s">
        <v>135</v>
      </c>
      <c r="F111" s="229">
        <v>1</v>
      </c>
      <c r="G111" s="219">
        <v>0</v>
      </c>
      <c r="H111" s="219">
        <v>0</v>
      </c>
      <c r="I111" s="305">
        <v>0</v>
      </c>
      <c r="J111" s="223">
        <v>0</v>
      </c>
      <c r="K111" s="237">
        <f t="shared" si="13"/>
        <v>1</v>
      </c>
      <c r="L111" s="237"/>
      <c r="M111" s="237"/>
      <c r="N111" s="237">
        <v>1</v>
      </c>
      <c r="O111" s="224">
        <f t="shared" si="14"/>
        <v>0</v>
      </c>
      <c r="P111" s="231"/>
      <c r="Q111" s="230">
        <v>1</v>
      </c>
      <c r="R111" s="310">
        <v>0</v>
      </c>
      <c r="S111" s="225">
        <f t="shared" si="15"/>
        <v>0</v>
      </c>
      <c r="T111" s="231"/>
      <c r="U111" s="280">
        <f>C111*F111</f>
        <v>2830</v>
      </c>
      <c r="V111" s="281">
        <v>0</v>
      </c>
      <c r="W111" s="280">
        <f t="shared" si="16"/>
        <v>0</v>
      </c>
      <c r="X111" s="280">
        <f t="shared" si="17"/>
        <v>0</v>
      </c>
      <c r="Y111" s="280">
        <f t="shared" si="18"/>
        <v>0</v>
      </c>
      <c r="Z111" s="280">
        <f t="shared" si="19"/>
        <v>0</v>
      </c>
      <c r="AA111" s="280">
        <f t="shared" si="20"/>
        <v>2830</v>
      </c>
    </row>
    <row r="112" spans="1:27" s="228" customFormat="1" ht="30" x14ac:dyDescent="0.25">
      <c r="A112" s="248"/>
      <c r="B112" s="271" t="s">
        <v>264</v>
      </c>
      <c r="C112" s="216">
        <v>0</v>
      </c>
      <c r="D112" s="216">
        <v>993.33</v>
      </c>
      <c r="E112" s="217"/>
      <c r="F112" s="218">
        <v>0</v>
      </c>
      <c r="G112" s="319">
        <v>50</v>
      </c>
      <c r="H112" s="220">
        <v>0</v>
      </c>
      <c r="I112" s="325">
        <v>48</v>
      </c>
      <c r="J112" s="222">
        <v>0</v>
      </c>
      <c r="K112" s="237">
        <f t="shared" si="13"/>
        <v>2</v>
      </c>
      <c r="L112" s="292"/>
      <c r="M112" s="292"/>
      <c r="N112" s="222">
        <v>2</v>
      </c>
      <c r="O112" s="224">
        <f t="shared" si="14"/>
        <v>0</v>
      </c>
      <c r="P112" s="231"/>
      <c r="Q112" s="225">
        <v>7</v>
      </c>
      <c r="R112" s="219">
        <v>16</v>
      </c>
      <c r="S112" s="225">
        <f t="shared" si="15"/>
        <v>-34</v>
      </c>
      <c r="T112" s="231"/>
      <c r="U112" s="226">
        <f>C112*F112</f>
        <v>0</v>
      </c>
      <c r="V112" s="227"/>
      <c r="W112" s="226">
        <f t="shared" si="16"/>
        <v>49666.5</v>
      </c>
      <c r="X112" s="226"/>
      <c r="Y112" s="226">
        <f t="shared" si="18"/>
        <v>47679.840000000004</v>
      </c>
      <c r="Z112" s="226"/>
      <c r="AA112" s="226"/>
    </row>
    <row r="113" spans="1:27" ht="22.5" customHeight="1" x14ac:dyDescent="0.25">
      <c r="A113" s="234"/>
      <c r="B113" s="271" t="s">
        <v>266</v>
      </c>
      <c r="C113" s="282">
        <v>0</v>
      </c>
      <c r="D113" s="282">
        <v>496.67</v>
      </c>
      <c r="E113" s="236"/>
      <c r="F113" s="229">
        <v>0</v>
      </c>
      <c r="G113" s="319">
        <v>26</v>
      </c>
      <c r="H113" s="220">
        <v>0</v>
      </c>
      <c r="I113" s="325">
        <v>24</v>
      </c>
      <c r="J113" s="222">
        <v>0</v>
      </c>
      <c r="K113" s="237">
        <f t="shared" si="13"/>
        <v>2</v>
      </c>
      <c r="L113" s="292"/>
      <c r="M113" s="292"/>
      <c r="N113" s="222">
        <v>2</v>
      </c>
      <c r="O113" s="224">
        <f t="shared" si="14"/>
        <v>0</v>
      </c>
      <c r="P113" s="231"/>
      <c r="Q113" s="230">
        <v>0</v>
      </c>
      <c r="R113" s="310">
        <v>8</v>
      </c>
      <c r="S113" s="225">
        <f t="shared" si="15"/>
        <v>-18</v>
      </c>
      <c r="T113" s="231"/>
      <c r="U113" s="226">
        <f>C113*F113</f>
        <v>0</v>
      </c>
      <c r="V113" s="227"/>
      <c r="W113" s="226">
        <f t="shared" si="16"/>
        <v>12913.42</v>
      </c>
      <c r="X113" s="226"/>
      <c r="Y113" s="226">
        <f t="shared" si="18"/>
        <v>11920.08</v>
      </c>
      <c r="Z113" s="226"/>
      <c r="AA113" s="226"/>
    </row>
    <row r="114" spans="1:27" ht="15" x14ac:dyDescent="0.25">
      <c r="A114" s="234"/>
      <c r="B114" s="271" t="s">
        <v>267</v>
      </c>
      <c r="C114" s="282">
        <v>0</v>
      </c>
      <c r="D114" s="282">
        <v>266.67</v>
      </c>
      <c r="E114" s="236"/>
      <c r="F114" s="229">
        <v>0</v>
      </c>
      <c r="G114" s="319">
        <v>2</v>
      </c>
      <c r="H114" s="220">
        <v>0</v>
      </c>
      <c r="I114" s="325">
        <v>1</v>
      </c>
      <c r="J114" s="222">
        <v>0</v>
      </c>
      <c r="K114" s="237">
        <f t="shared" si="13"/>
        <v>1</v>
      </c>
      <c r="L114" s="292"/>
      <c r="M114" s="292"/>
      <c r="N114" s="222">
        <v>1</v>
      </c>
      <c r="O114" s="224">
        <f t="shared" si="14"/>
        <v>0</v>
      </c>
      <c r="P114" s="231"/>
      <c r="Q114" s="230">
        <v>1</v>
      </c>
      <c r="R114" s="310">
        <v>0</v>
      </c>
      <c r="S114" s="225">
        <f t="shared" si="15"/>
        <v>-2</v>
      </c>
      <c r="T114" s="231"/>
      <c r="U114" s="226">
        <f>C114*F114</f>
        <v>0</v>
      </c>
      <c r="V114" s="227"/>
      <c r="W114" s="226">
        <f t="shared" si="16"/>
        <v>533.34</v>
      </c>
      <c r="X114" s="226"/>
      <c r="Y114" s="226">
        <f t="shared" si="18"/>
        <v>266.67</v>
      </c>
      <c r="Z114" s="226"/>
      <c r="AA114" s="226"/>
    </row>
    <row r="115" spans="1:27" ht="15.6" thickBot="1" x14ac:dyDescent="0.3">
      <c r="A115" s="248"/>
      <c r="B115" s="271" t="s">
        <v>265</v>
      </c>
      <c r="C115" s="216">
        <v>0</v>
      </c>
      <c r="D115" s="216">
        <v>283.33</v>
      </c>
      <c r="E115" s="217"/>
      <c r="F115" s="218">
        <v>0</v>
      </c>
      <c r="G115" s="319">
        <v>6</v>
      </c>
      <c r="H115" s="220">
        <v>0</v>
      </c>
      <c r="I115" s="325">
        <v>4</v>
      </c>
      <c r="J115" s="222">
        <v>0</v>
      </c>
      <c r="K115" s="237">
        <f t="shared" si="13"/>
        <v>2</v>
      </c>
      <c r="L115" s="292"/>
      <c r="M115" s="292"/>
      <c r="N115" s="222">
        <v>2</v>
      </c>
      <c r="O115" s="224">
        <f t="shared" si="14"/>
        <v>0</v>
      </c>
      <c r="P115" s="231"/>
      <c r="Q115" s="225">
        <v>1</v>
      </c>
      <c r="R115" s="219">
        <v>2</v>
      </c>
      <c r="S115" s="225">
        <f t="shared" si="15"/>
        <v>-4</v>
      </c>
      <c r="T115" s="231"/>
      <c r="U115" s="226">
        <f>C115*F115</f>
        <v>0</v>
      </c>
      <c r="V115" s="227"/>
      <c r="W115" s="226">
        <f t="shared" si="16"/>
        <v>1699.98</v>
      </c>
      <c r="X115" s="226"/>
      <c r="Y115" s="226">
        <f t="shared" si="18"/>
        <v>1133.32</v>
      </c>
      <c r="Z115" s="226"/>
      <c r="AA115" s="226"/>
    </row>
    <row r="116" spans="1:27" s="228" customFormat="1" ht="15" customHeight="1" thickBot="1" x14ac:dyDescent="0.3">
      <c r="A116" s="301" t="s">
        <v>68</v>
      </c>
      <c r="B116" s="301"/>
      <c r="C116" s="302"/>
      <c r="D116" s="302"/>
      <c r="E116" s="303"/>
      <c r="F116" s="304">
        <f>SUM(F8:F111)</f>
        <v>81.004999999999384</v>
      </c>
      <c r="G116" s="304">
        <f>SUM(G8:G115)</f>
        <v>31365</v>
      </c>
      <c r="H116" s="304">
        <f>SUM(H8:H111)</f>
        <v>0</v>
      </c>
      <c r="I116" s="304">
        <f>SUM(I8:I115)</f>
        <v>31373.01</v>
      </c>
      <c r="J116" s="304">
        <f t="shared" ref="J116:N116" si="22">SUM(J8:J111)</f>
        <v>0</v>
      </c>
      <c r="K116" s="304">
        <f t="shared" si="22"/>
        <v>65.995000000000232</v>
      </c>
      <c r="L116" s="304"/>
      <c r="M116" s="304"/>
      <c r="N116" s="304">
        <f t="shared" si="22"/>
        <v>668.56</v>
      </c>
      <c r="O116" s="249">
        <f>SUM(O8:O115)</f>
        <v>602.56499999999983</v>
      </c>
      <c r="P116" s="231"/>
      <c r="Q116" s="307">
        <f>SUM(Q105:Q107)</f>
        <v>10.900000000000002</v>
      </c>
      <c r="R116" s="307">
        <f>SUM(R105:R107)</f>
        <v>101.65</v>
      </c>
      <c r="S116" s="231"/>
      <c r="T116" s="231"/>
      <c r="U116" s="250">
        <f>SUM(U8:U115)</f>
        <v>59126.832500000004</v>
      </c>
      <c r="V116" s="250">
        <f>SUM(V105:V107)</f>
        <v>0</v>
      </c>
      <c r="W116" s="250">
        <f>SUM(W105:W111)</f>
        <v>115535.2</v>
      </c>
      <c r="X116" s="250">
        <f>SUM(X105:X107)</f>
        <v>0</v>
      </c>
      <c r="Y116" s="250">
        <f>SUM(Y105:Y107)</f>
        <v>20888.835000000003</v>
      </c>
      <c r="Z116" s="250">
        <f>SUM(Z105:Z107)</f>
        <v>0</v>
      </c>
      <c r="AA116" s="250">
        <f>SUM(AA105:AA107)</f>
        <v>-969.18500000000347</v>
      </c>
    </row>
    <row r="117" spans="1:27" ht="15.6" thickTop="1" x14ac:dyDescent="0.3">
      <c r="F117" s="251"/>
      <c r="O117" s="228"/>
    </row>
    <row r="118" spans="1:27" x14ac:dyDescent="0.3">
      <c r="F118" s="252"/>
    </row>
    <row r="119" spans="1:27" x14ac:dyDescent="0.3">
      <c r="A119" s="253"/>
      <c r="B119" s="208"/>
      <c r="C119" s="254"/>
      <c r="D119" s="254"/>
      <c r="E119" s="255"/>
      <c r="F119" s="256"/>
      <c r="G119" s="255"/>
      <c r="H119" s="255"/>
      <c r="I119" s="255"/>
      <c r="J119" s="255"/>
      <c r="K119" s="293"/>
      <c r="L119" s="293"/>
      <c r="M119" s="293"/>
      <c r="O119" s="257"/>
      <c r="P119" s="255"/>
      <c r="Q119" s="258"/>
      <c r="R119" s="258"/>
      <c r="S119" s="259"/>
      <c r="T119" s="258"/>
      <c r="U119" s="258"/>
      <c r="V119" s="258"/>
      <c r="W119" s="258"/>
      <c r="X119" s="258"/>
    </row>
    <row r="120" spans="1:27" ht="15.6" x14ac:dyDescent="0.3">
      <c r="A120" s="253"/>
      <c r="B120" s="345" t="s">
        <v>253</v>
      </c>
      <c r="C120" s="345"/>
      <c r="D120" s="345"/>
      <c r="E120" s="345"/>
      <c r="F120" s="255"/>
      <c r="G120" s="346" t="s">
        <v>254</v>
      </c>
      <c r="H120" s="346"/>
      <c r="I120" s="346"/>
      <c r="J120" s="346"/>
      <c r="K120" s="347"/>
      <c r="L120" s="347"/>
      <c r="M120" s="347"/>
      <c r="N120" s="347"/>
      <c r="O120" s="208"/>
      <c r="P120" s="255"/>
      <c r="Q120" s="258"/>
      <c r="R120" s="258"/>
      <c r="S120" s="258"/>
      <c r="T120" s="258"/>
      <c r="U120" s="346" t="s">
        <v>255</v>
      </c>
      <c r="V120" s="346"/>
      <c r="W120" s="346"/>
      <c r="X120" s="346"/>
    </row>
    <row r="121" spans="1:27" ht="16.8" x14ac:dyDescent="0.35">
      <c r="A121" s="253"/>
      <c r="B121" s="350"/>
      <c r="C121" s="350"/>
      <c r="D121" s="350"/>
      <c r="E121" s="350"/>
      <c r="F121" s="260"/>
      <c r="G121" s="351"/>
      <c r="H121" s="351"/>
      <c r="I121" s="351"/>
      <c r="J121" s="351"/>
      <c r="K121" s="352"/>
      <c r="L121" s="352"/>
      <c r="M121" s="352"/>
      <c r="N121" s="352"/>
      <c r="O121" s="261"/>
      <c r="P121" s="261"/>
      <c r="Q121" s="261"/>
      <c r="R121" s="262"/>
      <c r="S121" s="263"/>
      <c r="T121" s="261"/>
      <c r="U121" s="353"/>
      <c r="V121" s="353"/>
      <c r="W121" s="353"/>
      <c r="X121" s="353"/>
    </row>
    <row r="122" spans="1:27" ht="15.6" x14ac:dyDescent="0.3">
      <c r="A122" s="253"/>
      <c r="B122" s="354" t="s">
        <v>256</v>
      </c>
      <c r="C122" s="354"/>
      <c r="D122" s="354"/>
      <c r="E122" s="354"/>
      <c r="F122" s="255"/>
      <c r="G122" s="355" t="s">
        <v>257</v>
      </c>
      <c r="H122" s="355"/>
      <c r="I122" s="355"/>
      <c r="J122" s="355"/>
      <c r="K122" s="356"/>
      <c r="L122" s="356"/>
      <c r="M122" s="356"/>
      <c r="N122" s="356"/>
      <c r="O122" s="253"/>
      <c r="P122" s="255"/>
      <c r="Q122" s="255"/>
      <c r="R122" s="255"/>
      <c r="S122" s="264"/>
      <c r="T122" s="255"/>
      <c r="U122" s="355" t="s">
        <v>258</v>
      </c>
      <c r="V122" s="355"/>
      <c r="W122" s="355"/>
      <c r="X122" s="355"/>
    </row>
    <row r="123" spans="1:27" ht="15.6" x14ac:dyDescent="0.3">
      <c r="A123" s="253"/>
      <c r="B123" s="348" t="s">
        <v>259</v>
      </c>
      <c r="C123" s="348"/>
      <c r="D123" s="348"/>
      <c r="E123" s="348"/>
      <c r="F123" s="255"/>
      <c r="G123" s="348" t="s">
        <v>260</v>
      </c>
      <c r="H123" s="348"/>
      <c r="I123" s="348"/>
      <c r="J123" s="348"/>
      <c r="K123" s="349"/>
      <c r="L123" s="349"/>
      <c r="M123" s="349"/>
      <c r="N123" s="349"/>
      <c r="O123" s="253"/>
      <c r="P123" s="255"/>
      <c r="Q123" s="255"/>
      <c r="R123" s="255"/>
      <c r="S123" s="264"/>
      <c r="T123" s="255"/>
      <c r="U123" s="348" t="s">
        <v>261</v>
      </c>
      <c r="V123" s="348"/>
      <c r="W123" s="348"/>
      <c r="X123" s="348"/>
    </row>
  </sheetData>
  <autoFilter ref="A7:AB116" xr:uid="{0BFEF28A-1488-46E0-BC41-237FC0EC7604}">
    <sortState xmlns:xlrd2="http://schemas.microsoft.com/office/spreadsheetml/2017/richdata2" ref="A8:AB116">
      <sortCondition ref="B7:B116"/>
    </sortState>
  </autoFilter>
  <mergeCells count="16">
    <mergeCell ref="A1:N1"/>
    <mergeCell ref="A2:N2"/>
    <mergeCell ref="A3:N3"/>
    <mergeCell ref="G5:N5"/>
    <mergeCell ref="B120:E120"/>
    <mergeCell ref="G120:N120"/>
    <mergeCell ref="B123:E123"/>
    <mergeCell ref="G123:N123"/>
    <mergeCell ref="U123:X123"/>
    <mergeCell ref="U120:X120"/>
    <mergeCell ref="B121:E121"/>
    <mergeCell ref="G121:N121"/>
    <mergeCell ref="U121:X121"/>
    <mergeCell ref="B122:E122"/>
    <mergeCell ref="G122:N122"/>
    <mergeCell ref="U122:X122"/>
  </mergeCells>
  <conditionalFormatting sqref="A107:A111">
    <cfRule type="duplicateValues" dxfId="4" priority="2"/>
  </conditionalFormatting>
  <conditionalFormatting sqref="A119:A123">
    <cfRule type="duplicateValues" dxfId="3" priority="1"/>
  </conditionalFormatting>
  <pageMargins left="0.7" right="0.7" top="0.75" bottom="0.75" header="0.3" footer="0.3"/>
  <pageSetup scale="48" fitToHeight="0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pane xSplit="2" ySplit="1" topLeftCell="C99" activePane="bottomRight" state="frozen"/>
      <selection pane="topRight" activeCell="C1" sqref="C1"/>
      <selection pane="bottomLeft" activeCell="A2" sqref="A2"/>
      <selection pane="bottomRight" activeCell="A2" sqref="A2:N2"/>
    </sheetView>
  </sheetViews>
  <sheetFormatPr baseColWidth="10" defaultColWidth="14.44140625" defaultRowHeight="15" customHeight="1" x14ac:dyDescent="0.3"/>
  <cols>
    <col min="1" max="1" width="11.44140625" customWidth="1"/>
    <col min="2" max="2" width="38.44140625" customWidth="1"/>
    <col min="3" max="4" width="9.109375" customWidth="1"/>
    <col min="5" max="5" width="8.33203125" customWidth="1"/>
    <col min="6" max="7" width="11.33203125" customWidth="1"/>
    <col min="8" max="9" width="13.33203125" customWidth="1"/>
    <col min="10" max="10" width="6" customWidth="1"/>
    <col min="11" max="11" width="11.6640625" customWidth="1"/>
    <col min="12" max="12" width="6" customWidth="1"/>
    <col min="13" max="14" width="15.6640625" customWidth="1"/>
    <col min="15" max="26" width="11.44140625" customWidth="1"/>
  </cols>
  <sheetData>
    <row r="1" spans="1:26" ht="15" customHeight="1" x14ac:dyDescent="0.3">
      <c r="A1" s="357" t="s">
        <v>115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56"/>
      <c r="P1" s="57"/>
      <c r="Q1" s="57"/>
      <c r="R1" s="56"/>
      <c r="S1" s="56"/>
      <c r="T1" s="56"/>
      <c r="U1" s="56"/>
      <c r="V1" s="56"/>
      <c r="W1" s="56"/>
      <c r="X1" s="56"/>
      <c r="Y1" s="56"/>
      <c r="Z1" s="56"/>
    </row>
    <row r="2" spans="1:26" ht="15" customHeight="1" x14ac:dyDescent="0.3">
      <c r="A2" s="357" t="s">
        <v>0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56"/>
      <c r="P2" s="57"/>
      <c r="Q2" s="57"/>
      <c r="R2" s="56"/>
      <c r="S2" s="56"/>
      <c r="T2" s="56"/>
      <c r="U2" s="56"/>
      <c r="V2" s="56"/>
      <c r="W2" s="56"/>
      <c r="X2" s="56"/>
      <c r="Y2" s="56"/>
      <c r="Z2" s="56"/>
    </row>
    <row r="3" spans="1:26" ht="15" customHeight="1" x14ac:dyDescent="0.3">
      <c r="A3" s="357" t="s">
        <v>64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56"/>
      <c r="P3" s="57"/>
      <c r="Q3" s="57"/>
      <c r="R3" s="56"/>
      <c r="S3" s="56"/>
      <c r="T3" s="56"/>
      <c r="U3" s="56"/>
      <c r="V3" s="56"/>
      <c r="W3" s="56"/>
      <c r="X3" s="56"/>
      <c r="Y3" s="56"/>
      <c r="Z3" s="56"/>
    </row>
    <row r="4" spans="1:26" ht="15.75" customHeight="1" x14ac:dyDescent="0.3">
      <c r="A4" s="58"/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59"/>
      <c r="N4" s="59"/>
      <c r="O4" s="56"/>
      <c r="P4" s="57"/>
      <c r="Q4" s="57"/>
      <c r="R4" s="56"/>
      <c r="S4" s="56"/>
      <c r="T4" s="56"/>
      <c r="U4" s="56"/>
      <c r="V4" s="56"/>
      <c r="W4" s="56"/>
      <c r="X4" s="56"/>
      <c r="Y4" s="56"/>
      <c r="Z4" s="56"/>
    </row>
    <row r="5" spans="1:26" ht="18" x14ac:dyDescent="0.35">
      <c r="A5" s="56"/>
      <c r="B5" s="56"/>
      <c r="C5" s="56"/>
      <c r="D5" s="56"/>
      <c r="E5" s="14"/>
      <c r="G5" s="361" t="s">
        <v>116</v>
      </c>
      <c r="H5" s="362"/>
      <c r="I5" s="362"/>
      <c r="J5" s="362"/>
      <c r="K5" s="362"/>
      <c r="L5" s="362"/>
      <c r="M5" s="362"/>
      <c r="O5" s="56"/>
      <c r="P5" s="57"/>
      <c r="Q5" s="57"/>
      <c r="R5" s="56"/>
      <c r="S5" s="56"/>
      <c r="T5" s="56"/>
      <c r="U5" s="56"/>
      <c r="V5" s="56"/>
      <c r="W5" s="56"/>
      <c r="X5" s="56"/>
      <c r="Y5" s="56"/>
      <c r="Z5" s="56"/>
    </row>
    <row r="6" spans="1:26" ht="18" x14ac:dyDescent="0.35">
      <c r="A6" s="56"/>
      <c r="B6" s="56"/>
      <c r="C6" s="56"/>
      <c r="D6" s="56"/>
      <c r="E6" s="14"/>
      <c r="G6" s="61"/>
      <c r="H6" s="61"/>
      <c r="I6" s="61"/>
      <c r="J6" s="61"/>
      <c r="K6" s="61"/>
      <c r="L6" s="61"/>
      <c r="M6" s="61"/>
      <c r="O6" s="56"/>
      <c r="P6" s="57"/>
      <c r="Q6" s="57"/>
      <c r="R6" s="56"/>
      <c r="S6" s="56"/>
      <c r="T6" s="56"/>
      <c r="U6" s="56"/>
      <c r="V6" s="56"/>
      <c r="W6" s="56"/>
      <c r="X6" s="56"/>
      <c r="Y6" s="56"/>
      <c r="Z6" s="56"/>
    </row>
    <row r="7" spans="1:26" ht="66" customHeight="1" x14ac:dyDescent="0.3">
      <c r="A7" s="62" t="s">
        <v>117</v>
      </c>
      <c r="B7" s="63" t="s">
        <v>118</v>
      </c>
      <c r="C7" s="64" t="s">
        <v>119</v>
      </c>
      <c r="D7" s="64" t="s">
        <v>120</v>
      </c>
      <c r="E7" s="64" t="s">
        <v>121</v>
      </c>
      <c r="F7" s="65" t="s">
        <v>122</v>
      </c>
      <c r="G7" s="65" t="s">
        <v>123</v>
      </c>
      <c r="H7" s="66" t="s">
        <v>124</v>
      </c>
      <c r="I7" s="66" t="s">
        <v>125</v>
      </c>
      <c r="J7" s="67" t="s">
        <v>126</v>
      </c>
      <c r="K7" s="68" t="s">
        <v>127</v>
      </c>
      <c r="L7" s="69" t="s">
        <v>128</v>
      </c>
      <c r="M7" s="70" t="s">
        <v>129</v>
      </c>
      <c r="N7" s="71" t="s">
        <v>130</v>
      </c>
      <c r="O7" s="56"/>
      <c r="P7" s="57"/>
      <c r="Q7" s="57"/>
      <c r="R7" s="56"/>
      <c r="S7" s="56"/>
      <c r="T7" s="56"/>
      <c r="U7" s="56"/>
      <c r="V7" s="56"/>
      <c r="W7" s="56"/>
      <c r="X7" s="56"/>
      <c r="Y7" s="56"/>
      <c r="Z7" s="56"/>
    </row>
    <row r="8" spans="1:26" ht="15.6" x14ac:dyDescent="0.3">
      <c r="A8" s="72">
        <v>2220001</v>
      </c>
      <c r="B8" s="73" t="s">
        <v>12</v>
      </c>
      <c r="C8" s="73">
        <v>36.5</v>
      </c>
      <c r="D8" s="73">
        <v>36.5</v>
      </c>
      <c r="E8" s="74" t="s">
        <v>131</v>
      </c>
      <c r="F8" s="75">
        <v>22</v>
      </c>
      <c r="G8" s="75">
        <v>49</v>
      </c>
      <c r="H8" s="76">
        <v>108</v>
      </c>
      <c r="I8" s="77">
        <v>120</v>
      </c>
      <c r="J8" s="77"/>
      <c r="K8" s="78">
        <v>109</v>
      </c>
      <c r="L8" s="79"/>
      <c r="M8" s="79">
        <f t="shared" ref="M8:M115" si="0">F8+H8-K8</f>
        <v>21</v>
      </c>
      <c r="N8" s="75">
        <f t="shared" ref="N8:N115" si="1">G8+I8-K8</f>
        <v>60</v>
      </c>
      <c r="O8" s="75"/>
      <c r="P8" s="57"/>
      <c r="Q8" s="57"/>
      <c r="R8" s="56"/>
      <c r="S8" s="56"/>
      <c r="T8" s="56"/>
      <c r="U8" s="56"/>
      <c r="V8" s="56"/>
      <c r="W8" s="56"/>
      <c r="X8" s="56"/>
      <c r="Y8" s="56"/>
      <c r="Z8" s="56"/>
    </row>
    <row r="9" spans="1:26" ht="15.6" x14ac:dyDescent="0.3">
      <c r="A9" s="72">
        <v>2220044</v>
      </c>
      <c r="B9" s="73" t="s">
        <v>132</v>
      </c>
      <c r="C9" s="73">
        <v>305</v>
      </c>
      <c r="D9" s="73">
        <v>305</v>
      </c>
      <c r="E9" s="74" t="s">
        <v>133</v>
      </c>
      <c r="F9" s="75">
        <v>76</v>
      </c>
      <c r="G9" s="75">
        <v>76</v>
      </c>
      <c r="H9" s="80">
        <v>182</v>
      </c>
      <c r="I9" s="81">
        <v>182</v>
      </c>
      <c r="J9" s="81"/>
      <c r="K9" s="82">
        <v>254</v>
      </c>
      <c r="L9" s="79"/>
      <c r="M9" s="79">
        <f t="shared" si="0"/>
        <v>4</v>
      </c>
      <c r="N9" s="75">
        <f t="shared" si="1"/>
        <v>4</v>
      </c>
      <c r="O9" s="56"/>
      <c r="P9" s="57"/>
      <c r="Q9" s="57"/>
      <c r="R9" s="56"/>
      <c r="S9" s="56"/>
      <c r="T9" s="56"/>
      <c r="U9" s="56"/>
      <c r="V9" s="56"/>
      <c r="W9" s="56"/>
      <c r="X9" s="56"/>
      <c r="Y9" s="56"/>
      <c r="Z9" s="56"/>
    </row>
    <row r="10" spans="1:26" ht="15.6" x14ac:dyDescent="0.3">
      <c r="A10" s="72">
        <v>2220002</v>
      </c>
      <c r="B10" s="73" t="s">
        <v>14</v>
      </c>
      <c r="C10" s="73">
        <v>57.3</v>
      </c>
      <c r="D10" s="73">
        <v>57.3</v>
      </c>
      <c r="E10" s="74" t="s">
        <v>131</v>
      </c>
      <c r="F10" s="75">
        <v>-194</v>
      </c>
      <c r="G10" s="75">
        <v>93</v>
      </c>
      <c r="H10" s="80">
        <v>199</v>
      </c>
      <c r="I10" s="81">
        <v>211</v>
      </c>
      <c r="J10" s="81"/>
      <c r="K10" s="78">
        <v>205</v>
      </c>
      <c r="L10" s="79"/>
      <c r="M10" s="79">
        <f t="shared" si="0"/>
        <v>-200</v>
      </c>
      <c r="N10" s="75">
        <f t="shared" si="1"/>
        <v>99</v>
      </c>
      <c r="O10" s="56"/>
      <c r="P10" s="57"/>
      <c r="Q10" s="57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5.6" x14ac:dyDescent="0.3">
      <c r="A11" s="72">
        <v>2220085</v>
      </c>
      <c r="B11" s="73" t="s">
        <v>134</v>
      </c>
      <c r="C11" s="73">
        <v>2725</v>
      </c>
      <c r="D11" s="73">
        <v>2725</v>
      </c>
      <c r="E11" s="74" t="s">
        <v>135</v>
      </c>
      <c r="F11" s="75">
        <v>1</v>
      </c>
      <c r="G11" s="75">
        <v>1</v>
      </c>
      <c r="H11" s="80">
        <v>0</v>
      </c>
      <c r="I11" s="81">
        <v>0</v>
      </c>
      <c r="J11" s="81"/>
      <c r="K11" s="82">
        <v>0</v>
      </c>
      <c r="L11" s="79"/>
      <c r="M11" s="79">
        <f t="shared" si="0"/>
        <v>1</v>
      </c>
      <c r="N11" s="75">
        <f t="shared" si="1"/>
        <v>1</v>
      </c>
      <c r="O11" s="56"/>
      <c r="P11" s="57"/>
      <c r="Q11" s="57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5.6" x14ac:dyDescent="0.3">
      <c r="A12" s="72">
        <v>2220003</v>
      </c>
      <c r="B12" s="73" t="s">
        <v>136</v>
      </c>
      <c r="C12" s="73">
        <v>29.2</v>
      </c>
      <c r="D12" s="73">
        <v>29.2</v>
      </c>
      <c r="E12" s="74" t="s">
        <v>137</v>
      </c>
      <c r="F12" s="75">
        <v>-6.4999999999999982</v>
      </c>
      <c r="G12" s="75">
        <v>4.100000000000005</v>
      </c>
      <c r="H12" s="80">
        <v>4</v>
      </c>
      <c r="I12" s="81">
        <v>5.3</v>
      </c>
      <c r="J12" s="81"/>
      <c r="K12" s="83">
        <v>6.5</v>
      </c>
      <c r="L12" s="79"/>
      <c r="M12" s="79">
        <f t="shared" si="0"/>
        <v>-8.9999999999999982</v>
      </c>
      <c r="N12" s="75">
        <f t="shared" si="1"/>
        <v>2.9000000000000057</v>
      </c>
      <c r="O12" s="56"/>
      <c r="P12" s="57"/>
      <c r="Q12" s="57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5.6" x14ac:dyDescent="0.3">
      <c r="A13" s="72">
        <v>2220030</v>
      </c>
      <c r="B13" s="73" t="s">
        <v>138</v>
      </c>
      <c r="C13" s="73">
        <v>62.5</v>
      </c>
      <c r="D13" s="73">
        <v>62.5</v>
      </c>
      <c r="E13" s="74" t="s">
        <v>137</v>
      </c>
      <c r="F13" s="75">
        <v>15</v>
      </c>
      <c r="G13" s="75">
        <v>15</v>
      </c>
      <c r="H13" s="80">
        <v>10</v>
      </c>
      <c r="I13" s="81">
        <v>10</v>
      </c>
      <c r="J13" s="81"/>
      <c r="K13" s="83">
        <v>0</v>
      </c>
      <c r="L13" s="79"/>
      <c r="M13" s="79">
        <f t="shared" si="0"/>
        <v>25</v>
      </c>
      <c r="N13" s="75">
        <f t="shared" si="1"/>
        <v>25</v>
      </c>
      <c r="O13" s="56"/>
      <c r="P13" s="57"/>
      <c r="Q13" s="57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5.6" x14ac:dyDescent="0.3">
      <c r="A14" s="72">
        <v>2220138</v>
      </c>
      <c r="B14" s="73" t="s">
        <v>139</v>
      </c>
      <c r="C14" s="73">
        <v>1100</v>
      </c>
      <c r="D14" s="73">
        <v>1100</v>
      </c>
      <c r="E14" s="74" t="s">
        <v>135</v>
      </c>
      <c r="F14" s="75">
        <v>3</v>
      </c>
      <c r="G14" s="75">
        <v>3</v>
      </c>
      <c r="H14" s="80">
        <v>1</v>
      </c>
      <c r="I14" s="81">
        <v>1</v>
      </c>
      <c r="J14" s="81"/>
      <c r="K14" s="82">
        <v>0</v>
      </c>
      <c r="L14" s="79"/>
      <c r="M14" s="79">
        <f t="shared" si="0"/>
        <v>4</v>
      </c>
      <c r="N14" s="75">
        <f t="shared" si="1"/>
        <v>4</v>
      </c>
      <c r="O14" s="56"/>
      <c r="P14" s="57"/>
      <c r="Q14" s="57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5.6" x14ac:dyDescent="0.3">
      <c r="A15" s="72">
        <v>2220046</v>
      </c>
      <c r="B15" s="73" t="s">
        <v>140</v>
      </c>
      <c r="C15" s="73">
        <v>1250</v>
      </c>
      <c r="D15" s="73">
        <v>1250</v>
      </c>
      <c r="E15" s="74" t="s">
        <v>135</v>
      </c>
      <c r="F15" s="75">
        <v>0</v>
      </c>
      <c r="G15" s="75">
        <v>0</v>
      </c>
      <c r="H15" s="80">
        <v>0</v>
      </c>
      <c r="I15" s="81">
        <v>0</v>
      </c>
      <c r="J15" s="81"/>
      <c r="K15" s="83">
        <v>0</v>
      </c>
      <c r="L15" s="79"/>
      <c r="M15" s="79">
        <f t="shared" si="0"/>
        <v>0</v>
      </c>
      <c r="N15" s="75">
        <f t="shared" si="1"/>
        <v>0</v>
      </c>
      <c r="O15" s="56"/>
      <c r="P15" s="57"/>
      <c r="Q15" s="57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5.6" x14ac:dyDescent="0.3">
      <c r="A16" s="72">
        <v>2220134</v>
      </c>
      <c r="B16" s="73" t="s">
        <v>141</v>
      </c>
      <c r="C16" s="73">
        <v>1197.1199999999999</v>
      </c>
      <c r="D16" s="73">
        <v>1197.1199999999999</v>
      </c>
      <c r="E16" s="74" t="s">
        <v>133</v>
      </c>
      <c r="F16" s="75">
        <v>0</v>
      </c>
      <c r="G16" s="75">
        <v>0</v>
      </c>
      <c r="H16" s="80">
        <v>0</v>
      </c>
      <c r="I16" s="81">
        <v>0</v>
      </c>
      <c r="J16" s="81"/>
      <c r="K16" s="83">
        <v>0</v>
      </c>
      <c r="L16" s="79"/>
      <c r="M16" s="79">
        <f t="shared" si="0"/>
        <v>0</v>
      </c>
      <c r="N16" s="75">
        <f t="shared" si="1"/>
        <v>0</v>
      </c>
      <c r="O16" s="56"/>
      <c r="P16" s="57"/>
      <c r="Q16" s="57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5.6" x14ac:dyDescent="0.3">
      <c r="A17" s="72">
        <v>2220094</v>
      </c>
      <c r="B17" s="73" t="s">
        <v>142</v>
      </c>
      <c r="C17" s="73">
        <v>850</v>
      </c>
      <c r="D17" s="73">
        <v>850</v>
      </c>
      <c r="E17" s="74"/>
      <c r="F17" s="75">
        <v>0</v>
      </c>
      <c r="G17" s="75">
        <v>0</v>
      </c>
      <c r="H17" s="84">
        <v>0</v>
      </c>
      <c r="I17" s="85">
        <v>0</v>
      </c>
      <c r="J17" s="85"/>
      <c r="K17" s="86">
        <v>0</v>
      </c>
      <c r="L17" s="79"/>
      <c r="M17" s="79">
        <f t="shared" si="0"/>
        <v>0</v>
      </c>
      <c r="N17" s="75">
        <f t="shared" si="1"/>
        <v>0</v>
      </c>
      <c r="O17" s="56"/>
      <c r="P17" s="57"/>
      <c r="Q17" s="57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5.6" x14ac:dyDescent="0.3">
      <c r="A18" s="72">
        <v>2220004</v>
      </c>
      <c r="B18" s="73" t="s">
        <v>16</v>
      </c>
      <c r="C18" s="73">
        <v>39.1</v>
      </c>
      <c r="D18" s="73">
        <v>39.1</v>
      </c>
      <c r="E18" s="74" t="s">
        <v>137</v>
      </c>
      <c r="F18" s="75">
        <v>16.36</v>
      </c>
      <c r="G18" s="75">
        <v>9.2999999999999972</v>
      </c>
      <c r="H18" s="80">
        <v>23</v>
      </c>
      <c r="I18" s="81">
        <v>22.85</v>
      </c>
      <c r="J18" s="81"/>
      <c r="K18" s="83">
        <v>20.75</v>
      </c>
      <c r="L18" s="79"/>
      <c r="M18" s="79">
        <f t="shared" si="0"/>
        <v>18.61</v>
      </c>
      <c r="N18" s="75">
        <f t="shared" si="1"/>
        <v>11.399999999999999</v>
      </c>
      <c r="O18" s="56"/>
      <c r="P18" s="57"/>
      <c r="Q18" s="57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5.6" x14ac:dyDescent="0.3">
      <c r="A19" s="72">
        <v>2220005</v>
      </c>
      <c r="B19" s="73" t="s">
        <v>62</v>
      </c>
      <c r="C19" s="73">
        <v>93.5</v>
      </c>
      <c r="D19" s="73">
        <v>93.5</v>
      </c>
      <c r="E19" s="74" t="s">
        <v>137</v>
      </c>
      <c r="F19" s="75">
        <v>5.1000000000000014</v>
      </c>
      <c r="G19" s="75">
        <v>5.0999999999999979</v>
      </c>
      <c r="H19" s="84">
        <v>5</v>
      </c>
      <c r="I19" s="85">
        <v>4.6500000000000004</v>
      </c>
      <c r="J19" s="87"/>
      <c r="K19" s="86">
        <v>4.2</v>
      </c>
      <c r="L19" s="88"/>
      <c r="M19" s="79">
        <f t="shared" si="0"/>
        <v>5.9000000000000012</v>
      </c>
      <c r="N19" s="75">
        <f t="shared" si="1"/>
        <v>5.549999999999998</v>
      </c>
      <c r="O19" s="56"/>
      <c r="P19" s="57"/>
      <c r="Q19" s="57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5.6" x14ac:dyDescent="0.3">
      <c r="A20" s="72">
        <v>2220006</v>
      </c>
      <c r="B20" s="73" t="s">
        <v>17</v>
      </c>
      <c r="C20" s="73">
        <v>36.5</v>
      </c>
      <c r="D20" s="73">
        <v>36.5</v>
      </c>
      <c r="E20" s="74" t="s">
        <v>137</v>
      </c>
      <c r="F20" s="75">
        <v>-0.84500000000000597</v>
      </c>
      <c r="G20" s="75">
        <v>5.9500000000000028</v>
      </c>
      <c r="H20" s="80">
        <v>15</v>
      </c>
      <c r="I20" s="76">
        <v>15.1</v>
      </c>
      <c r="J20" s="80"/>
      <c r="K20" s="83">
        <v>14.75</v>
      </c>
      <c r="L20" s="79"/>
      <c r="M20" s="79">
        <f t="shared" si="0"/>
        <v>-0.59500000000000597</v>
      </c>
      <c r="N20" s="75">
        <f t="shared" si="1"/>
        <v>6.3000000000000043</v>
      </c>
      <c r="O20" s="56"/>
      <c r="P20" s="57"/>
      <c r="Q20" s="57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5.75" customHeight="1" x14ac:dyDescent="0.3">
      <c r="A21" s="72">
        <v>2220089</v>
      </c>
      <c r="B21" s="73" t="s">
        <v>143</v>
      </c>
      <c r="C21" s="73">
        <v>420</v>
      </c>
      <c r="D21" s="73">
        <v>420</v>
      </c>
      <c r="E21" s="74" t="s">
        <v>137</v>
      </c>
      <c r="F21" s="75">
        <v>0</v>
      </c>
      <c r="G21" s="75">
        <v>0</v>
      </c>
      <c r="H21" s="80">
        <v>0</v>
      </c>
      <c r="I21" s="77">
        <v>0</v>
      </c>
      <c r="J21" s="81"/>
      <c r="K21" s="83">
        <v>0</v>
      </c>
      <c r="L21" s="79"/>
      <c r="M21" s="79">
        <f t="shared" si="0"/>
        <v>0</v>
      </c>
      <c r="N21" s="75">
        <f t="shared" si="1"/>
        <v>0</v>
      </c>
      <c r="O21" s="56"/>
      <c r="P21" s="57"/>
      <c r="Q21" s="57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5.75" customHeight="1" x14ac:dyDescent="0.3">
      <c r="A22" s="72">
        <v>2220072</v>
      </c>
      <c r="B22" s="73" t="s">
        <v>144</v>
      </c>
      <c r="C22" s="73">
        <v>350</v>
      </c>
      <c r="D22" s="73">
        <v>350</v>
      </c>
      <c r="E22" s="74" t="s">
        <v>133</v>
      </c>
      <c r="F22" s="75">
        <v>1</v>
      </c>
      <c r="G22" s="75">
        <v>1</v>
      </c>
      <c r="H22" s="80">
        <v>0</v>
      </c>
      <c r="I22" s="76">
        <v>0</v>
      </c>
      <c r="J22" s="81"/>
      <c r="K22" s="83">
        <v>0</v>
      </c>
      <c r="L22" s="79"/>
      <c r="M22" s="79">
        <f t="shared" si="0"/>
        <v>1</v>
      </c>
      <c r="N22" s="75">
        <f t="shared" si="1"/>
        <v>1</v>
      </c>
      <c r="O22" s="56"/>
      <c r="P22" s="57"/>
      <c r="Q22" s="57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5.75" customHeight="1" x14ac:dyDescent="0.3">
      <c r="A23" s="72">
        <v>2220090</v>
      </c>
      <c r="B23" s="73" t="s">
        <v>145</v>
      </c>
      <c r="C23" s="73">
        <v>520</v>
      </c>
      <c r="D23" s="73">
        <v>520</v>
      </c>
      <c r="E23" s="74" t="s">
        <v>137</v>
      </c>
      <c r="F23" s="75">
        <v>0</v>
      </c>
      <c r="G23" s="75">
        <v>0</v>
      </c>
      <c r="H23" s="80"/>
      <c r="I23" s="81"/>
      <c r="J23" s="81"/>
      <c r="K23" s="83">
        <v>0</v>
      </c>
      <c r="L23" s="79"/>
      <c r="M23" s="79">
        <f t="shared" si="0"/>
        <v>0</v>
      </c>
      <c r="N23" s="75">
        <f t="shared" si="1"/>
        <v>0</v>
      </c>
      <c r="O23" s="56"/>
      <c r="P23" s="57"/>
      <c r="Q23" s="57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5.75" customHeight="1" x14ac:dyDescent="0.3">
      <c r="A24" s="72">
        <v>2220007</v>
      </c>
      <c r="B24" s="73" t="s">
        <v>37</v>
      </c>
      <c r="C24" s="73">
        <v>85.5</v>
      </c>
      <c r="D24" s="73">
        <v>85.5</v>
      </c>
      <c r="E24" s="74" t="s">
        <v>137</v>
      </c>
      <c r="F24" s="75">
        <v>-4.5500000000000007</v>
      </c>
      <c r="G24" s="75">
        <v>2.8000000000000007</v>
      </c>
      <c r="H24" s="80">
        <v>6</v>
      </c>
      <c r="I24" s="81">
        <v>5.6</v>
      </c>
      <c r="J24" s="81"/>
      <c r="K24" s="83">
        <v>5.0999999999999996</v>
      </c>
      <c r="L24" s="79"/>
      <c r="M24" s="79">
        <f t="shared" si="0"/>
        <v>-3.6500000000000004</v>
      </c>
      <c r="N24" s="75">
        <f t="shared" si="1"/>
        <v>3.3000000000000007</v>
      </c>
      <c r="O24" s="56"/>
      <c r="P24" s="57"/>
      <c r="Q24" s="57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5.75" customHeight="1" x14ac:dyDescent="0.3">
      <c r="A25" s="72">
        <v>2220050</v>
      </c>
      <c r="B25" s="73" t="s">
        <v>146</v>
      </c>
      <c r="C25" s="73">
        <v>1392</v>
      </c>
      <c r="D25" s="73">
        <v>1392</v>
      </c>
      <c r="E25" s="74" t="s">
        <v>135</v>
      </c>
      <c r="F25" s="75">
        <v>16</v>
      </c>
      <c r="G25" s="75">
        <v>16</v>
      </c>
      <c r="H25" s="89">
        <v>3</v>
      </c>
      <c r="I25" s="90">
        <v>3</v>
      </c>
      <c r="J25" s="81"/>
      <c r="K25" s="83">
        <v>0</v>
      </c>
      <c r="L25" s="79"/>
      <c r="M25" s="79">
        <f t="shared" si="0"/>
        <v>19</v>
      </c>
      <c r="N25" s="75">
        <f t="shared" si="1"/>
        <v>19</v>
      </c>
      <c r="O25" s="56"/>
      <c r="P25" s="57"/>
      <c r="Q25" s="57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5.75" customHeight="1" x14ac:dyDescent="0.3">
      <c r="A26" s="72">
        <v>2220042</v>
      </c>
      <c r="B26" s="73" t="s">
        <v>147</v>
      </c>
      <c r="C26" s="73">
        <v>215</v>
      </c>
      <c r="D26" s="73">
        <v>215</v>
      </c>
      <c r="E26" s="74" t="s">
        <v>137</v>
      </c>
      <c r="F26" s="75">
        <v>-30.399999999999977</v>
      </c>
      <c r="G26" s="75">
        <v>128.19999999999982</v>
      </c>
      <c r="H26" s="80">
        <v>250</v>
      </c>
      <c r="I26" s="81">
        <v>289.95</v>
      </c>
      <c r="J26" s="81"/>
      <c r="K26" s="83">
        <v>233.4</v>
      </c>
      <c r="L26" s="79"/>
      <c r="M26" s="79">
        <f t="shared" si="0"/>
        <v>-13.799999999999983</v>
      </c>
      <c r="N26" s="75">
        <f t="shared" si="1"/>
        <v>184.7499999999998</v>
      </c>
      <c r="O26" s="56"/>
      <c r="P26" s="57"/>
      <c r="Q26" s="57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5.75" customHeight="1" x14ac:dyDescent="0.3">
      <c r="A27" s="72">
        <v>2220068</v>
      </c>
      <c r="B27" s="73" t="s">
        <v>148</v>
      </c>
      <c r="C27" s="73">
        <v>519.67999999999995</v>
      </c>
      <c r="D27" s="73">
        <v>519.67999999999995</v>
      </c>
      <c r="E27" s="74" t="s">
        <v>133</v>
      </c>
      <c r="F27" s="75">
        <v>5</v>
      </c>
      <c r="G27" s="75">
        <v>5</v>
      </c>
      <c r="H27" s="80">
        <v>0</v>
      </c>
      <c r="I27" s="81">
        <v>0</v>
      </c>
      <c r="J27" s="81"/>
      <c r="K27" s="83">
        <v>0</v>
      </c>
      <c r="L27" s="79"/>
      <c r="M27" s="79">
        <f t="shared" si="0"/>
        <v>5</v>
      </c>
      <c r="N27" s="75">
        <f t="shared" si="1"/>
        <v>5</v>
      </c>
      <c r="O27" s="56"/>
      <c r="P27" s="57"/>
      <c r="Q27" s="57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5.75" customHeight="1" x14ac:dyDescent="0.3">
      <c r="A28" s="72">
        <v>2220008</v>
      </c>
      <c r="B28" s="73" t="s">
        <v>18</v>
      </c>
      <c r="C28" s="73">
        <v>40</v>
      </c>
      <c r="D28" s="73">
        <v>40</v>
      </c>
      <c r="E28" s="74" t="s">
        <v>137</v>
      </c>
      <c r="F28" s="75">
        <v>-2.0499999999999901</v>
      </c>
      <c r="G28" s="75">
        <v>6.8500000000000014</v>
      </c>
      <c r="H28" s="80">
        <v>15</v>
      </c>
      <c r="I28" s="81">
        <v>15.4</v>
      </c>
      <c r="J28" s="81"/>
      <c r="K28" s="83">
        <v>14.35</v>
      </c>
      <c r="L28" s="79"/>
      <c r="M28" s="79">
        <f t="shared" si="0"/>
        <v>-1.3999999999999897</v>
      </c>
      <c r="N28" s="75">
        <f t="shared" si="1"/>
        <v>7.9</v>
      </c>
      <c r="O28" s="56"/>
      <c r="P28" s="57"/>
      <c r="Q28" s="57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5.75" customHeight="1" x14ac:dyDescent="0.3">
      <c r="A29" s="72">
        <v>2220066</v>
      </c>
      <c r="B29" s="73" t="s">
        <v>149</v>
      </c>
      <c r="C29" s="73">
        <v>510</v>
      </c>
      <c r="D29" s="73">
        <v>510</v>
      </c>
      <c r="E29" s="74" t="s">
        <v>133</v>
      </c>
      <c r="F29" s="75">
        <v>0</v>
      </c>
      <c r="G29" s="75">
        <v>0</v>
      </c>
      <c r="H29" s="80">
        <v>0</v>
      </c>
      <c r="I29" s="81">
        <v>0</v>
      </c>
      <c r="J29" s="81"/>
      <c r="K29" s="83">
        <v>0</v>
      </c>
      <c r="L29" s="79"/>
      <c r="M29" s="79">
        <f t="shared" si="0"/>
        <v>0</v>
      </c>
      <c r="N29" s="75">
        <f t="shared" si="1"/>
        <v>0</v>
      </c>
      <c r="O29" s="56"/>
      <c r="P29" s="57"/>
      <c r="Q29" s="57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5.75" customHeight="1" x14ac:dyDescent="0.3">
      <c r="A30" s="72">
        <v>2220009</v>
      </c>
      <c r="B30" s="73" t="s">
        <v>19</v>
      </c>
      <c r="C30" s="73">
        <v>41.5</v>
      </c>
      <c r="D30" s="73">
        <v>41.5</v>
      </c>
      <c r="E30" s="74" t="s">
        <v>137</v>
      </c>
      <c r="F30" s="75">
        <v>-5.1500000000000039</v>
      </c>
      <c r="G30" s="75">
        <v>1.1500000000000004</v>
      </c>
      <c r="H30" s="80">
        <v>2.5</v>
      </c>
      <c r="I30" s="81">
        <v>2.75</v>
      </c>
      <c r="J30" s="81"/>
      <c r="K30" s="83">
        <v>2.4500000000000002</v>
      </c>
      <c r="L30" s="79"/>
      <c r="M30" s="79">
        <f t="shared" si="0"/>
        <v>-5.1000000000000041</v>
      </c>
      <c r="N30" s="75">
        <f t="shared" si="1"/>
        <v>1.4500000000000002</v>
      </c>
      <c r="O30" s="56"/>
      <c r="P30" s="57"/>
      <c r="Q30" s="57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5.75" customHeight="1" x14ac:dyDescent="0.3">
      <c r="A31" s="72">
        <v>2220010</v>
      </c>
      <c r="B31" s="73" t="s">
        <v>72</v>
      </c>
      <c r="C31" s="73">
        <v>20.7</v>
      </c>
      <c r="D31" s="73">
        <v>20.7</v>
      </c>
      <c r="E31" s="74" t="s">
        <v>131</v>
      </c>
      <c r="F31" s="75">
        <v>25</v>
      </c>
      <c r="G31" s="75">
        <v>17</v>
      </c>
      <c r="H31" s="80">
        <v>28</v>
      </c>
      <c r="I31" s="81">
        <v>26</v>
      </c>
      <c r="J31" s="81"/>
      <c r="K31" s="83">
        <v>24</v>
      </c>
      <c r="L31" s="79"/>
      <c r="M31" s="79">
        <f t="shared" si="0"/>
        <v>29</v>
      </c>
      <c r="N31" s="75">
        <f t="shared" si="1"/>
        <v>19</v>
      </c>
      <c r="O31" s="56"/>
      <c r="P31" s="57"/>
      <c r="Q31" s="57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5.75" customHeight="1" x14ac:dyDescent="0.3">
      <c r="A32" s="72">
        <v>2220011</v>
      </c>
      <c r="B32" s="73" t="s">
        <v>21</v>
      </c>
      <c r="C32" s="73">
        <v>46.9</v>
      </c>
      <c r="D32" s="73">
        <v>46.9</v>
      </c>
      <c r="E32" s="74" t="s">
        <v>133</v>
      </c>
      <c r="F32" s="75">
        <v>20</v>
      </c>
      <c r="G32" s="75">
        <v>11</v>
      </c>
      <c r="H32" s="80">
        <v>26</v>
      </c>
      <c r="I32" s="81">
        <v>26</v>
      </c>
      <c r="J32" s="81"/>
      <c r="K32" s="83">
        <v>26</v>
      </c>
      <c r="L32" s="79"/>
      <c r="M32" s="79">
        <f t="shared" si="0"/>
        <v>20</v>
      </c>
      <c r="N32" s="75">
        <f t="shared" si="1"/>
        <v>11</v>
      </c>
      <c r="O32" s="56"/>
      <c r="P32" s="57"/>
      <c r="Q32" s="57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5.75" customHeight="1" x14ac:dyDescent="0.3">
      <c r="A33" s="72">
        <v>2220070</v>
      </c>
      <c r="B33" s="73" t="s">
        <v>150</v>
      </c>
      <c r="C33" s="73">
        <v>54</v>
      </c>
      <c r="D33" s="73">
        <v>54</v>
      </c>
      <c r="E33" s="74" t="s">
        <v>133</v>
      </c>
      <c r="F33" s="75">
        <v>0</v>
      </c>
      <c r="G33" s="75">
        <v>0</v>
      </c>
      <c r="H33" s="80">
        <v>0</v>
      </c>
      <c r="I33" s="81">
        <v>0</v>
      </c>
      <c r="J33" s="81"/>
      <c r="K33" s="83">
        <v>0</v>
      </c>
      <c r="L33" s="79"/>
      <c r="M33" s="79">
        <f t="shared" si="0"/>
        <v>0</v>
      </c>
      <c r="N33" s="75">
        <f t="shared" si="1"/>
        <v>0</v>
      </c>
      <c r="O33" s="56"/>
      <c r="P33" s="57"/>
      <c r="Q33" s="57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5.75" customHeight="1" x14ac:dyDescent="0.3">
      <c r="A34" s="91">
        <v>2220139</v>
      </c>
      <c r="B34" s="73" t="s">
        <v>46</v>
      </c>
      <c r="C34" s="73">
        <v>890</v>
      </c>
      <c r="D34" s="73">
        <v>890</v>
      </c>
      <c r="E34" s="74" t="s">
        <v>135</v>
      </c>
      <c r="F34" s="75">
        <v>8</v>
      </c>
      <c r="G34" s="75">
        <v>8</v>
      </c>
      <c r="H34" s="84">
        <v>7</v>
      </c>
      <c r="I34" s="85">
        <v>7</v>
      </c>
      <c r="J34" s="85"/>
      <c r="K34" s="86">
        <v>1</v>
      </c>
      <c r="L34" s="88"/>
      <c r="M34" s="79">
        <f t="shared" si="0"/>
        <v>14</v>
      </c>
      <c r="N34" s="75">
        <f t="shared" si="1"/>
        <v>14</v>
      </c>
      <c r="O34" s="56"/>
      <c r="P34" s="57"/>
      <c r="Q34" s="57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5.75" customHeight="1" x14ac:dyDescent="0.3">
      <c r="A35" s="72">
        <v>2220047</v>
      </c>
      <c r="B35" s="73" t="s">
        <v>151</v>
      </c>
      <c r="C35" s="73">
        <v>1000</v>
      </c>
      <c r="D35" s="73">
        <v>1000</v>
      </c>
      <c r="E35" s="74" t="s">
        <v>135</v>
      </c>
      <c r="F35" s="75">
        <v>0</v>
      </c>
      <c r="G35" s="75">
        <v>0</v>
      </c>
      <c r="H35" s="84">
        <v>0</v>
      </c>
      <c r="I35" s="85">
        <v>0</v>
      </c>
      <c r="J35" s="85"/>
      <c r="K35" s="86">
        <v>0</v>
      </c>
      <c r="L35" s="88"/>
      <c r="M35" s="79">
        <f t="shared" si="0"/>
        <v>0</v>
      </c>
      <c r="N35" s="75">
        <f t="shared" si="1"/>
        <v>0</v>
      </c>
      <c r="O35" s="56"/>
      <c r="P35" s="57"/>
      <c r="Q35" s="57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5.75" customHeight="1" x14ac:dyDescent="0.3">
      <c r="A36" s="72">
        <v>2220012</v>
      </c>
      <c r="B36" s="73" t="s">
        <v>22</v>
      </c>
      <c r="C36" s="73">
        <v>13.7</v>
      </c>
      <c r="D36" s="73">
        <v>13.7</v>
      </c>
      <c r="E36" s="74" t="s">
        <v>133</v>
      </c>
      <c r="F36" s="75">
        <v>-2</v>
      </c>
      <c r="G36" s="75">
        <v>27</v>
      </c>
      <c r="H36" s="84">
        <v>65</v>
      </c>
      <c r="I36" s="85">
        <v>73</v>
      </c>
      <c r="J36" s="85"/>
      <c r="K36" s="86">
        <v>60</v>
      </c>
      <c r="L36" s="79"/>
      <c r="M36" s="79">
        <f t="shared" si="0"/>
        <v>3</v>
      </c>
      <c r="N36" s="75">
        <f t="shared" si="1"/>
        <v>40</v>
      </c>
      <c r="O36" s="56"/>
      <c r="P36" s="57"/>
      <c r="Q36" s="57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5.75" customHeight="1" x14ac:dyDescent="0.3">
      <c r="A37" s="72">
        <v>2220135</v>
      </c>
      <c r="B37" s="73" t="s">
        <v>152</v>
      </c>
      <c r="C37" s="73">
        <v>199</v>
      </c>
      <c r="D37" s="73">
        <v>199</v>
      </c>
      <c r="E37" s="74" t="s">
        <v>133</v>
      </c>
      <c r="F37" s="75">
        <v>0</v>
      </c>
      <c r="G37" s="75">
        <v>0</v>
      </c>
      <c r="H37" s="80">
        <v>0</v>
      </c>
      <c r="I37" s="81">
        <v>0</v>
      </c>
      <c r="J37" s="81"/>
      <c r="K37" s="83">
        <v>0</v>
      </c>
      <c r="L37" s="79"/>
      <c r="M37" s="79">
        <f t="shared" si="0"/>
        <v>0</v>
      </c>
      <c r="N37" s="75">
        <f t="shared" si="1"/>
        <v>0</v>
      </c>
      <c r="O37" s="56"/>
      <c r="P37" s="57"/>
      <c r="Q37" s="57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5.75" customHeight="1" x14ac:dyDescent="0.3">
      <c r="A38" s="91">
        <v>2220140</v>
      </c>
      <c r="B38" s="73" t="s">
        <v>153</v>
      </c>
      <c r="C38" s="73">
        <v>690</v>
      </c>
      <c r="D38" s="73">
        <v>690</v>
      </c>
      <c r="E38" s="74" t="s">
        <v>135</v>
      </c>
      <c r="F38" s="75">
        <v>2</v>
      </c>
      <c r="G38" s="75">
        <v>7</v>
      </c>
      <c r="H38" s="84">
        <v>6</v>
      </c>
      <c r="I38" s="85">
        <v>6</v>
      </c>
      <c r="J38" s="85"/>
      <c r="K38" s="86">
        <v>5</v>
      </c>
      <c r="L38" s="88"/>
      <c r="M38" s="79">
        <f t="shared" si="0"/>
        <v>3</v>
      </c>
      <c r="N38" s="75">
        <f t="shared" si="1"/>
        <v>8</v>
      </c>
      <c r="O38" s="56"/>
      <c r="P38" s="57"/>
      <c r="Q38" s="57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5.75" customHeight="1" x14ac:dyDescent="0.3">
      <c r="A39" s="72">
        <v>2220048</v>
      </c>
      <c r="B39" s="73" t="s">
        <v>154</v>
      </c>
      <c r="C39" s="73">
        <v>790</v>
      </c>
      <c r="D39" s="73">
        <v>790</v>
      </c>
      <c r="E39" s="74" t="s">
        <v>135</v>
      </c>
      <c r="F39" s="75">
        <v>0</v>
      </c>
      <c r="G39" s="75">
        <v>0</v>
      </c>
      <c r="H39" s="84">
        <v>0</v>
      </c>
      <c r="I39" s="85">
        <v>0</v>
      </c>
      <c r="J39" s="85"/>
      <c r="K39" s="86">
        <v>0</v>
      </c>
      <c r="L39" s="88"/>
      <c r="M39" s="79">
        <f t="shared" si="0"/>
        <v>0</v>
      </c>
      <c r="N39" s="75">
        <f t="shared" si="1"/>
        <v>0</v>
      </c>
      <c r="O39" s="56"/>
      <c r="P39" s="57"/>
      <c r="Q39" s="57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5.75" customHeight="1" x14ac:dyDescent="0.3">
      <c r="A40" s="91">
        <v>2220137</v>
      </c>
      <c r="B40" s="73" t="s">
        <v>155</v>
      </c>
      <c r="C40" s="73">
        <v>1050</v>
      </c>
      <c r="D40" s="73">
        <v>1050</v>
      </c>
      <c r="E40" s="74" t="s">
        <v>135</v>
      </c>
      <c r="F40" s="75">
        <v>0</v>
      </c>
      <c r="G40" s="75">
        <v>0</v>
      </c>
      <c r="H40" s="84">
        <v>0</v>
      </c>
      <c r="I40" s="85">
        <v>0</v>
      </c>
      <c r="J40" s="85"/>
      <c r="K40" s="86">
        <v>0</v>
      </c>
      <c r="L40" s="88"/>
      <c r="M40" s="79">
        <f t="shared" si="0"/>
        <v>0</v>
      </c>
      <c r="N40" s="75">
        <f t="shared" si="1"/>
        <v>0</v>
      </c>
      <c r="O40" s="56"/>
      <c r="P40" s="57"/>
      <c r="Q40" s="57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5.75" customHeight="1" x14ac:dyDescent="0.3">
      <c r="A41" s="72">
        <v>2220049</v>
      </c>
      <c r="B41" s="73" t="s">
        <v>156</v>
      </c>
      <c r="C41" s="73">
        <v>1200</v>
      </c>
      <c r="D41" s="73">
        <v>1200</v>
      </c>
      <c r="E41" s="74" t="s">
        <v>135</v>
      </c>
      <c r="F41" s="75">
        <v>0</v>
      </c>
      <c r="G41" s="75">
        <v>0</v>
      </c>
      <c r="H41" s="84">
        <v>0</v>
      </c>
      <c r="I41" s="85">
        <v>0</v>
      </c>
      <c r="J41" s="85"/>
      <c r="K41" s="86">
        <v>0</v>
      </c>
      <c r="L41" s="88"/>
      <c r="M41" s="79">
        <f t="shared" si="0"/>
        <v>0</v>
      </c>
      <c r="N41" s="75">
        <f t="shared" si="1"/>
        <v>0</v>
      </c>
      <c r="O41" s="56"/>
      <c r="P41" s="57"/>
      <c r="Q41" s="57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5.75" customHeight="1" x14ac:dyDescent="0.3">
      <c r="A42" s="72">
        <v>2220013</v>
      </c>
      <c r="B42" s="73" t="s">
        <v>23</v>
      </c>
      <c r="C42" s="73">
        <v>20.8</v>
      </c>
      <c r="D42" s="73">
        <v>20.8</v>
      </c>
      <c r="E42" s="74" t="s">
        <v>131</v>
      </c>
      <c r="F42" s="75">
        <v>25</v>
      </c>
      <c r="G42" s="75">
        <v>98</v>
      </c>
      <c r="H42" s="84">
        <v>227</v>
      </c>
      <c r="I42" s="85">
        <v>227</v>
      </c>
      <c r="J42" s="85"/>
      <c r="K42" s="86">
        <v>227</v>
      </c>
      <c r="L42" s="79"/>
      <c r="M42" s="79">
        <f t="shared" si="0"/>
        <v>25</v>
      </c>
      <c r="N42" s="75">
        <f t="shared" si="1"/>
        <v>98</v>
      </c>
      <c r="O42" s="56"/>
      <c r="P42" s="57"/>
      <c r="Q42" s="57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5.75" customHeight="1" x14ac:dyDescent="0.3">
      <c r="A43" s="72">
        <v>2220081</v>
      </c>
      <c r="B43" s="73" t="s">
        <v>157</v>
      </c>
      <c r="C43" s="73">
        <v>1755</v>
      </c>
      <c r="D43" s="73">
        <v>1755</v>
      </c>
      <c r="E43" s="74" t="s">
        <v>133</v>
      </c>
      <c r="F43" s="75">
        <v>11</v>
      </c>
      <c r="G43" s="75">
        <v>11</v>
      </c>
      <c r="H43" s="80">
        <v>0</v>
      </c>
      <c r="I43" s="81">
        <v>0</v>
      </c>
      <c r="J43" s="81"/>
      <c r="K43" s="83">
        <v>0</v>
      </c>
      <c r="L43" s="79"/>
      <c r="M43" s="79">
        <f t="shared" si="0"/>
        <v>11</v>
      </c>
      <c r="N43" s="75">
        <f t="shared" si="1"/>
        <v>11</v>
      </c>
      <c r="O43" s="56"/>
      <c r="P43" s="57"/>
      <c r="Q43" s="57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5.75" customHeight="1" x14ac:dyDescent="0.3">
      <c r="A44" s="91">
        <v>2220136</v>
      </c>
      <c r="B44" s="73" t="s">
        <v>158</v>
      </c>
      <c r="C44" s="73">
        <v>558.4</v>
      </c>
      <c r="D44" s="73">
        <v>558.4</v>
      </c>
      <c r="E44" s="74" t="s">
        <v>133</v>
      </c>
      <c r="F44" s="75">
        <v>0</v>
      </c>
      <c r="G44" s="75">
        <v>0</v>
      </c>
      <c r="H44" s="80">
        <v>0</v>
      </c>
      <c r="I44" s="81">
        <v>0</v>
      </c>
      <c r="J44" s="81"/>
      <c r="K44" s="83">
        <v>0</v>
      </c>
      <c r="L44" s="79"/>
      <c r="M44" s="79">
        <f t="shared" si="0"/>
        <v>0</v>
      </c>
      <c r="N44" s="75">
        <f t="shared" si="1"/>
        <v>0</v>
      </c>
      <c r="O44" s="56"/>
      <c r="P44" s="57"/>
      <c r="Q44" s="57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15.75" customHeight="1" x14ac:dyDescent="0.3">
      <c r="A45" s="72">
        <v>2220091</v>
      </c>
      <c r="B45" s="73" t="s">
        <v>159</v>
      </c>
      <c r="C45" s="73">
        <v>190</v>
      </c>
      <c r="D45" s="73">
        <v>190</v>
      </c>
      <c r="E45" s="74" t="s">
        <v>137</v>
      </c>
      <c r="F45" s="75">
        <v>0</v>
      </c>
      <c r="G45" s="75">
        <v>0</v>
      </c>
      <c r="H45" s="80">
        <v>0</v>
      </c>
      <c r="I45" s="81">
        <v>0</v>
      </c>
      <c r="J45" s="81"/>
      <c r="K45" s="83">
        <v>0</v>
      </c>
      <c r="L45" s="79"/>
      <c r="M45" s="79">
        <f t="shared" si="0"/>
        <v>0</v>
      </c>
      <c r="N45" s="75">
        <f t="shared" si="1"/>
        <v>0</v>
      </c>
      <c r="O45" s="56"/>
      <c r="P45" s="57"/>
      <c r="Q45" s="57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15.75" customHeight="1" x14ac:dyDescent="0.3">
      <c r="A46" s="72">
        <v>2220079</v>
      </c>
      <c r="B46" s="73" t="s">
        <v>160</v>
      </c>
      <c r="C46" s="73">
        <v>287.86</v>
      </c>
      <c r="D46" s="73">
        <v>287.86</v>
      </c>
      <c r="E46" s="74" t="s">
        <v>133</v>
      </c>
      <c r="F46" s="75">
        <v>0</v>
      </c>
      <c r="G46" s="75">
        <v>0</v>
      </c>
      <c r="H46" s="80">
        <v>0</v>
      </c>
      <c r="I46" s="81">
        <v>0</v>
      </c>
      <c r="J46" s="81"/>
      <c r="K46" s="83">
        <v>0</v>
      </c>
      <c r="L46" s="79"/>
      <c r="M46" s="79">
        <f t="shared" si="0"/>
        <v>0</v>
      </c>
      <c r="N46" s="75">
        <f t="shared" si="1"/>
        <v>0</v>
      </c>
      <c r="O46" s="56"/>
      <c r="P46" s="57"/>
      <c r="Q46" s="57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15.75" customHeight="1" x14ac:dyDescent="0.3">
      <c r="A47" s="72">
        <v>2220076</v>
      </c>
      <c r="B47" s="73" t="s">
        <v>161</v>
      </c>
      <c r="C47" s="73">
        <v>164</v>
      </c>
      <c r="D47" s="73">
        <v>164</v>
      </c>
      <c r="E47" s="74" t="s">
        <v>133</v>
      </c>
      <c r="F47" s="75">
        <v>0</v>
      </c>
      <c r="G47" s="75">
        <v>0</v>
      </c>
      <c r="H47" s="80">
        <v>0</v>
      </c>
      <c r="I47" s="81">
        <v>0</v>
      </c>
      <c r="J47" s="81"/>
      <c r="K47" s="83">
        <v>0</v>
      </c>
      <c r="L47" s="79"/>
      <c r="M47" s="79">
        <f t="shared" si="0"/>
        <v>0</v>
      </c>
      <c r="N47" s="75">
        <f t="shared" si="1"/>
        <v>0</v>
      </c>
      <c r="O47" s="56"/>
      <c r="P47" s="57"/>
      <c r="Q47" s="57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5.75" customHeight="1" x14ac:dyDescent="0.3">
      <c r="A48" s="72">
        <v>2220014</v>
      </c>
      <c r="B48" s="73" t="s">
        <v>24</v>
      </c>
      <c r="C48" s="73">
        <v>59.9</v>
      </c>
      <c r="D48" s="73">
        <v>59.9</v>
      </c>
      <c r="E48" s="74" t="s">
        <v>137</v>
      </c>
      <c r="F48" s="75">
        <v>-2.2000000000000011</v>
      </c>
      <c r="G48" s="75">
        <v>1.6500000000000004</v>
      </c>
      <c r="H48" s="80">
        <v>3.5</v>
      </c>
      <c r="I48" s="81">
        <v>3.5</v>
      </c>
      <c r="J48" s="81"/>
      <c r="K48" s="83">
        <v>3.75</v>
      </c>
      <c r="L48" s="79"/>
      <c r="M48" s="79">
        <f t="shared" si="0"/>
        <v>-2.4500000000000011</v>
      </c>
      <c r="N48" s="75">
        <f t="shared" si="1"/>
        <v>1.4000000000000004</v>
      </c>
      <c r="O48" s="56"/>
      <c r="P48" s="57"/>
      <c r="Q48" s="57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5.75" customHeight="1" x14ac:dyDescent="0.3">
      <c r="A49" s="72">
        <v>2220015</v>
      </c>
      <c r="B49" s="73" t="s">
        <v>25</v>
      </c>
      <c r="C49" s="73">
        <v>98.9</v>
      </c>
      <c r="D49" s="73">
        <v>98.9</v>
      </c>
      <c r="E49" s="74" t="s">
        <v>137</v>
      </c>
      <c r="F49" s="75">
        <v>-0.14999999999999858</v>
      </c>
      <c r="G49" s="75">
        <v>4.0499999999999901</v>
      </c>
      <c r="H49" s="80">
        <v>9</v>
      </c>
      <c r="I49" s="81">
        <v>9.1999999999999993</v>
      </c>
      <c r="J49" s="81"/>
      <c r="K49" s="83">
        <v>9.5500000000000007</v>
      </c>
      <c r="L49" s="79"/>
      <c r="M49" s="79">
        <f t="shared" si="0"/>
        <v>-0.69999999999999929</v>
      </c>
      <c r="N49" s="75">
        <f t="shared" si="1"/>
        <v>3.6999999999999886</v>
      </c>
      <c r="O49" s="56"/>
      <c r="P49" s="57"/>
      <c r="Q49" s="57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5.75" customHeight="1" x14ac:dyDescent="0.3">
      <c r="A50" s="72">
        <v>2220052</v>
      </c>
      <c r="B50" s="73" t="s">
        <v>162</v>
      </c>
      <c r="C50" s="73">
        <v>2710</v>
      </c>
      <c r="D50" s="73">
        <v>2710</v>
      </c>
      <c r="E50" s="74" t="s">
        <v>135</v>
      </c>
      <c r="F50" s="75">
        <v>4</v>
      </c>
      <c r="G50" s="75">
        <v>4</v>
      </c>
      <c r="H50" s="80">
        <v>0</v>
      </c>
      <c r="I50" s="81">
        <v>0</v>
      </c>
      <c r="J50" s="81"/>
      <c r="K50" s="83">
        <v>0</v>
      </c>
      <c r="L50" s="79"/>
      <c r="M50" s="79">
        <f t="shared" si="0"/>
        <v>4</v>
      </c>
      <c r="N50" s="75">
        <f t="shared" si="1"/>
        <v>4</v>
      </c>
      <c r="O50" s="56"/>
      <c r="P50" s="57"/>
      <c r="Q50" s="57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15.75" customHeight="1" x14ac:dyDescent="0.3">
      <c r="A51" s="72">
        <v>2220093</v>
      </c>
      <c r="B51" s="73" t="s">
        <v>163</v>
      </c>
      <c r="C51" s="73">
        <v>1091.99</v>
      </c>
      <c r="D51" s="73">
        <v>1091.99</v>
      </c>
      <c r="E51" s="74" t="s">
        <v>133</v>
      </c>
      <c r="F51" s="75">
        <v>0</v>
      </c>
      <c r="G51" s="75">
        <v>0</v>
      </c>
      <c r="H51" s="80">
        <v>0</v>
      </c>
      <c r="I51" s="81">
        <v>0</v>
      </c>
      <c r="J51" s="81"/>
      <c r="K51" s="83">
        <v>0</v>
      </c>
      <c r="L51" s="79"/>
      <c r="M51" s="79">
        <f t="shared" si="0"/>
        <v>0</v>
      </c>
      <c r="N51" s="75">
        <f t="shared" si="1"/>
        <v>0</v>
      </c>
      <c r="O51" s="56"/>
      <c r="P51" s="57"/>
      <c r="Q51" s="57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5.75" customHeight="1" x14ac:dyDescent="0.3">
      <c r="A52" s="72">
        <v>2220092</v>
      </c>
      <c r="B52" s="73" t="s">
        <v>164</v>
      </c>
      <c r="C52" s="73">
        <v>484.4</v>
      </c>
      <c r="D52" s="73">
        <v>484.4</v>
      </c>
      <c r="E52" s="74" t="s">
        <v>133</v>
      </c>
      <c r="F52" s="75">
        <v>5</v>
      </c>
      <c r="G52" s="75">
        <v>5</v>
      </c>
      <c r="H52" s="80">
        <v>0</v>
      </c>
      <c r="I52" s="81">
        <v>0</v>
      </c>
      <c r="J52" s="81"/>
      <c r="K52" s="83">
        <v>0</v>
      </c>
      <c r="L52" s="79"/>
      <c r="M52" s="79">
        <f t="shared" si="0"/>
        <v>5</v>
      </c>
      <c r="N52" s="75">
        <f t="shared" si="1"/>
        <v>5</v>
      </c>
      <c r="O52" s="56"/>
      <c r="P52" s="57"/>
      <c r="Q52" s="57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5.75" customHeight="1" x14ac:dyDescent="0.3">
      <c r="A53" s="92">
        <v>2220144</v>
      </c>
      <c r="B53" s="93" t="s">
        <v>165</v>
      </c>
      <c r="C53" s="93">
        <v>631.04</v>
      </c>
      <c r="D53" s="93">
        <v>631.04</v>
      </c>
      <c r="E53" s="94" t="s">
        <v>133</v>
      </c>
      <c r="F53" s="95">
        <v>0</v>
      </c>
      <c r="G53" s="95">
        <v>0</v>
      </c>
      <c r="H53" s="80">
        <v>0</v>
      </c>
      <c r="I53" s="81">
        <v>0</v>
      </c>
      <c r="J53" s="96"/>
      <c r="K53" s="83">
        <v>0</v>
      </c>
      <c r="L53" s="97"/>
      <c r="M53" s="79">
        <f t="shared" si="0"/>
        <v>0</v>
      </c>
      <c r="N53" s="75">
        <f t="shared" si="1"/>
        <v>0</v>
      </c>
      <c r="O53" s="56"/>
      <c r="P53" s="57"/>
      <c r="Q53" s="57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5.75" customHeight="1" x14ac:dyDescent="0.3">
      <c r="A54" s="72">
        <v>2220016</v>
      </c>
      <c r="B54" s="73" t="s">
        <v>26</v>
      </c>
      <c r="C54" s="73">
        <v>26.1</v>
      </c>
      <c r="D54" s="73">
        <v>26.1</v>
      </c>
      <c r="E54" s="74" t="s">
        <v>133</v>
      </c>
      <c r="F54" s="75">
        <v>19</v>
      </c>
      <c r="G54" s="75">
        <v>145</v>
      </c>
      <c r="H54" s="80">
        <v>268</v>
      </c>
      <c r="I54" s="81">
        <v>252</v>
      </c>
      <c r="J54" s="81"/>
      <c r="K54" s="83">
        <v>252</v>
      </c>
      <c r="L54" s="79"/>
      <c r="M54" s="79">
        <f t="shared" si="0"/>
        <v>35</v>
      </c>
      <c r="N54" s="75">
        <f t="shared" si="1"/>
        <v>145</v>
      </c>
      <c r="O54" s="56"/>
      <c r="P54" s="57"/>
      <c r="Q54" s="57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5.75" customHeight="1" x14ac:dyDescent="0.3">
      <c r="A55" s="72">
        <v>2220131</v>
      </c>
      <c r="B55" s="73" t="s">
        <v>166</v>
      </c>
      <c r="C55" s="73">
        <v>78.2</v>
      </c>
      <c r="D55" s="73">
        <v>78.2</v>
      </c>
      <c r="E55" s="74" t="s">
        <v>137</v>
      </c>
      <c r="F55" s="75">
        <v>-5.75</v>
      </c>
      <c r="G55" s="75">
        <v>2.5500000000000007</v>
      </c>
      <c r="H55" s="80">
        <v>6</v>
      </c>
      <c r="I55" s="81">
        <v>5.85</v>
      </c>
      <c r="J55" s="81"/>
      <c r="K55" s="83">
        <v>5.4</v>
      </c>
      <c r="L55" s="79"/>
      <c r="M55" s="79">
        <f t="shared" si="0"/>
        <v>-5.15</v>
      </c>
      <c r="N55" s="75">
        <f t="shared" si="1"/>
        <v>3</v>
      </c>
      <c r="O55" s="56"/>
      <c r="P55" s="57"/>
      <c r="Q55" s="57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5" customHeight="1" x14ac:dyDescent="0.3">
      <c r="A56" s="72">
        <v>2220086</v>
      </c>
      <c r="B56" s="73" t="s">
        <v>167</v>
      </c>
      <c r="C56" s="73">
        <v>440</v>
      </c>
      <c r="D56" s="73">
        <v>440</v>
      </c>
      <c r="E56" s="74" t="s">
        <v>133</v>
      </c>
      <c r="F56" s="75">
        <v>0</v>
      </c>
      <c r="G56" s="75">
        <v>0</v>
      </c>
      <c r="H56" s="80">
        <v>0</v>
      </c>
      <c r="I56" s="81">
        <v>0</v>
      </c>
      <c r="J56" s="81"/>
      <c r="K56" s="83">
        <v>0</v>
      </c>
      <c r="L56" s="79"/>
      <c r="M56" s="79">
        <f t="shared" si="0"/>
        <v>0</v>
      </c>
      <c r="N56" s="75">
        <f t="shared" si="1"/>
        <v>0</v>
      </c>
      <c r="O56" s="56"/>
      <c r="P56" s="57"/>
      <c r="Q56" s="57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5.75" customHeight="1" x14ac:dyDescent="0.3">
      <c r="A57" s="72">
        <v>2220017</v>
      </c>
      <c r="B57" s="73" t="s">
        <v>74</v>
      </c>
      <c r="C57" s="73">
        <v>135.4</v>
      </c>
      <c r="D57" s="73">
        <v>135.4</v>
      </c>
      <c r="E57" s="74" t="s">
        <v>137</v>
      </c>
      <c r="F57" s="75">
        <v>-26.060000000000059</v>
      </c>
      <c r="G57" s="75">
        <v>-22</v>
      </c>
      <c r="H57" s="84">
        <v>113</v>
      </c>
      <c r="I57" s="85">
        <v>127.95</v>
      </c>
      <c r="J57" s="81"/>
      <c r="K57" s="86">
        <v>109</v>
      </c>
      <c r="L57" s="79"/>
      <c r="M57" s="79">
        <f t="shared" si="0"/>
        <v>-22.060000000000059</v>
      </c>
      <c r="N57" s="75">
        <f t="shared" si="1"/>
        <v>-3.0499999999999972</v>
      </c>
      <c r="O57" s="56"/>
      <c r="P57" s="57"/>
      <c r="Q57" s="57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5.75" customHeight="1" x14ac:dyDescent="0.3">
      <c r="A58" s="72">
        <v>2220062</v>
      </c>
      <c r="B58" s="73" t="s">
        <v>168</v>
      </c>
      <c r="C58" s="73">
        <v>850</v>
      </c>
      <c r="D58" s="73">
        <v>850</v>
      </c>
      <c r="E58" s="74" t="s">
        <v>135</v>
      </c>
      <c r="F58" s="75">
        <v>0</v>
      </c>
      <c r="G58" s="75">
        <v>0</v>
      </c>
      <c r="H58" s="84">
        <v>0</v>
      </c>
      <c r="I58" s="85">
        <v>0</v>
      </c>
      <c r="J58" s="81"/>
      <c r="K58" s="86">
        <v>0</v>
      </c>
      <c r="L58" s="79"/>
      <c r="M58" s="79">
        <f t="shared" si="0"/>
        <v>0</v>
      </c>
      <c r="N58" s="75">
        <f t="shared" si="1"/>
        <v>0</v>
      </c>
      <c r="O58" s="56"/>
      <c r="P58" s="57"/>
      <c r="Q58" s="57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5.75" customHeight="1" x14ac:dyDescent="0.3">
      <c r="A59" s="72">
        <v>2220082</v>
      </c>
      <c r="B59" s="73" t="s">
        <v>169</v>
      </c>
      <c r="C59" s="73">
        <v>376.36</v>
      </c>
      <c r="D59" s="73">
        <v>376.36</v>
      </c>
      <c r="E59" s="74" t="s">
        <v>135</v>
      </c>
      <c r="F59" s="75">
        <v>2</v>
      </c>
      <c r="G59" s="75">
        <v>2</v>
      </c>
      <c r="H59" s="84">
        <v>0</v>
      </c>
      <c r="I59" s="85">
        <v>0</v>
      </c>
      <c r="J59" s="81"/>
      <c r="K59" s="86">
        <v>0</v>
      </c>
      <c r="L59" s="79"/>
      <c r="M59" s="79">
        <f t="shared" si="0"/>
        <v>2</v>
      </c>
      <c r="N59" s="75">
        <f t="shared" si="1"/>
        <v>2</v>
      </c>
      <c r="O59" s="56"/>
      <c r="P59" s="57"/>
      <c r="Q59" s="57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5.75" customHeight="1" x14ac:dyDescent="0.3">
      <c r="A60" s="72">
        <v>2220061</v>
      </c>
      <c r="B60" s="73" t="s">
        <v>170</v>
      </c>
      <c r="C60" s="73">
        <v>2500</v>
      </c>
      <c r="D60" s="73">
        <v>2500</v>
      </c>
      <c r="E60" s="74" t="s">
        <v>135</v>
      </c>
      <c r="F60" s="75">
        <v>0</v>
      </c>
      <c r="G60" s="75">
        <v>0</v>
      </c>
      <c r="H60" s="84">
        <v>0</v>
      </c>
      <c r="I60" s="85">
        <v>0</v>
      </c>
      <c r="J60" s="81"/>
      <c r="K60" s="86">
        <v>0</v>
      </c>
      <c r="L60" s="79"/>
      <c r="M60" s="79">
        <f t="shared" si="0"/>
        <v>0</v>
      </c>
      <c r="N60" s="75">
        <f t="shared" si="1"/>
        <v>0</v>
      </c>
      <c r="O60" s="56"/>
      <c r="P60" s="57"/>
      <c r="Q60" s="57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5.75" customHeight="1" x14ac:dyDescent="0.3">
      <c r="A61" s="72">
        <v>2220051</v>
      </c>
      <c r="B61" s="73" t="s">
        <v>171</v>
      </c>
      <c r="C61" s="73">
        <v>2840</v>
      </c>
      <c r="D61" s="73">
        <v>2840</v>
      </c>
      <c r="E61" s="74" t="s">
        <v>135</v>
      </c>
      <c r="F61" s="75">
        <v>4</v>
      </c>
      <c r="G61" s="75">
        <v>4</v>
      </c>
      <c r="H61" s="84">
        <v>0</v>
      </c>
      <c r="I61" s="85">
        <v>0</v>
      </c>
      <c r="J61" s="81"/>
      <c r="K61" s="86">
        <v>0</v>
      </c>
      <c r="L61" s="79"/>
      <c r="M61" s="79">
        <f t="shared" si="0"/>
        <v>4</v>
      </c>
      <c r="N61" s="75">
        <f t="shared" si="1"/>
        <v>4</v>
      </c>
      <c r="O61" s="56"/>
      <c r="P61" s="57"/>
      <c r="Q61" s="57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5.75" customHeight="1" x14ac:dyDescent="0.3">
      <c r="A62" s="72">
        <v>2220064</v>
      </c>
      <c r="B62" s="73" t="s">
        <v>172</v>
      </c>
      <c r="C62" s="73">
        <v>2370</v>
      </c>
      <c r="D62" s="73">
        <v>2370</v>
      </c>
      <c r="E62" s="74" t="s">
        <v>135</v>
      </c>
      <c r="F62" s="75">
        <v>3</v>
      </c>
      <c r="G62" s="75">
        <v>3</v>
      </c>
      <c r="H62" s="84">
        <v>0</v>
      </c>
      <c r="I62" s="85">
        <v>0</v>
      </c>
      <c r="J62" s="81"/>
      <c r="K62" s="86">
        <v>0</v>
      </c>
      <c r="L62" s="79"/>
      <c r="M62" s="79">
        <f t="shared" si="0"/>
        <v>3</v>
      </c>
      <c r="N62" s="75">
        <f t="shared" si="1"/>
        <v>3</v>
      </c>
      <c r="O62" s="56"/>
      <c r="P62" s="57"/>
      <c r="Q62" s="57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5" customHeight="1" x14ac:dyDescent="0.3">
      <c r="A63" s="72">
        <v>2220063</v>
      </c>
      <c r="B63" s="73" t="s">
        <v>173</v>
      </c>
      <c r="C63" s="73">
        <v>2720</v>
      </c>
      <c r="D63" s="73">
        <v>2720</v>
      </c>
      <c r="E63" s="74" t="s">
        <v>135</v>
      </c>
      <c r="F63" s="75">
        <v>0</v>
      </c>
      <c r="G63" s="75">
        <v>0</v>
      </c>
      <c r="H63" s="84">
        <v>0</v>
      </c>
      <c r="I63" s="85">
        <v>0</v>
      </c>
      <c r="J63" s="81"/>
      <c r="K63" s="83">
        <v>0</v>
      </c>
      <c r="L63" s="79"/>
      <c r="M63" s="79">
        <f t="shared" si="0"/>
        <v>0</v>
      </c>
      <c r="N63" s="75">
        <f t="shared" si="1"/>
        <v>0</v>
      </c>
      <c r="O63" s="56"/>
      <c r="P63" s="57"/>
      <c r="Q63" s="57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5" customHeight="1" x14ac:dyDescent="0.3">
      <c r="A64" s="72">
        <v>2220018</v>
      </c>
      <c r="B64" s="73" t="s">
        <v>28</v>
      </c>
      <c r="C64" s="73">
        <v>44.8</v>
      </c>
      <c r="D64" s="73">
        <v>44.8</v>
      </c>
      <c r="E64" s="74" t="s">
        <v>137</v>
      </c>
      <c r="F64" s="75">
        <v>-14.220000000000027</v>
      </c>
      <c r="G64" s="75">
        <v>14.900000000000006</v>
      </c>
      <c r="H64" s="84">
        <v>39</v>
      </c>
      <c r="I64" s="85">
        <v>40.4</v>
      </c>
      <c r="J64" s="81"/>
      <c r="K64" s="83">
        <v>36.65</v>
      </c>
      <c r="L64" s="79"/>
      <c r="M64" s="79">
        <f t="shared" si="0"/>
        <v>-11.870000000000026</v>
      </c>
      <c r="N64" s="75">
        <f t="shared" si="1"/>
        <v>18.650000000000006</v>
      </c>
      <c r="O64" s="56"/>
      <c r="P64" s="57"/>
      <c r="Q64" s="57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5" customHeight="1" x14ac:dyDescent="0.3">
      <c r="A65" s="72">
        <v>2220037</v>
      </c>
      <c r="B65" s="73" t="s">
        <v>174</v>
      </c>
      <c r="C65" s="73">
        <v>302.10000000000002</v>
      </c>
      <c r="D65" s="73">
        <v>302.10000000000002</v>
      </c>
      <c r="E65" s="74" t="s">
        <v>175</v>
      </c>
      <c r="F65" s="75">
        <v>24</v>
      </c>
      <c r="G65" s="75">
        <v>26</v>
      </c>
      <c r="H65" s="80">
        <v>5</v>
      </c>
      <c r="I65" s="81">
        <v>5</v>
      </c>
      <c r="J65" s="81"/>
      <c r="K65" s="83">
        <v>4</v>
      </c>
      <c r="L65" s="79"/>
      <c r="M65" s="79">
        <f t="shared" si="0"/>
        <v>25</v>
      </c>
      <c r="N65" s="75">
        <f t="shared" si="1"/>
        <v>27</v>
      </c>
      <c r="O65" s="56"/>
      <c r="P65" s="57"/>
      <c r="Q65" s="57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5" customHeight="1" x14ac:dyDescent="0.3">
      <c r="A66" s="72">
        <v>2220060</v>
      </c>
      <c r="B66" s="73" t="s">
        <v>176</v>
      </c>
      <c r="C66" s="73">
        <v>1610</v>
      </c>
      <c r="D66" s="73">
        <v>1610</v>
      </c>
      <c r="E66" s="74" t="s">
        <v>135</v>
      </c>
      <c r="F66" s="75">
        <v>1</v>
      </c>
      <c r="G66" s="75">
        <v>1</v>
      </c>
      <c r="H66" s="80">
        <v>0</v>
      </c>
      <c r="I66" s="81">
        <v>0</v>
      </c>
      <c r="J66" s="81"/>
      <c r="K66" s="83">
        <v>0</v>
      </c>
      <c r="L66" s="79"/>
      <c r="M66" s="79">
        <f t="shared" si="0"/>
        <v>1</v>
      </c>
      <c r="N66" s="75">
        <f t="shared" si="1"/>
        <v>1</v>
      </c>
      <c r="O66" s="56"/>
      <c r="P66" s="57"/>
      <c r="Q66" s="57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5" customHeight="1" x14ac:dyDescent="0.3">
      <c r="A67" s="72">
        <v>2220019</v>
      </c>
      <c r="B67" s="73" t="s">
        <v>29</v>
      </c>
      <c r="C67" s="73">
        <v>36.5</v>
      </c>
      <c r="D67" s="73">
        <v>36.5</v>
      </c>
      <c r="E67" s="74" t="s">
        <v>137</v>
      </c>
      <c r="F67" s="75">
        <v>-9.9000000000000057</v>
      </c>
      <c r="G67" s="75">
        <v>17.449999999999989</v>
      </c>
      <c r="H67" s="80">
        <v>42</v>
      </c>
      <c r="I67" s="81">
        <v>42.15</v>
      </c>
      <c r="J67" s="81"/>
      <c r="K67" s="83">
        <v>41.4</v>
      </c>
      <c r="L67" s="79"/>
      <c r="M67" s="79">
        <f t="shared" si="0"/>
        <v>-9.3000000000000043</v>
      </c>
      <c r="N67" s="75">
        <f t="shared" si="1"/>
        <v>18.199999999999989</v>
      </c>
      <c r="O67" s="56"/>
      <c r="P67" s="57"/>
      <c r="Q67" s="57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5.75" customHeight="1" x14ac:dyDescent="0.3">
      <c r="A68" s="72">
        <v>2220032</v>
      </c>
      <c r="B68" s="73" t="s">
        <v>177</v>
      </c>
      <c r="C68" s="73">
        <v>93.8</v>
      </c>
      <c r="D68" s="73">
        <v>93.8</v>
      </c>
      <c r="E68" s="74" t="s">
        <v>133</v>
      </c>
      <c r="F68" s="75">
        <v>16</v>
      </c>
      <c r="G68" s="75">
        <v>16</v>
      </c>
      <c r="H68" s="80">
        <v>9</v>
      </c>
      <c r="I68" s="81">
        <v>9</v>
      </c>
      <c r="J68" s="81"/>
      <c r="K68" s="83">
        <v>0</v>
      </c>
      <c r="L68" s="79"/>
      <c r="M68" s="79">
        <f t="shared" si="0"/>
        <v>25</v>
      </c>
      <c r="N68" s="75">
        <f t="shared" si="1"/>
        <v>25</v>
      </c>
      <c r="O68" s="56"/>
      <c r="P68" s="57"/>
      <c r="Q68" s="57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5.75" customHeight="1" x14ac:dyDescent="0.3">
      <c r="A69" s="72">
        <v>2220020</v>
      </c>
      <c r="B69" s="73" t="s">
        <v>30</v>
      </c>
      <c r="C69" s="73">
        <v>75</v>
      </c>
      <c r="D69" s="73">
        <v>75</v>
      </c>
      <c r="E69" s="74" t="s">
        <v>137</v>
      </c>
      <c r="F69" s="75">
        <v>1.0999999999999979</v>
      </c>
      <c r="G69" s="75">
        <v>1.7499999999999964</v>
      </c>
      <c r="H69" s="80">
        <v>3.7</v>
      </c>
      <c r="I69" s="81">
        <v>4.05</v>
      </c>
      <c r="J69" s="81"/>
      <c r="K69" s="83">
        <v>3.75</v>
      </c>
      <c r="L69" s="79"/>
      <c r="M69" s="79">
        <f t="shared" si="0"/>
        <v>1.049999999999998</v>
      </c>
      <c r="N69" s="75">
        <f t="shared" si="1"/>
        <v>2.0499999999999963</v>
      </c>
      <c r="O69" s="56"/>
      <c r="P69" s="57"/>
      <c r="Q69" s="57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5.75" customHeight="1" x14ac:dyDescent="0.3">
      <c r="A70" s="72">
        <v>2220055</v>
      </c>
      <c r="B70" s="73" t="s">
        <v>178</v>
      </c>
      <c r="C70" s="73">
        <v>1120</v>
      </c>
      <c r="D70" s="73">
        <v>1120</v>
      </c>
      <c r="E70" s="74" t="s">
        <v>135</v>
      </c>
      <c r="F70" s="75">
        <v>5</v>
      </c>
      <c r="G70" s="75">
        <v>5</v>
      </c>
      <c r="H70" s="80">
        <v>1</v>
      </c>
      <c r="I70" s="81">
        <v>1</v>
      </c>
      <c r="J70" s="81"/>
      <c r="K70" s="83">
        <v>1</v>
      </c>
      <c r="L70" s="79"/>
      <c r="M70" s="79">
        <f t="shared" si="0"/>
        <v>5</v>
      </c>
      <c r="N70" s="75">
        <f t="shared" si="1"/>
        <v>5</v>
      </c>
      <c r="O70" s="56"/>
      <c r="P70" s="57"/>
      <c r="Q70" s="57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5.75" customHeight="1" x14ac:dyDescent="0.3">
      <c r="A71" s="92">
        <v>2220067</v>
      </c>
      <c r="B71" s="73" t="s">
        <v>179</v>
      </c>
      <c r="C71" s="73">
        <v>565.5</v>
      </c>
      <c r="D71" s="73">
        <v>565.5</v>
      </c>
      <c r="E71" s="74" t="s">
        <v>133</v>
      </c>
      <c r="F71" s="75">
        <v>5</v>
      </c>
      <c r="G71" s="75">
        <v>5</v>
      </c>
      <c r="H71" s="80">
        <v>0</v>
      </c>
      <c r="I71" s="81">
        <v>0</v>
      </c>
      <c r="J71" s="81"/>
      <c r="K71" s="83">
        <v>0</v>
      </c>
      <c r="L71" s="79"/>
      <c r="M71" s="79">
        <f t="shared" si="0"/>
        <v>5</v>
      </c>
      <c r="N71" s="75">
        <f t="shared" si="1"/>
        <v>5</v>
      </c>
      <c r="O71" s="56"/>
      <c r="P71" s="57"/>
      <c r="Q71" s="57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5.75" customHeight="1" x14ac:dyDescent="0.3">
      <c r="A72" s="92">
        <v>2220073</v>
      </c>
      <c r="B72" s="73" t="s">
        <v>180</v>
      </c>
      <c r="C72" s="73">
        <v>306.82</v>
      </c>
      <c r="D72" s="73">
        <v>306.82</v>
      </c>
      <c r="E72" s="74" t="s">
        <v>133</v>
      </c>
      <c r="F72" s="75">
        <v>5</v>
      </c>
      <c r="G72" s="75">
        <v>5</v>
      </c>
      <c r="H72" s="84">
        <v>0</v>
      </c>
      <c r="I72" s="85">
        <v>0</v>
      </c>
      <c r="J72" s="85"/>
      <c r="K72" s="86">
        <v>0</v>
      </c>
      <c r="L72" s="79"/>
      <c r="M72" s="79">
        <f t="shared" si="0"/>
        <v>5</v>
      </c>
      <c r="N72" s="75">
        <f t="shared" si="1"/>
        <v>5</v>
      </c>
      <c r="O72" s="56"/>
      <c r="P72" s="57"/>
      <c r="Q72" s="57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5.75" customHeight="1" x14ac:dyDescent="0.3">
      <c r="A73" s="92">
        <v>2220141</v>
      </c>
      <c r="B73" s="73" t="s">
        <v>181</v>
      </c>
      <c r="C73" s="73">
        <v>700</v>
      </c>
      <c r="D73" s="73">
        <v>700</v>
      </c>
      <c r="E73" s="74" t="s">
        <v>135</v>
      </c>
      <c r="F73" s="75">
        <v>-1</v>
      </c>
      <c r="G73" s="75">
        <v>6</v>
      </c>
      <c r="H73" s="84">
        <v>7</v>
      </c>
      <c r="I73" s="85">
        <v>7</v>
      </c>
      <c r="J73" s="85"/>
      <c r="K73" s="86">
        <v>5</v>
      </c>
      <c r="L73" s="88"/>
      <c r="M73" s="79">
        <f t="shared" si="0"/>
        <v>1</v>
      </c>
      <c r="N73" s="75">
        <f t="shared" si="1"/>
        <v>8</v>
      </c>
      <c r="O73" s="56"/>
      <c r="P73" s="57"/>
      <c r="Q73" s="57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5.75" customHeight="1" x14ac:dyDescent="0.3">
      <c r="A74" s="92">
        <v>2220056</v>
      </c>
      <c r="B74" s="73" t="s">
        <v>182</v>
      </c>
      <c r="C74" s="73">
        <v>800</v>
      </c>
      <c r="D74" s="73">
        <v>800</v>
      </c>
      <c r="E74" s="74" t="s">
        <v>135</v>
      </c>
      <c r="F74" s="75">
        <v>0</v>
      </c>
      <c r="G74" s="75">
        <v>0</v>
      </c>
      <c r="H74" s="84">
        <v>0</v>
      </c>
      <c r="I74" s="85">
        <v>0</v>
      </c>
      <c r="J74" s="85"/>
      <c r="K74" s="86">
        <v>0</v>
      </c>
      <c r="L74" s="88"/>
      <c r="M74" s="79">
        <f t="shared" si="0"/>
        <v>0</v>
      </c>
      <c r="N74" s="75">
        <f t="shared" si="1"/>
        <v>0</v>
      </c>
      <c r="O74" s="56"/>
      <c r="P74" s="57"/>
      <c r="Q74" s="57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27.75" customHeight="1" x14ac:dyDescent="0.3">
      <c r="A75" s="92">
        <v>2220142</v>
      </c>
      <c r="B75" s="73" t="s">
        <v>183</v>
      </c>
      <c r="C75" s="73">
        <v>650</v>
      </c>
      <c r="D75" s="73">
        <v>650</v>
      </c>
      <c r="E75" s="74" t="s">
        <v>135</v>
      </c>
      <c r="F75" s="75">
        <v>0</v>
      </c>
      <c r="G75" s="75">
        <v>0</v>
      </c>
      <c r="H75" s="84">
        <v>0</v>
      </c>
      <c r="I75" s="85">
        <v>0</v>
      </c>
      <c r="J75" s="85"/>
      <c r="K75" s="86">
        <v>0</v>
      </c>
      <c r="L75" s="88"/>
      <c r="M75" s="79">
        <f t="shared" si="0"/>
        <v>0</v>
      </c>
      <c r="N75" s="75">
        <f t="shared" si="1"/>
        <v>0</v>
      </c>
      <c r="O75" s="56"/>
      <c r="P75" s="57"/>
      <c r="Q75" s="57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5.75" customHeight="1" x14ac:dyDescent="0.3">
      <c r="A76" s="92">
        <v>2220075</v>
      </c>
      <c r="B76" s="73" t="s">
        <v>184</v>
      </c>
      <c r="C76" s="73">
        <v>698.4</v>
      </c>
      <c r="D76" s="73">
        <v>698.4</v>
      </c>
      <c r="E76" s="74" t="s">
        <v>135</v>
      </c>
      <c r="F76" s="75">
        <v>0</v>
      </c>
      <c r="G76" s="75">
        <v>0</v>
      </c>
      <c r="H76" s="80">
        <v>0</v>
      </c>
      <c r="I76" s="81">
        <v>0</v>
      </c>
      <c r="J76" s="81"/>
      <c r="K76" s="83">
        <v>0</v>
      </c>
      <c r="L76" s="79"/>
      <c r="M76" s="79">
        <f t="shared" si="0"/>
        <v>0</v>
      </c>
      <c r="N76" s="75">
        <f t="shared" si="1"/>
        <v>0</v>
      </c>
      <c r="O76" s="56"/>
      <c r="P76" s="57"/>
      <c r="Q76" s="57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5.75" customHeight="1" x14ac:dyDescent="0.3">
      <c r="A77" s="92">
        <v>2220034</v>
      </c>
      <c r="B77" s="73" t="s">
        <v>185</v>
      </c>
      <c r="C77" s="73">
        <v>62.5</v>
      </c>
      <c r="D77" s="73">
        <v>62.5</v>
      </c>
      <c r="E77" s="74" t="s">
        <v>133</v>
      </c>
      <c r="F77" s="75">
        <v>9</v>
      </c>
      <c r="G77" s="75">
        <v>9</v>
      </c>
      <c r="H77" s="80">
        <v>7</v>
      </c>
      <c r="I77" s="81">
        <v>7</v>
      </c>
      <c r="J77" s="81"/>
      <c r="K77" s="83">
        <v>7</v>
      </c>
      <c r="L77" s="79"/>
      <c r="M77" s="79">
        <f t="shared" si="0"/>
        <v>9</v>
      </c>
      <c r="N77" s="75">
        <f t="shared" si="1"/>
        <v>9</v>
      </c>
      <c r="O77" s="56"/>
      <c r="P77" s="57"/>
      <c r="Q77" s="57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5.75" customHeight="1" x14ac:dyDescent="0.3">
      <c r="A78" s="92">
        <v>2220033</v>
      </c>
      <c r="B78" s="73" t="s">
        <v>186</v>
      </c>
      <c r="C78" s="73">
        <v>72.400000000000006</v>
      </c>
      <c r="D78" s="73">
        <v>72.400000000000006</v>
      </c>
      <c r="E78" s="74" t="s">
        <v>133</v>
      </c>
      <c r="F78" s="75">
        <v>4</v>
      </c>
      <c r="G78" s="75">
        <v>6</v>
      </c>
      <c r="H78" s="80">
        <v>7</v>
      </c>
      <c r="I78" s="81">
        <v>7</v>
      </c>
      <c r="J78" s="81"/>
      <c r="K78" s="83">
        <v>7</v>
      </c>
      <c r="L78" s="79"/>
      <c r="M78" s="79">
        <f t="shared" si="0"/>
        <v>4</v>
      </c>
      <c r="N78" s="75">
        <f t="shared" si="1"/>
        <v>6</v>
      </c>
      <c r="O78" s="56"/>
      <c r="P78" s="57"/>
      <c r="Q78" s="57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31.5" customHeight="1" x14ac:dyDescent="0.3">
      <c r="A79" s="92">
        <v>2220021</v>
      </c>
      <c r="B79" s="73" t="s">
        <v>31</v>
      </c>
      <c r="C79" s="73">
        <v>41.2</v>
      </c>
      <c r="D79" s="73">
        <v>41.2</v>
      </c>
      <c r="E79" s="74" t="s">
        <v>137</v>
      </c>
      <c r="F79" s="75">
        <v>-10.040000000000035</v>
      </c>
      <c r="G79" s="75">
        <v>11.649999999999991</v>
      </c>
      <c r="H79" s="80">
        <v>29.5</v>
      </c>
      <c r="I79" s="81">
        <v>28.4</v>
      </c>
      <c r="J79" s="81"/>
      <c r="K79" s="83">
        <v>26.1</v>
      </c>
      <c r="L79" s="79"/>
      <c r="M79" s="79">
        <f t="shared" si="0"/>
        <v>-6.6400000000000361</v>
      </c>
      <c r="N79" s="75">
        <f t="shared" si="1"/>
        <v>13.949999999999989</v>
      </c>
      <c r="O79" s="56"/>
      <c r="P79" s="57"/>
      <c r="Q79" s="57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5.75" customHeight="1" x14ac:dyDescent="0.3">
      <c r="A80" s="98">
        <v>2220147</v>
      </c>
      <c r="B80" s="99" t="s">
        <v>187</v>
      </c>
      <c r="C80" s="99">
        <v>12</v>
      </c>
      <c r="D80" s="99">
        <v>12</v>
      </c>
      <c r="E80" s="100" t="s">
        <v>133</v>
      </c>
      <c r="F80" s="101">
        <v>0</v>
      </c>
      <c r="G80" s="102">
        <v>0</v>
      </c>
      <c r="H80" s="103">
        <v>0</v>
      </c>
      <c r="I80" s="104">
        <v>0</v>
      </c>
      <c r="J80" s="104"/>
      <c r="K80" s="83">
        <v>0</v>
      </c>
      <c r="L80" s="105"/>
      <c r="M80" s="79">
        <f t="shared" si="0"/>
        <v>0</v>
      </c>
      <c r="N80" s="75">
        <f t="shared" si="1"/>
        <v>0</v>
      </c>
      <c r="O80" s="56"/>
      <c r="P80" s="57"/>
      <c r="Q80" s="57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5.75" customHeight="1" x14ac:dyDescent="0.3">
      <c r="A81" s="92">
        <v>2220022</v>
      </c>
      <c r="B81" s="73" t="s">
        <v>78</v>
      </c>
      <c r="C81" s="73">
        <v>140.69999999999999</v>
      </c>
      <c r="D81" s="73">
        <v>140.69999999999999</v>
      </c>
      <c r="E81" s="74" t="s">
        <v>137</v>
      </c>
      <c r="F81" s="75">
        <v>-1.3100000000000023</v>
      </c>
      <c r="G81" s="75">
        <v>-0.60000000000000142</v>
      </c>
      <c r="H81" s="80">
        <v>4</v>
      </c>
      <c r="I81" s="81">
        <v>4.05</v>
      </c>
      <c r="J81" s="81"/>
      <c r="K81" s="83">
        <v>3.4</v>
      </c>
      <c r="L81" s="79"/>
      <c r="M81" s="79">
        <f t="shared" si="0"/>
        <v>-0.71000000000000218</v>
      </c>
      <c r="N81" s="75">
        <f t="shared" si="1"/>
        <v>4.999999999999849E-2</v>
      </c>
      <c r="O81" s="56"/>
      <c r="P81" s="57"/>
      <c r="Q81" s="57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5.75" customHeight="1" x14ac:dyDescent="0.3">
      <c r="A82" s="92">
        <v>2220023</v>
      </c>
      <c r="B82" s="73" t="s">
        <v>32</v>
      </c>
      <c r="C82" s="73">
        <v>18.2</v>
      </c>
      <c r="D82" s="73">
        <v>18.2</v>
      </c>
      <c r="E82" s="74" t="s">
        <v>131</v>
      </c>
      <c r="F82" s="75">
        <v>1</v>
      </c>
      <c r="G82" s="75">
        <v>3</v>
      </c>
      <c r="H82" s="80">
        <v>7</v>
      </c>
      <c r="I82" s="81">
        <v>8</v>
      </c>
      <c r="J82" s="81"/>
      <c r="K82" s="83">
        <v>7</v>
      </c>
      <c r="L82" s="79"/>
      <c r="M82" s="79">
        <f t="shared" si="0"/>
        <v>1</v>
      </c>
      <c r="N82" s="75">
        <f t="shared" si="1"/>
        <v>4</v>
      </c>
      <c r="O82" s="56"/>
      <c r="P82" s="57"/>
      <c r="Q82" s="57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5.75" customHeight="1" x14ac:dyDescent="0.3">
      <c r="A83" s="92">
        <v>2220024</v>
      </c>
      <c r="B83" s="73" t="s">
        <v>33</v>
      </c>
      <c r="C83" s="73">
        <v>31.3</v>
      </c>
      <c r="D83" s="73">
        <v>31.3</v>
      </c>
      <c r="E83" s="74" t="s">
        <v>137</v>
      </c>
      <c r="F83" s="75">
        <v>31.009999999999991</v>
      </c>
      <c r="G83" s="75">
        <v>23</v>
      </c>
      <c r="H83" s="80">
        <v>56</v>
      </c>
      <c r="I83" s="81">
        <v>55.22</v>
      </c>
      <c r="J83" s="81"/>
      <c r="K83" s="83">
        <v>55</v>
      </c>
      <c r="L83" s="79"/>
      <c r="M83" s="79">
        <f t="shared" si="0"/>
        <v>32.009999999999991</v>
      </c>
      <c r="N83" s="75">
        <f t="shared" si="1"/>
        <v>23.22</v>
      </c>
      <c r="O83" s="56"/>
      <c r="P83" s="57"/>
      <c r="Q83" s="57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15.75" customHeight="1" x14ac:dyDescent="0.3">
      <c r="A84" s="92">
        <v>2220074</v>
      </c>
      <c r="B84" s="73" t="s">
        <v>188</v>
      </c>
      <c r="C84" s="73">
        <v>312.25</v>
      </c>
      <c r="D84" s="73">
        <v>312.25</v>
      </c>
      <c r="E84" s="74" t="s">
        <v>133</v>
      </c>
      <c r="F84" s="75">
        <v>0</v>
      </c>
      <c r="G84" s="75">
        <v>0</v>
      </c>
      <c r="H84" s="80">
        <v>0</v>
      </c>
      <c r="I84" s="81">
        <v>0</v>
      </c>
      <c r="J84" s="81"/>
      <c r="K84" s="86">
        <v>0</v>
      </c>
      <c r="L84" s="79"/>
      <c r="M84" s="79">
        <f t="shared" si="0"/>
        <v>0</v>
      </c>
      <c r="N84" s="75">
        <f t="shared" si="1"/>
        <v>0</v>
      </c>
      <c r="O84" s="56"/>
      <c r="P84" s="57"/>
      <c r="Q84" s="57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5.75" customHeight="1" x14ac:dyDescent="0.3">
      <c r="A85" s="92">
        <v>2220043</v>
      </c>
      <c r="B85" s="73" t="s">
        <v>189</v>
      </c>
      <c r="C85" s="73">
        <v>125</v>
      </c>
      <c r="D85" s="73">
        <v>125</v>
      </c>
      <c r="E85" s="74" t="s">
        <v>137</v>
      </c>
      <c r="F85" s="75">
        <v>-6.1399999999998727</v>
      </c>
      <c r="G85" s="75">
        <v>23.0300000000002</v>
      </c>
      <c r="H85" s="80">
        <v>245</v>
      </c>
      <c r="I85" s="81">
        <v>251.95</v>
      </c>
      <c r="J85" s="81"/>
      <c r="K85" s="83">
        <v>274.10000000000002</v>
      </c>
      <c r="L85" s="79"/>
      <c r="M85" s="79">
        <f t="shared" si="0"/>
        <v>-35.239999999999895</v>
      </c>
      <c r="N85" s="75">
        <f t="shared" si="1"/>
        <v>0.88000000000016598</v>
      </c>
      <c r="O85" s="56"/>
      <c r="P85" s="57"/>
      <c r="Q85" s="57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5.75" customHeight="1" x14ac:dyDescent="0.3">
      <c r="A86" s="92">
        <v>2220083</v>
      </c>
      <c r="B86" s="73" t="s">
        <v>190</v>
      </c>
      <c r="C86" s="73">
        <v>55</v>
      </c>
      <c r="D86" s="73">
        <v>55</v>
      </c>
      <c r="E86" s="74" t="s">
        <v>137</v>
      </c>
      <c r="F86" s="75">
        <v>0</v>
      </c>
      <c r="G86" s="75">
        <v>0</v>
      </c>
      <c r="H86" s="84">
        <v>0</v>
      </c>
      <c r="I86" s="85">
        <v>0</v>
      </c>
      <c r="J86" s="85"/>
      <c r="K86" s="86">
        <v>0</v>
      </c>
      <c r="L86" s="88"/>
      <c r="M86" s="79">
        <f t="shared" si="0"/>
        <v>0</v>
      </c>
      <c r="N86" s="75">
        <f t="shared" si="1"/>
        <v>0</v>
      </c>
      <c r="O86" s="56"/>
      <c r="P86" s="57"/>
      <c r="Q86" s="57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5.75" customHeight="1" x14ac:dyDescent="0.3">
      <c r="A87" s="92">
        <v>2220143</v>
      </c>
      <c r="B87" s="73" t="s">
        <v>191</v>
      </c>
      <c r="C87" s="73">
        <v>590</v>
      </c>
      <c r="D87" s="73">
        <v>590</v>
      </c>
      <c r="E87" s="74" t="s">
        <v>135</v>
      </c>
      <c r="F87" s="75">
        <v>1</v>
      </c>
      <c r="G87" s="75">
        <v>15</v>
      </c>
      <c r="H87" s="84">
        <v>12</v>
      </c>
      <c r="I87" s="85">
        <v>12</v>
      </c>
      <c r="J87" s="85"/>
      <c r="K87" s="86">
        <v>7</v>
      </c>
      <c r="L87" s="88"/>
      <c r="M87" s="79">
        <f t="shared" si="0"/>
        <v>6</v>
      </c>
      <c r="N87" s="75">
        <f t="shared" si="1"/>
        <v>20</v>
      </c>
      <c r="O87" s="56"/>
      <c r="P87" s="57"/>
      <c r="Q87" s="57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5.75" customHeight="1" x14ac:dyDescent="0.3">
      <c r="A88" s="72">
        <v>2220057</v>
      </c>
      <c r="B88" s="73" t="s">
        <v>192</v>
      </c>
      <c r="C88" s="73">
        <v>650</v>
      </c>
      <c r="D88" s="73">
        <v>650</v>
      </c>
      <c r="E88" s="74" t="s">
        <v>135</v>
      </c>
      <c r="F88" s="75">
        <v>0</v>
      </c>
      <c r="G88" s="75">
        <v>0</v>
      </c>
      <c r="H88" s="80">
        <v>0</v>
      </c>
      <c r="I88" s="81">
        <v>0</v>
      </c>
      <c r="J88" s="81"/>
      <c r="K88" s="83">
        <v>0</v>
      </c>
      <c r="L88" s="79"/>
      <c r="M88" s="79">
        <f t="shared" si="0"/>
        <v>0</v>
      </c>
      <c r="N88" s="75">
        <f t="shared" si="1"/>
        <v>0</v>
      </c>
      <c r="O88" s="56"/>
      <c r="P88" s="57"/>
      <c r="Q88" s="57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5" customHeight="1" x14ac:dyDescent="0.3">
      <c r="A89" s="72">
        <v>2220077</v>
      </c>
      <c r="B89" s="73" t="s">
        <v>193</v>
      </c>
      <c r="C89" s="73">
        <v>156.80000000000001</v>
      </c>
      <c r="D89" s="73">
        <v>156.80000000000001</v>
      </c>
      <c r="E89" s="74" t="s">
        <v>133</v>
      </c>
      <c r="F89" s="75">
        <v>1</v>
      </c>
      <c r="G89" s="75">
        <v>1</v>
      </c>
      <c r="H89" s="80">
        <v>0</v>
      </c>
      <c r="I89" s="81">
        <v>0</v>
      </c>
      <c r="J89" s="81"/>
      <c r="K89" s="83">
        <v>0</v>
      </c>
      <c r="L89" s="79"/>
      <c r="M89" s="79">
        <f t="shared" si="0"/>
        <v>1</v>
      </c>
      <c r="N89" s="75">
        <f t="shared" si="1"/>
        <v>1</v>
      </c>
      <c r="O89" s="56"/>
      <c r="P89" s="57"/>
      <c r="Q89" s="57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5.75" customHeight="1" x14ac:dyDescent="0.3">
      <c r="A90" s="72">
        <v>2220058</v>
      </c>
      <c r="B90" s="73" t="s">
        <v>194</v>
      </c>
      <c r="C90" s="73">
        <v>730</v>
      </c>
      <c r="D90" s="73">
        <v>730</v>
      </c>
      <c r="E90" s="74" t="s">
        <v>135</v>
      </c>
      <c r="F90" s="75">
        <v>2</v>
      </c>
      <c r="G90" s="75">
        <v>2</v>
      </c>
      <c r="H90" s="80">
        <v>1</v>
      </c>
      <c r="I90" s="81">
        <v>1</v>
      </c>
      <c r="J90" s="81"/>
      <c r="K90" s="83">
        <v>0</v>
      </c>
      <c r="L90" s="79"/>
      <c r="M90" s="79">
        <f t="shared" si="0"/>
        <v>3</v>
      </c>
      <c r="N90" s="75">
        <f t="shared" si="1"/>
        <v>3</v>
      </c>
      <c r="O90" s="56"/>
      <c r="P90" s="57"/>
      <c r="Q90" s="57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5.75" customHeight="1" x14ac:dyDescent="0.3">
      <c r="A91" s="72">
        <v>2220133</v>
      </c>
      <c r="B91" s="73" t="s">
        <v>195</v>
      </c>
      <c r="C91" s="73">
        <v>215.18</v>
      </c>
      <c r="D91" s="73">
        <v>215.18</v>
      </c>
      <c r="E91" s="74" t="s">
        <v>133</v>
      </c>
      <c r="F91" s="75">
        <v>0</v>
      </c>
      <c r="G91" s="75">
        <v>0</v>
      </c>
      <c r="H91" s="80">
        <v>0</v>
      </c>
      <c r="I91" s="81">
        <v>0</v>
      </c>
      <c r="J91" s="81"/>
      <c r="K91" s="83">
        <v>0</v>
      </c>
      <c r="L91" s="79"/>
      <c r="M91" s="79">
        <f t="shared" si="0"/>
        <v>0</v>
      </c>
      <c r="N91" s="75">
        <f t="shared" si="1"/>
        <v>0</v>
      </c>
      <c r="O91" s="56"/>
      <c r="P91" s="57"/>
      <c r="Q91" s="57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5.75" customHeight="1" x14ac:dyDescent="0.3">
      <c r="A92" s="72">
        <v>2220088</v>
      </c>
      <c r="B92" s="73" t="s">
        <v>196</v>
      </c>
      <c r="C92" s="73">
        <v>160</v>
      </c>
      <c r="D92" s="73">
        <v>160</v>
      </c>
      <c r="E92" s="74" t="s">
        <v>137</v>
      </c>
      <c r="F92" s="75">
        <v>0</v>
      </c>
      <c r="G92" s="75">
        <v>0</v>
      </c>
      <c r="H92" s="80">
        <v>0</v>
      </c>
      <c r="I92" s="81">
        <v>0</v>
      </c>
      <c r="J92" s="81"/>
      <c r="K92" s="83">
        <v>0</v>
      </c>
      <c r="L92" s="79"/>
      <c r="M92" s="79">
        <f t="shared" si="0"/>
        <v>0</v>
      </c>
      <c r="N92" s="75">
        <f t="shared" si="1"/>
        <v>0</v>
      </c>
      <c r="O92" s="56"/>
      <c r="P92" s="57"/>
      <c r="Q92" s="57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5.75" customHeight="1" x14ac:dyDescent="0.3">
      <c r="A93" s="72">
        <v>2220087</v>
      </c>
      <c r="B93" s="73" t="s">
        <v>197</v>
      </c>
      <c r="C93" s="73">
        <v>830</v>
      </c>
      <c r="D93" s="73">
        <v>830</v>
      </c>
      <c r="E93" s="74" t="s">
        <v>133</v>
      </c>
      <c r="F93" s="75">
        <v>0</v>
      </c>
      <c r="G93" s="75">
        <v>0</v>
      </c>
      <c r="H93" s="80">
        <v>0</v>
      </c>
      <c r="I93" s="81">
        <v>0</v>
      </c>
      <c r="J93" s="81"/>
      <c r="K93" s="83">
        <v>0</v>
      </c>
      <c r="L93" s="79"/>
      <c r="M93" s="79">
        <f t="shared" si="0"/>
        <v>0</v>
      </c>
      <c r="N93" s="75">
        <f t="shared" si="1"/>
        <v>0</v>
      </c>
      <c r="O93" s="56"/>
      <c r="P93" s="57"/>
      <c r="Q93" s="57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5.75" customHeight="1" x14ac:dyDescent="0.3">
      <c r="A94" s="72">
        <v>2220132</v>
      </c>
      <c r="B94" s="73" t="s">
        <v>198</v>
      </c>
      <c r="C94" s="73">
        <v>239</v>
      </c>
      <c r="D94" s="73">
        <v>239</v>
      </c>
      <c r="E94" s="74" t="s">
        <v>135</v>
      </c>
      <c r="F94" s="75">
        <v>0</v>
      </c>
      <c r="G94" s="75">
        <v>0</v>
      </c>
      <c r="H94" s="80">
        <v>0</v>
      </c>
      <c r="I94" s="81">
        <v>0</v>
      </c>
      <c r="J94" s="81"/>
      <c r="K94" s="83">
        <v>0</v>
      </c>
      <c r="L94" s="79"/>
      <c r="M94" s="79">
        <f t="shared" si="0"/>
        <v>0</v>
      </c>
      <c r="N94" s="75">
        <f t="shared" si="1"/>
        <v>0</v>
      </c>
      <c r="O94" s="56"/>
      <c r="P94" s="57"/>
      <c r="Q94" s="57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5.75" customHeight="1" x14ac:dyDescent="0.3">
      <c r="A95" s="72"/>
      <c r="B95" s="73" t="s">
        <v>199</v>
      </c>
      <c r="C95" s="73"/>
      <c r="D95" s="73"/>
      <c r="E95" s="74" t="s">
        <v>135</v>
      </c>
      <c r="F95" s="75">
        <v>0</v>
      </c>
      <c r="G95" s="75">
        <v>0</v>
      </c>
      <c r="H95" s="80">
        <v>0</v>
      </c>
      <c r="I95" s="81">
        <v>0</v>
      </c>
      <c r="J95" s="81"/>
      <c r="K95" s="83">
        <v>0</v>
      </c>
      <c r="L95" s="79"/>
      <c r="M95" s="79">
        <f t="shared" si="0"/>
        <v>0</v>
      </c>
      <c r="N95" s="75">
        <f t="shared" si="1"/>
        <v>0</v>
      </c>
      <c r="O95" s="56"/>
      <c r="P95" s="57"/>
      <c r="Q95" s="57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5.75" customHeight="1" x14ac:dyDescent="0.3">
      <c r="A96" s="72">
        <v>2220025</v>
      </c>
      <c r="B96" s="73" t="s">
        <v>34</v>
      </c>
      <c r="C96" s="73">
        <v>19.2</v>
      </c>
      <c r="D96" s="73">
        <v>19.2</v>
      </c>
      <c r="E96" s="74" t="s">
        <v>137</v>
      </c>
      <c r="F96" s="75">
        <v>-36.899999999999977</v>
      </c>
      <c r="G96" s="75">
        <v>39.350000000000023</v>
      </c>
      <c r="H96" s="80">
        <v>96</v>
      </c>
      <c r="I96" s="81">
        <v>97.2</v>
      </c>
      <c r="J96" s="81"/>
      <c r="K96" s="83">
        <v>92.35</v>
      </c>
      <c r="L96" s="79"/>
      <c r="M96" s="79">
        <f t="shared" si="0"/>
        <v>-33.249999999999972</v>
      </c>
      <c r="N96" s="75">
        <f t="shared" si="1"/>
        <v>44.200000000000017</v>
      </c>
      <c r="O96" s="56"/>
      <c r="P96" s="57"/>
      <c r="Q96" s="57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5.75" customHeight="1" x14ac:dyDescent="0.3">
      <c r="A97" s="72">
        <v>2220059</v>
      </c>
      <c r="B97" s="73" t="s">
        <v>200</v>
      </c>
      <c r="C97" s="73">
        <v>1310</v>
      </c>
      <c r="D97" s="73">
        <v>1310</v>
      </c>
      <c r="E97" s="74" t="s">
        <v>135</v>
      </c>
      <c r="F97" s="75">
        <v>3</v>
      </c>
      <c r="G97" s="75">
        <v>3</v>
      </c>
      <c r="H97" s="80">
        <v>1</v>
      </c>
      <c r="I97" s="81">
        <v>1</v>
      </c>
      <c r="J97" s="81"/>
      <c r="K97" s="83">
        <v>0</v>
      </c>
      <c r="L97" s="79"/>
      <c r="M97" s="79">
        <f t="shared" si="0"/>
        <v>4</v>
      </c>
      <c r="N97" s="75">
        <f t="shared" si="1"/>
        <v>4</v>
      </c>
      <c r="O97" s="56"/>
      <c r="P97" s="57"/>
      <c r="Q97" s="57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5.75" customHeight="1" x14ac:dyDescent="0.3">
      <c r="A98" s="72">
        <v>2220071</v>
      </c>
      <c r="B98" s="73" t="s">
        <v>201</v>
      </c>
      <c r="C98" s="73">
        <v>371</v>
      </c>
      <c r="D98" s="73">
        <v>371</v>
      </c>
      <c r="E98" s="74" t="s">
        <v>133</v>
      </c>
      <c r="F98" s="75">
        <v>0</v>
      </c>
      <c r="G98" s="75">
        <v>0</v>
      </c>
      <c r="H98" s="80">
        <v>0</v>
      </c>
      <c r="I98" s="81">
        <v>0</v>
      </c>
      <c r="J98" s="81"/>
      <c r="K98" s="83">
        <v>0</v>
      </c>
      <c r="L98" s="79"/>
      <c r="M98" s="79">
        <f t="shared" si="0"/>
        <v>0</v>
      </c>
      <c r="N98" s="75">
        <f t="shared" si="1"/>
        <v>0</v>
      </c>
      <c r="O98" s="56"/>
      <c r="P98" s="57"/>
      <c r="Q98" s="57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5.75" customHeight="1" x14ac:dyDescent="0.3">
      <c r="A99" s="72">
        <v>2220069</v>
      </c>
      <c r="B99" s="73" t="s">
        <v>113</v>
      </c>
      <c r="C99" s="73">
        <v>256</v>
      </c>
      <c r="D99" s="73">
        <v>256</v>
      </c>
      <c r="E99" s="74" t="s">
        <v>133</v>
      </c>
      <c r="F99" s="75">
        <v>8</v>
      </c>
      <c r="G99" s="75">
        <v>8</v>
      </c>
      <c r="H99" s="84">
        <v>0</v>
      </c>
      <c r="I99" s="85">
        <v>0</v>
      </c>
      <c r="J99" s="81"/>
      <c r="K99" s="83">
        <v>0</v>
      </c>
      <c r="L99" s="79"/>
      <c r="M99" s="79">
        <f t="shared" si="0"/>
        <v>8</v>
      </c>
      <c r="N99" s="75">
        <f t="shared" si="1"/>
        <v>8</v>
      </c>
      <c r="O99" s="56"/>
      <c r="P99" s="57"/>
      <c r="Q99" s="57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5.75" customHeight="1" x14ac:dyDescent="0.3">
      <c r="A100" s="72">
        <v>2220078</v>
      </c>
      <c r="B100" s="73" t="s">
        <v>202</v>
      </c>
      <c r="C100" s="73">
        <v>85</v>
      </c>
      <c r="D100" s="73">
        <v>85</v>
      </c>
      <c r="E100" s="74" t="s">
        <v>133</v>
      </c>
      <c r="F100" s="75">
        <v>0</v>
      </c>
      <c r="G100" s="75">
        <v>0</v>
      </c>
      <c r="H100" s="84">
        <v>0</v>
      </c>
      <c r="I100" s="85">
        <v>0</v>
      </c>
      <c r="J100" s="81"/>
      <c r="K100" s="83">
        <v>0</v>
      </c>
      <c r="L100" s="79"/>
      <c r="M100" s="79">
        <f t="shared" si="0"/>
        <v>0</v>
      </c>
      <c r="N100" s="75">
        <f t="shared" si="1"/>
        <v>0</v>
      </c>
      <c r="O100" s="56"/>
      <c r="P100" s="57"/>
      <c r="Q100" s="57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5.75" customHeight="1" x14ac:dyDescent="0.3">
      <c r="A101" s="72">
        <v>2220065</v>
      </c>
      <c r="B101" s="73" t="s">
        <v>203</v>
      </c>
      <c r="C101" s="73">
        <v>136.56</v>
      </c>
      <c r="D101" s="73">
        <v>136.56</v>
      </c>
      <c r="E101" s="74" t="s">
        <v>133</v>
      </c>
      <c r="F101" s="75">
        <v>0</v>
      </c>
      <c r="G101" s="75">
        <v>0</v>
      </c>
      <c r="H101" s="84">
        <v>0</v>
      </c>
      <c r="I101" s="85">
        <v>0</v>
      </c>
      <c r="J101" s="81"/>
      <c r="K101" s="83">
        <v>0</v>
      </c>
      <c r="L101" s="79"/>
      <c r="M101" s="79">
        <f t="shared" si="0"/>
        <v>0</v>
      </c>
      <c r="N101" s="75">
        <f t="shared" si="1"/>
        <v>0</v>
      </c>
      <c r="O101" s="56"/>
      <c r="P101" s="57"/>
      <c r="Q101" s="57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5.75" customHeight="1" x14ac:dyDescent="0.3">
      <c r="A102" s="72">
        <v>2220084</v>
      </c>
      <c r="B102" s="73" t="s">
        <v>204</v>
      </c>
      <c r="C102" s="73">
        <v>320</v>
      </c>
      <c r="D102" s="73">
        <v>320</v>
      </c>
      <c r="E102" s="74" t="s">
        <v>133</v>
      </c>
      <c r="F102" s="75">
        <v>0</v>
      </c>
      <c r="G102" s="75">
        <v>0</v>
      </c>
      <c r="H102" s="80">
        <v>0</v>
      </c>
      <c r="I102" s="81">
        <v>0</v>
      </c>
      <c r="J102" s="81"/>
      <c r="K102" s="83">
        <v>0</v>
      </c>
      <c r="L102" s="79"/>
      <c r="M102" s="79">
        <f t="shared" si="0"/>
        <v>0</v>
      </c>
      <c r="N102" s="75">
        <f t="shared" si="1"/>
        <v>0</v>
      </c>
      <c r="O102" s="56"/>
      <c r="P102" s="57"/>
      <c r="Q102" s="57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5.75" customHeight="1" x14ac:dyDescent="0.3">
      <c r="A103" s="92">
        <v>2220145</v>
      </c>
      <c r="B103" s="106" t="s">
        <v>205</v>
      </c>
      <c r="C103" s="106">
        <v>760</v>
      </c>
      <c r="D103" s="106">
        <v>760</v>
      </c>
      <c r="E103" s="107" t="s">
        <v>133</v>
      </c>
      <c r="F103" s="95">
        <v>0</v>
      </c>
      <c r="G103" s="95">
        <v>0</v>
      </c>
      <c r="H103" s="80">
        <v>0</v>
      </c>
      <c r="I103" s="81">
        <v>0</v>
      </c>
      <c r="J103" s="81"/>
      <c r="K103" s="83">
        <v>0</v>
      </c>
      <c r="L103" s="108"/>
      <c r="M103" s="79">
        <f t="shared" si="0"/>
        <v>0</v>
      </c>
      <c r="N103" s="75">
        <f t="shared" si="1"/>
        <v>0</v>
      </c>
      <c r="O103" s="56"/>
      <c r="P103" s="57"/>
      <c r="Q103" s="57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5.75" customHeight="1" x14ac:dyDescent="0.3">
      <c r="A104" s="92">
        <v>2220146</v>
      </c>
      <c r="B104" s="73" t="s">
        <v>206</v>
      </c>
      <c r="C104" s="73">
        <v>638.4</v>
      </c>
      <c r="D104" s="73">
        <v>638.4</v>
      </c>
      <c r="E104" s="74" t="s">
        <v>133</v>
      </c>
      <c r="F104" s="95">
        <v>0</v>
      </c>
      <c r="G104" s="95">
        <v>0</v>
      </c>
      <c r="H104" s="80">
        <v>0</v>
      </c>
      <c r="I104" s="81">
        <v>0</v>
      </c>
      <c r="J104" s="81"/>
      <c r="K104" s="83">
        <v>0</v>
      </c>
      <c r="L104" s="109"/>
      <c r="M104" s="79">
        <f t="shared" si="0"/>
        <v>0</v>
      </c>
      <c r="N104" s="75">
        <f t="shared" si="1"/>
        <v>0</v>
      </c>
      <c r="O104" s="56"/>
      <c r="P104" s="57"/>
      <c r="Q104" s="57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5.75" customHeight="1" x14ac:dyDescent="0.3">
      <c r="A105" s="72">
        <v>2220026</v>
      </c>
      <c r="B105" s="73" t="s">
        <v>35</v>
      </c>
      <c r="C105" s="73">
        <v>67.7</v>
      </c>
      <c r="D105" s="73">
        <v>67.7</v>
      </c>
      <c r="E105" s="74" t="s">
        <v>137</v>
      </c>
      <c r="F105" s="75">
        <v>-9.8000000000000114</v>
      </c>
      <c r="G105" s="75">
        <v>9</v>
      </c>
      <c r="H105" s="80">
        <v>25</v>
      </c>
      <c r="I105" s="81">
        <v>25.2</v>
      </c>
      <c r="J105" s="81"/>
      <c r="K105" s="83">
        <v>23.55</v>
      </c>
      <c r="L105" s="79"/>
      <c r="M105" s="79">
        <f t="shared" si="0"/>
        <v>-8.3500000000000121</v>
      </c>
      <c r="N105" s="75">
        <f t="shared" si="1"/>
        <v>10.650000000000002</v>
      </c>
      <c r="O105" s="56"/>
      <c r="P105" s="57"/>
      <c r="Q105" s="57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5.75" customHeight="1" x14ac:dyDescent="0.3">
      <c r="A106" s="72">
        <v>2220027</v>
      </c>
      <c r="B106" s="110" t="s">
        <v>79</v>
      </c>
      <c r="C106" s="110">
        <v>166.7</v>
      </c>
      <c r="D106" s="110">
        <v>166.7</v>
      </c>
      <c r="E106" s="111" t="s">
        <v>137</v>
      </c>
      <c r="F106" s="112">
        <v>-1.399999999999999</v>
      </c>
      <c r="G106" s="112">
        <v>0</v>
      </c>
      <c r="H106" s="113">
        <v>0</v>
      </c>
      <c r="I106" s="114">
        <v>0</v>
      </c>
      <c r="J106" s="76"/>
      <c r="K106" s="82">
        <v>0</v>
      </c>
      <c r="L106" s="112"/>
      <c r="M106" s="79">
        <f t="shared" si="0"/>
        <v>-1.399999999999999</v>
      </c>
      <c r="N106" s="75">
        <f t="shared" si="1"/>
        <v>0</v>
      </c>
      <c r="O106" s="91"/>
      <c r="P106" s="57"/>
      <c r="Q106" s="57"/>
      <c r="R106" s="56"/>
      <c r="S106" s="56"/>
      <c r="T106" s="91"/>
      <c r="U106" s="91"/>
      <c r="V106" s="91"/>
      <c r="W106" s="91"/>
      <c r="X106" s="91"/>
      <c r="Y106" s="91"/>
      <c r="Z106" s="91"/>
    </row>
    <row r="107" spans="1:26" ht="15.75" customHeight="1" x14ac:dyDescent="0.3">
      <c r="A107" s="72">
        <v>2220080</v>
      </c>
      <c r="B107" s="73" t="s">
        <v>207</v>
      </c>
      <c r="C107" s="73">
        <v>15.85</v>
      </c>
      <c r="D107" s="73">
        <v>15.85</v>
      </c>
      <c r="E107" s="74" t="s">
        <v>133</v>
      </c>
      <c r="F107" s="75">
        <v>1</v>
      </c>
      <c r="G107" s="75">
        <v>1</v>
      </c>
      <c r="H107" s="76">
        <v>0</v>
      </c>
      <c r="I107" s="77">
        <v>0</v>
      </c>
      <c r="J107" s="77"/>
      <c r="K107" s="78">
        <v>0</v>
      </c>
      <c r="L107" s="75"/>
      <c r="M107" s="79">
        <f t="shared" si="0"/>
        <v>1</v>
      </c>
      <c r="N107" s="75">
        <f t="shared" si="1"/>
        <v>1</v>
      </c>
      <c r="O107" s="56"/>
      <c r="P107" s="57"/>
      <c r="Q107" s="57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5.75" customHeight="1" x14ac:dyDescent="0.3">
      <c r="A108" s="115">
        <v>2220035</v>
      </c>
      <c r="B108" s="110" t="s">
        <v>208</v>
      </c>
      <c r="C108" s="110">
        <v>75</v>
      </c>
      <c r="D108" s="110">
        <v>75</v>
      </c>
      <c r="E108" s="111" t="s">
        <v>133</v>
      </c>
      <c r="F108" s="112">
        <v>-2</v>
      </c>
      <c r="G108" s="112">
        <v>0</v>
      </c>
      <c r="H108" s="76">
        <v>2</v>
      </c>
      <c r="I108" s="76">
        <v>2</v>
      </c>
      <c r="J108" s="114"/>
      <c r="K108" s="116">
        <v>2</v>
      </c>
      <c r="L108" s="112"/>
      <c r="M108" s="79">
        <f t="shared" si="0"/>
        <v>-2</v>
      </c>
      <c r="N108" s="75">
        <f t="shared" si="1"/>
        <v>0</v>
      </c>
      <c r="O108" s="56" t="s">
        <v>209</v>
      </c>
      <c r="P108" s="57"/>
      <c r="Q108" s="57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6.5" customHeight="1" x14ac:dyDescent="0.3">
      <c r="A109" s="72">
        <v>2220045</v>
      </c>
      <c r="B109" s="73" t="s">
        <v>96</v>
      </c>
      <c r="C109" s="110">
        <v>86</v>
      </c>
      <c r="D109" s="110">
        <v>86</v>
      </c>
      <c r="E109" s="111" t="s">
        <v>210</v>
      </c>
      <c r="F109" s="112">
        <v>29</v>
      </c>
      <c r="G109" s="112">
        <v>29</v>
      </c>
      <c r="H109" s="117">
        <v>20</v>
      </c>
      <c r="I109" s="118">
        <v>20</v>
      </c>
      <c r="J109" s="118"/>
      <c r="K109" s="119">
        <v>2</v>
      </c>
      <c r="L109" s="75"/>
      <c r="M109" s="79">
        <f t="shared" si="0"/>
        <v>47</v>
      </c>
      <c r="N109" s="75">
        <f t="shared" si="1"/>
        <v>47</v>
      </c>
      <c r="O109" s="56"/>
      <c r="P109" s="57"/>
      <c r="Q109" s="57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5.75" customHeight="1" x14ac:dyDescent="0.3">
      <c r="A110" s="115">
        <v>2220028</v>
      </c>
      <c r="B110" s="110" t="s">
        <v>36</v>
      </c>
      <c r="C110" s="110">
        <v>29.2</v>
      </c>
      <c r="D110" s="110">
        <v>29.2</v>
      </c>
      <c r="E110" s="111" t="s">
        <v>137</v>
      </c>
      <c r="F110" s="112">
        <v>33.299999999999727</v>
      </c>
      <c r="G110" s="112">
        <v>105.9</v>
      </c>
      <c r="H110" s="117">
        <v>265</v>
      </c>
      <c r="I110" s="118">
        <v>264.7</v>
      </c>
      <c r="J110" s="118"/>
      <c r="K110" s="119">
        <v>255.3</v>
      </c>
      <c r="L110" s="112"/>
      <c r="M110" s="79">
        <f t="shared" si="0"/>
        <v>42.999999999999716</v>
      </c>
      <c r="N110" s="75">
        <f t="shared" si="1"/>
        <v>115.30000000000001</v>
      </c>
      <c r="O110" s="56"/>
      <c r="P110" s="57"/>
      <c r="Q110" s="57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5.75" customHeight="1" x14ac:dyDescent="0.3">
      <c r="A111" s="92">
        <v>2220053</v>
      </c>
      <c r="B111" s="93" t="s">
        <v>211</v>
      </c>
      <c r="C111" s="120">
        <v>2830</v>
      </c>
      <c r="D111" s="120">
        <v>2830</v>
      </c>
      <c r="E111" s="94" t="s">
        <v>135</v>
      </c>
      <c r="F111" s="75">
        <v>1</v>
      </c>
      <c r="G111" s="75">
        <v>1</v>
      </c>
      <c r="H111" s="121">
        <v>0</v>
      </c>
      <c r="I111" s="121">
        <v>0</v>
      </c>
      <c r="J111" s="121"/>
      <c r="K111" s="122">
        <v>0</v>
      </c>
      <c r="L111" s="75"/>
      <c r="M111" s="79">
        <f t="shared" si="0"/>
        <v>1</v>
      </c>
      <c r="N111" s="75">
        <f t="shared" si="1"/>
        <v>1</v>
      </c>
      <c r="O111" s="56"/>
      <c r="P111" s="57"/>
      <c r="Q111" s="57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5.75" customHeight="1" x14ac:dyDescent="0.3">
      <c r="A112" s="123"/>
      <c r="B112" s="124" t="s">
        <v>212</v>
      </c>
      <c r="C112" s="125"/>
      <c r="D112" s="125"/>
      <c r="E112" s="126"/>
      <c r="F112" s="112">
        <v>7</v>
      </c>
      <c r="G112" s="112">
        <v>7</v>
      </c>
      <c r="H112" s="127">
        <v>4</v>
      </c>
      <c r="I112" s="127">
        <v>4</v>
      </c>
      <c r="J112" s="127"/>
      <c r="K112" s="128">
        <v>8</v>
      </c>
      <c r="L112" s="112"/>
      <c r="M112" s="79">
        <f t="shared" si="0"/>
        <v>3</v>
      </c>
      <c r="N112" s="75">
        <f t="shared" si="1"/>
        <v>3</v>
      </c>
      <c r="O112" s="56"/>
      <c r="P112" s="57"/>
      <c r="Q112" s="57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5.75" customHeight="1" x14ac:dyDescent="0.3">
      <c r="A113" s="92"/>
      <c r="B113" s="129" t="s">
        <v>213</v>
      </c>
      <c r="C113" s="120"/>
      <c r="D113" s="120"/>
      <c r="E113" s="94"/>
      <c r="F113" s="75">
        <v>0</v>
      </c>
      <c r="G113" s="75">
        <v>0</v>
      </c>
      <c r="H113" s="121">
        <v>2</v>
      </c>
      <c r="I113" s="121">
        <v>2</v>
      </c>
      <c r="J113" s="121"/>
      <c r="K113" s="122">
        <v>0</v>
      </c>
      <c r="L113" s="75"/>
      <c r="M113" s="79">
        <f t="shared" si="0"/>
        <v>2</v>
      </c>
      <c r="N113" s="75">
        <f t="shared" si="1"/>
        <v>2</v>
      </c>
      <c r="O113" s="56"/>
      <c r="P113" s="57"/>
      <c r="Q113" s="57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5.75" customHeight="1" x14ac:dyDescent="0.3">
      <c r="A114" s="123"/>
      <c r="B114" s="124" t="s">
        <v>214</v>
      </c>
      <c r="C114" s="125"/>
      <c r="D114" s="125"/>
      <c r="E114" s="126"/>
      <c r="F114" s="112">
        <v>1</v>
      </c>
      <c r="G114" s="112">
        <v>1</v>
      </c>
      <c r="H114" s="127"/>
      <c r="I114" s="127"/>
      <c r="J114" s="127"/>
      <c r="K114" s="128">
        <v>0</v>
      </c>
      <c r="L114" s="112"/>
      <c r="M114" s="79">
        <f t="shared" si="0"/>
        <v>1</v>
      </c>
      <c r="N114" s="75">
        <f t="shared" si="1"/>
        <v>1</v>
      </c>
      <c r="O114" s="56"/>
      <c r="P114" s="57"/>
      <c r="Q114" s="57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5.75" customHeight="1" x14ac:dyDescent="0.3">
      <c r="A115" s="130"/>
      <c r="B115" s="131" t="s">
        <v>215</v>
      </c>
      <c r="C115" s="132"/>
      <c r="D115" s="132"/>
      <c r="E115" s="133"/>
      <c r="F115" s="134">
        <v>1</v>
      </c>
      <c r="G115" s="134">
        <v>1</v>
      </c>
      <c r="H115" s="135">
        <v>2</v>
      </c>
      <c r="I115" s="135">
        <v>2</v>
      </c>
      <c r="J115" s="135"/>
      <c r="K115" s="136">
        <v>0</v>
      </c>
      <c r="L115" s="134"/>
      <c r="M115" s="79">
        <f t="shared" si="0"/>
        <v>3</v>
      </c>
      <c r="N115" s="75">
        <f t="shared" si="1"/>
        <v>3</v>
      </c>
      <c r="O115" s="56"/>
      <c r="P115" s="57"/>
      <c r="Q115" s="57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5.75" customHeight="1" x14ac:dyDescent="0.3">
      <c r="A116" s="137" t="s">
        <v>68</v>
      </c>
      <c r="B116" s="137"/>
      <c r="C116" s="137"/>
      <c r="D116" s="137"/>
      <c r="E116" s="138"/>
      <c r="F116" s="139">
        <f t="shared" ref="F116:J116" si="2">SUM(F8:F111)</f>
        <v>97.504999999999768</v>
      </c>
      <c r="G116" s="139">
        <f t="shared" si="2"/>
        <v>1138.1300000000001</v>
      </c>
      <c r="H116" s="139">
        <f t="shared" si="2"/>
        <v>2466.1999999999998</v>
      </c>
      <c r="I116" s="139">
        <f t="shared" si="2"/>
        <v>2545.4199999999996</v>
      </c>
      <c r="J116" s="139">
        <f t="shared" si="2"/>
        <v>0</v>
      </c>
      <c r="K116" s="139">
        <f>SUM(K8:K115)</f>
        <v>2453.8000000000006</v>
      </c>
      <c r="L116" s="139">
        <f t="shared" ref="L116:N116" si="3">SUM(L8:L110)</f>
        <v>0</v>
      </c>
      <c r="M116" s="139">
        <f t="shared" si="3"/>
        <v>116.90499999999973</v>
      </c>
      <c r="N116" s="139">
        <f t="shared" si="3"/>
        <v>1236.7499999999998</v>
      </c>
      <c r="O116" s="56"/>
      <c r="P116" s="57"/>
      <c r="Q116" s="57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5.75" customHeight="1" x14ac:dyDescent="0.3">
      <c r="A117" s="56"/>
      <c r="B117" s="56"/>
      <c r="C117" s="56"/>
      <c r="D117" s="56"/>
      <c r="E117" s="14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7"/>
      <c r="Q117" s="57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5.75" customHeight="1" x14ac:dyDescent="0.3">
      <c r="A118" s="56"/>
      <c r="B118" s="56"/>
      <c r="C118" s="56"/>
      <c r="D118" s="56"/>
      <c r="E118" s="14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7"/>
      <c r="Q118" s="57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5.75" customHeight="1" x14ac:dyDescent="0.3">
      <c r="A119" s="56"/>
      <c r="B119" s="56"/>
      <c r="C119" s="56"/>
      <c r="D119" s="56"/>
      <c r="E119" s="14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7"/>
      <c r="Q119" s="57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5.75" customHeight="1" x14ac:dyDescent="0.3">
      <c r="A120" s="56"/>
      <c r="B120" s="56"/>
      <c r="C120" s="56"/>
      <c r="D120" s="56"/>
      <c r="E120" s="14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7"/>
      <c r="Q120" s="57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5.75" customHeight="1" x14ac:dyDescent="0.3">
      <c r="A121" s="56"/>
      <c r="B121" s="56"/>
      <c r="C121" s="56"/>
      <c r="D121" s="56"/>
      <c r="E121" s="14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7"/>
      <c r="Q121" s="57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5.75" customHeight="1" x14ac:dyDescent="0.3">
      <c r="A122" s="56"/>
      <c r="B122" s="56"/>
      <c r="C122" s="56"/>
      <c r="D122" s="56"/>
      <c r="E122" s="14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7"/>
      <c r="Q122" s="57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5.75" customHeight="1" x14ac:dyDescent="0.3">
      <c r="A123" s="56"/>
      <c r="B123" s="56"/>
      <c r="C123" s="56"/>
      <c r="D123" s="56"/>
      <c r="E123" s="14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7"/>
      <c r="Q123" s="57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5.75" customHeight="1" x14ac:dyDescent="0.3">
      <c r="A124" s="56"/>
      <c r="B124" s="56"/>
      <c r="C124" s="56"/>
      <c r="D124" s="56"/>
      <c r="E124" s="14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7"/>
      <c r="Q124" s="57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5.75" customHeight="1" x14ac:dyDescent="0.3">
      <c r="A125" s="56"/>
      <c r="B125" s="56"/>
      <c r="C125" s="56"/>
      <c r="D125" s="56"/>
      <c r="E125" s="14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7"/>
      <c r="Q125" s="57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5.75" customHeight="1" x14ac:dyDescent="0.3">
      <c r="A126" s="56"/>
      <c r="B126" s="56"/>
      <c r="C126" s="56"/>
      <c r="D126" s="56"/>
      <c r="E126" s="14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7"/>
      <c r="Q126" s="57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5.75" customHeight="1" x14ac:dyDescent="0.3">
      <c r="A127" s="56"/>
      <c r="B127" s="56"/>
      <c r="C127" s="56"/>
      <c r="D127" s="56"/>
      <c r="E127" s="14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7"/>
      <c r="Q127" s="57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5.75" customHeight="1" x14ac:dyDescent="0.3">
      <c r="A128" s="56"/>
      <c r="B128" s="56"/>
      <c r="C128" s="56"/>
      <c r="D128" s="56"/>
      <c r="E128" s="14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7"/>
      <c r="Q128" s="57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5.75" customHeight="1" x14ac:dyDescent="0.3">
      <c r="A129" s="56"/>
      <c r="B129" s="56"/>
      <c r="C129" s="56"/>
      <c r="D129" s="56"/>
      <c r="E129" s="14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7"/>
      <c r="Q129" s="57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5.75" customHeight="1" x14ac:dyDescent="0.3">
      <c r="A130" s="56"/>
      <c r="B130" s="56"/>
      <c r="C130" s="56"/>
      <c r="D130" s="56"/>
      <c r="E130" s="14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7"/>
      <c r="Q130" s="57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5.75" customHeight="1" x14ac:dyDescent="0.3">
      <c r="A131" s="56"/>
      <c r="B131" s="56"/>
      <c r="C131" s="56"/>
      <c r="D131" s="56"/>
      <c r="E131" s="14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7"/>
      <c r="Q131" s="57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5.75" customHeight="1" x14ac:dyDescent="0.3">
      <c r="A132" s="56"/>
      <c r="B132" s="56"/>
      <c r="C132" s="56"/>
      <c r="D132" s="56"/>
      <c r="E132" s="14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7"/>
      <c r="Q132" s="57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5.75" customHeight="1" x14ac:dyDescent="0.3">
      <c r="A133" s="56"/>
      <c r="B133" s="56"/>
      <c r="C133" s="56"/>
      <c r="D133" s="56"/>
      <c r="E133" s="14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7"/>
      <c r="Q133" s="57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5.75" customHeight="1" x14ac:dyDescent="0.3">
      <c r="A134" s="56"/>
      <c r="B134" s="56"/>
      <c r="C134" s="56"/>
      <c r="D134" s="56"/>
      <c r="E134" s="14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7"/>
      <c r="Q134" s="57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5.75" customHeight="1" x14ac:dyDescent="0.3">
      <c r="A135" s="56"/>
      <c r="B135" s="56"/>
      <c r="C135" s="56"/>
      <c r="D135" s="56"/>
      <c r="E135" s="14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7"/>
      <c r="Q135" s="57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5.75" customHeight="1" x14ac:dyDescent="0.3">
      <c r="A136" s="56"/>
      <c r="B136" s="56"/>
      <c r="C136" s="56"/>
      <c r="D136" s="56"/>
      <c r="E136" s="14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7"/>
      <c r="Q136" s="57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5.75" customHeight="1" x14ac:dyDescent="0.3">
      <c r="A137" s="56"/>
      <c r="B137" s="56"/>
      <c r="C137" s="56"/>
      <c r="D137" s="56"/>
      <c r="E137" s="14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7"/>
      <c r="Q137" s="57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5.75" customHeight="1" x14ac:dyDescent="0.3">
      <c r="A138" s="56"/>
      <c r="B138" s="56"/>
      <c r="C138" s="56"/>
      <c r="D138" s="56"/>
      <c r="E138" s="14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7"/>
      <c r="Q138" s="57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5.75" customHeight="1" x14ac:dyDescent="0.3">
      <c r="A139" s="56"/>
      <c r="B139" s="56"/>
      <c r="C139" s="56"/>
      <c r="D139" s="56"/>
      <c r="E139" s="14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7"/>
      <c r="Q139" s="57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5.75" customHeight="1" x14ac:dyDescent="0.3">
      <c r="A140" s="56"/>
      <c r="B140" s="56"/>
      <c r="C140" s="56"/>
      <c r="D140" s="56"/>
      <c r="E140" s="14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7"/>
      <c r="Q140" s="57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5.75" customHeight="1" x14ac:dyDescent="0.3">
      <c r="A141" s="56"/>
      <c r="B141" s="56"/>
      <c r="C141" s="56"/>
      <c r="D141" s="56"/>
      <c r="E141" s="14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7"/>
      <c r="Q141" s="57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5.75" customHeight="1" x14ac:dyDescent="0.3">
      <c r="A142" s="56"/>
      <c r="B142" s="56"/>
      <c r="C142" s="56"/>
      <c r="D142" s="56"/>
      <c r="E142" s="14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7"/>
      <c r="Q142" s="57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5.75" customHeight="1" x14ac:dyDescent="0.3">
      <c r="A143" s="56"/>
      <c r="B143" s="56"/>
      <c r="C143" s="56"/>
      <c r="D143" s="56"/>
      <c r="E143" s="14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7"/>
      <c r="Q143" s="57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5.75" customHeight="1" x14ac:dyDescent="0.3">
      <c r="A144" s="56"/>
      <c r="B144" s="56"/>
      <c r="C144" s="56"/>
      <c r="D144" s="56"/>
      <c r="E144" s="14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7"/>
      <c r="Q144" s="57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5.75" customHeight="1" x14ac:dyDescent="0.3">
      <c r="A145" s="56"/>
      <c r="B145" s="56"/>
      <c r="C145" s="56"/>
      <c r="D145" s="56"/>
      <c r="E145" s="14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7"/>
      <c r="Q145" s="57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5.75" customHeight="1" x14ac:dyDescent="0.3">
      <c r="A146" s="56"/>
      <c r="B146" s="56"/>
      <c r="C146" s="56"/>
      <c r="D146" s="56"/>
      <c r="E146" s="14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7"/>
      <c r="Q146" s="57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5.75" customHeight="1" x14ac:dyDescent="0.3">
      <c r="A147" s="56"/>
      <c r="B147" s="56"/>
      <c r="C147" s="56"/>
      <c r="D147" s="56"/>
      <c r="E147" s="14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7"/>
      <c r="Q147" s="57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5.75" customHeight="1" x14ac:dyDescent="0.3">
      <c r="A148" s="56"/>
      <c r="B148" s="56"/>
      <c r="C148" s="56"/>
      <c r="D148" s="56"/>
      <c r="E148" s="14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7"/>
      <c r="Q148" s="57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5.75" customHeight="1" x14ac:dyDescent="0.3">
      <c r="A149" s="56"/>
      <c r="B149" s="56"/>
      <c r="C149" s="56"/>
      <c r="D149" s="56"/>
      <c r="E149" s="14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7"/>
      <c r="Q149" s="57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5.75" customHeight="1" x14ac:dyDescent="0.3">
      <c r="A150" s="56"/>
      <c r="B150" s="56"/>
      <c r="C150" s="56"/>
      <c r="D150" s="56"/>
      <c r="E150" s="14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7"/>
      <c r="Q150" s="57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5.75" customHeight="1" x14ac:dyDescent="0.3">
      <c r="A151" s="56"/>
      <c r="B151" s="56"/>
      <c r="C151" s="56"/>
      <c r="D151" s="56"/>
      <c r="E151" s="14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7"/>
      <c r="Q151" s="57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5.75" customHeight="1" x14ac:dyDescent="0.3">
      <c r="A152" s="56"/>
      <c r="B152" s="56"/>
      <c r="C152" s="56"/>
      <c r="D152" s="56"/>
      <c r="E152" s="14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7"/>
      <c r="Q152" s="57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5.75" customHeight="1" x14ac:dyDescent="0.3">
      <c r="A153" s="56"/>
      <c r="B153" s="56"/>
      <c r="C153" s="56"/>
      <c r="D153" s="56"/>
      <c r="E153" s="14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7"/>
      <c r="Q153" s="57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5.75" customHeight="1" x14ac:dyDescent="0.3">
      <c r="A154" s="56"/>
      <c r="B154" s="56"/>
      <c r="C154" s="56"/>
      <c r="D154" s="56"/>
      <c r="E154" s="14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7"/>
      <c r="Q154" s="57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5.75" customHeight="1" x14ac:dyDescent="0.3">
      <c r="A155" s="56"/>
      <c r="B155" s="56"/>
      <c r="C155" s="56"/>
      <c r="D155" s="56"/>
      <c r="E155" s="14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7"/>
      <c r="Q155" s="57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5.75" customHeight="1" x14ac:dyDescent="0.3">
      <c r="A156" s="56"/>
      <c r="B156" s="56"/>
      <c r="C156" s="56"/>
      <c r="D156" s="56"/>
      <c r="E156" s="14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7"/>
      <c r="Q156" s="57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5.75" customHeight="1" x14ac:dyDescent="0.3">
      <c r="A157" s="56"/>
      <c r="B157" s="56"/>
      <c r="C157" s="56"/>
      <c r="D157" s="56"/>
      <c r="E157" s="14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7"/>
      <c r="Q157" s="57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5.75" customHeight="1" x14ac:dyDescent="0.3">
      <c r="A158" s="56"/>
      <c r="B158" s="56"/>
      <c r="C158" s="56"/>
      <c r="D158" s="56"/>
      <c r="E158" s="14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7"/>
      <c r="Q158" s="57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5.75" customHeight="1" x14ac:dyDescent="0.3">
      <c r="A159" s="56"/>
      <c r="B159" s="56"/>
      <c r="C159" s="56"/>
      <c r="D159" s="56"/>
      <c r="E159" s="14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7"/>
      <c r="Q159" s="57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5.75" customHeight="1" x14ac:dyDescent="0.3">
      <c r="A160" s="56"/>
      <c r="B160" s="56"/>
      <c r="C160" s="56"/>
      <c r="D160" s="56"/>
      <c r="E160" s="14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7"/>
      <c r="Q160" s="57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5.75" customHeight="1" x14ac:dyDescent="0.3">
      <c r="A161" s="56"/>
      <c r="B161" s="56"/>
      <c r="C161" s="56"/>
      <c r="D161" s="56"/>
      <c r="E161" s="14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7"/>
      <c r="Q161" s="57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5.75" customHeight="1" x14ac:dyDescent="0.3">
      <c r="A162" s="56"/>
      <c r="B162" s="56"/>
      <c r="C162" s="56"/>
      <c r="D162" s="56"/>
      <c r="E162" s="14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7"/>
      <c r="Q162" s="57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5.75" customHeight="1" x14ac:dyDescent="0.3">
      <c r="A163" s="56"/>
      <c r="B163" s="56"/>
      <c r="C163" s="56"/>
      <c r="D163" s="56"/>
      <c r="E163" s="14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7"/>
      <c r="Q163" s="57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5.75" customHeight="1" x14ac:dyDescent="0.3">
      <c r="A164" s="56"/>
      <c r="B164" s="56"/>
      <c r="C164" s="56"/>
      <c r="D164" s="56"/>
      <c r="E164" s="14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7"/>
      <c r="Q164" s="57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5.75" customHeight="1" x14ac:dyDescent="0.3">
      <c r="A165" s="56"/>
      <c r="B165" s="56"/>
      <c r="C165" s="56"/>
      <c r="D165" s="56"/>
      <c r="E165" s="14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7"/>
      <c r="Q165" s="57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5.75" customHeight="1" x14ac:dyDescent="0.3">
      <c r="A166" s="56"/>
      <c r="B166" s="56"/>
      <c r="C166" s="56"/>
      <c r="D166" s="56"/>
      <c r="E166" s="14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7"/>
      <c r="Q166" s="57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5.75" customHeight="1" x14ac:dyDescent="0.3">
      <c r="A167" s="56"/>
      <c r="B167" s="56"/>
      <c r="C167" s="56"/>
      <c r="D167" s="56"/>
      <c r="E167" s="14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7"/>
      <c r="Q167" s="57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5.75" customHeight="1" x14ac:dyDescent="0.3">
      <c r="A168" s="56"/>
      <c r="B168" s="56"/>
      <c r="C168" s="56"/>
      <c r="D168" s="56"/>
      <c r="E168" s="14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7"/>
      <c r="Q168" s="57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5.75" customHeight="1" x14ac:dyDescent="0.3">
      <c r="A169" s="56"/>
      <c r="B169" s="56"/>
      <c r="C169" s="56"/>
      <c r="D169" s="56"/>
      <c r="E169" s="14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7"/>
      <c r="Q169" s="57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5.75" customHeight="1" x14ac:dyDescent="0.3">
      <c r="A170" s="56"/>
      <c r="B170" s="56"/>
      <c r="C170" s="56"/>
      <c r="D170" s="56"/>
      <c r="E170" s="14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7"/>
      <c r="Q170" s="57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5.75" customHeight="1" x14ac:dyDescent="0.3">
      <c r="A171" s="56"/>
      <c r="B171" s="56"/>
      <c r="C171" s="56"/>
      <c r="D171" s="56"/>
      <c r="E171" s="14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7"/>
      <c r="Q171" s="57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5.75" customHeight="1" x14ac:dyDescent="0.3">
      <c r="A172" s="56"/>
      <c r="B172" s="56"/>
      <c r="C172" s="56"/>
      <c r="D172" s="56"/>
      <c r="E172" s="14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7"/>
      <c r="Q172" s="57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5.75" customHeight="1" x14ac:dyDescent="0.3">
      <c r="A173" s="56"/>
      <c r="B173" s="56"/>
      <c r="C173" s="56"/>
      <c r="D173" s="56"/>
      <c r="E173" s="14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7"/>
      <c r="Q173" s="57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5.75" customHeight="1" x14ac:dyDescent="0.3">
      <c r="A174" s="56"/>
      <c r="B174" s="56"/>
      <c r="C174" s="56"/>
      <c r="D174" s="56"/>
      <c r="E174" s="14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7"/>
      <c r="Q174" s="57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5.75" customHeight="1" x14ac:dyDescent="0.3">
      <c r="A175" s="56"/>
      <c r="B175" s="56"/>
      <c r="C175" s="56"/>
      <c r="D175" s="56"/>
      <c r="E175" s="14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7"/>
      <c r="Q175" s="57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5.75" customHeight="1" x14ac:dyDescent="0.3">
      <c r="A176" s="56"/>
      <c r="B176" s="56"/>
      <c r="C176" s="56"/>
      <c r="D176" s="56"/>
      <c r="E176" s="14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7"/>
      <c r="Q176" s="57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5.75" customHeight="1" x14ac:dyDescent="0.3">
      <c r="A177" s="56"/>
      <c r="B177" s="56"/>
      <c r="C177" s="56"/>
      <c r="D177" s="56"/>
      <c r="E177" s="14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7"/>
      <c r="Q177" s="57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5.75" customHeight="1" x14ac:dyDescent="0.3">
      <c r="A178" s="56"/>
      <c r="B178" s="56"/>
      <c r="C178" s="56"/>
      <c r="D178" s="56"/>
      <c r="E178" s="14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7"/>
      <c r="Q178" s="57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5.75" customHeight="1" x14ac:dyDescent="0.3">
      <c r="A179" s="56"/>
      <c r="B179" s="56"/>
      <c r="C179" s="56"/>
      <c r="D179" s="56"/>
      <c r="E179" s="14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7"/>
      <c r="Q179" s="57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5.75" customHeight="1" x14ac:dyDescent="0.3">
      <c r="A180" s="56"/>
      <c r="B180" s="56"/>
      <c r="C180" s="56"/>
      <c r="D180" s="56"/>
      <c r="E180" s="14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7"/>
      <c r="Q180" s="57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5.75" customHeight="1" x14ac:dyDescent="0.3">
      <c r="A181" s="56"/>
      <c r="B181" s="56"/>
      <c r="C181" s="56"/>
      <c r="D181" s="56"/>
      <c r="E181" s="14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7"/>
      <c r="Q181" s="57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5.75" customHeight="1" x14ac:dyDescent="0.3">
      <c r="A182" s="56"/>
      <c r="B182" s="56"/>
      <c r="C182" s="56"/>
      <c r="D182" s="56"/>
      <c r="E182" s="14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7"/>
      <c r="Q182" s="57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5.75" customHeight="1" x14ac:dyDescent="0.3">
      <c r="A183" s="56"/>
      <c r="B183" s="56"/>
      <c r="C183" s="56"/>
      <c r="D183" s="56"/>
      <c r="E183" s="14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7"/>
      <c r="Q183" s="57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5.75" customHeight="1" x14ac:dyDescent="0.3">
      <c r="A184" s="56"/>
      <c r="B184" s="56"/>
      <c r="C184" s="56"/>
      <c r="D184" s="56"/>
      <c r="E184" s="14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7"/>
      <c r="Q184" s="57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5.75" customHeight="1" x14ac:dyDescent="0.3">
      <c r="A185" s="56"/>
      <c r="B185" s="56"/>
      <c r="C185" s="56"/>
      <c r="D185" s="56"/>
      <c r="E185" s="14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7"/>
      <c r="Q185" s="57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5.75" customHeight="1" x14ac:dyDescent="0.3">
      <c r="A186" s="56"/>
      <c r="B186" s="56"/>
      <c r="C186" s="56"/>
      <c r="D186" s="56"/>
      <c r="E186" s="14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7"/>
      <c r="Q186" s="57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5.75" customHeight="1" x14ac:dyDescent="0.3">
      <c r="A187" s="56"/>
      <c r="B187" s="56"/>
      <c r="C187" s="56"/>
      <c r="D187" s="56"/>
      <c r="E187" s="14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7"/>
      <c r="Q187" s="57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5.75" customHeight="1" x14ac:dyDescent="0.3">
      <c r="A188" s="56"/>
      <c r="B188" s="56"/>
      <c r="C188" s="56"/>
      <c r="D188" s="56"/>
      <c r="E188" s="14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7"/>
      <c r="Q188" s="57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5.75" customHeight="1" x14ac:dyDescent="0.3">
      <c r="A189" s="56"/>
      <c r="B189" s="56"/>
      <c r="C189" s="56"/>
      <c r="D189" s="56"/>
      <c r="E189" s="14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7"/>
      <c r="Q189" s="57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5.75" customHeight="1" x14ac:dyDescent="0.3">
      <c r="A190" s="56"/>
      <c r="B190" s="56"/>
      <c r="C190" s="56"/>
      <c r="D190" s="56"/>
      <c r="E190" s="14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7"/>
      <c r="Q190" s="57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5.75" customHeight="1" x14ac:dyDescent="0.3">
      <c r="A191" s="56"/>
      <c r="B191" s="56"/>
      <c r="C191" s="56"/>
      <c r="D191" s="56"/>
      <c r="E191" s="14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7"/>
      <c r="Q191" s="57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5.75" customHeight="1" x14ac:dyDescent="0.3">
      <c r="A192" s="56"/>
      <c r="B192" s="56"/>
      <c r="C192" s="56"/>
      <c r="D192" s="56"/>
      <c r="E192" s="14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7"/>
      <c r="Q192" s="57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5.75" customHeight="1" x14ac:dyDescent="0.3">
      <c r="A193" s="56"/>
      <c r="B193" s="56"/>
      <c r="C193" s="56"/>
      <c r="D193" s="56"/>
      <c r="E193" s="14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7"/>
      <c r="Q193" s="57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5.75" customHeight="1" x14ac:dyDescent="0.3">
      <c r="A194" s="56"/>
      <c r="B194" s="56"/>
      <c r="C194" s="56"/>
      <c r="D194" s="56"/>
      <c r="E194" s="14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7"/>
      <c r="Q194" s="57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5.75" customHeight="1" x14ac:dyDescent="0.3">
      <c r="A195" s="56"/>
      <c r="B195" s="56"/>
      <c r="C195" s="56"/>
      <c r="D195" s="56"/>
      <c r="E195" s="14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7"/>
      <c r="Q195" s="57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5.75" customHeight="1" x14ac:dyDescent="0.3">
      <c r="A196" s="56"/>
      <c r="B196" s="56"/>
      <c r="C196" s="56"/>
      <c r="D196" s="56"/>
      <c r="E196" s="14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7"/>
      <c r="Q196" s="57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5.75" customHeight="1" x14ac:dyDescent="0.3">
      <c r="A197" s="56"/>
      <c r="B197" s="56"/>
      <c r="C197" s="56"/>
      <c r="D197" s="56"/>
      <c r="E197" s="14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7"/>
      <c r="Q197" s="57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5.75" customHeight="1" x14ac:dyDescent="0.3">
      <c r="A198" s="56"/>
      <c r="B198" s="56"/>
      <c r="C198" s="56"/>
      <c r="D198" s="56"/>
      <c r="E198" s="14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7"/>
      <c r="Q198" s="57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5.75" customHeight="1" x14ac:dyDescent="0.3">
      <c r="A199" s="56"/>
      <c r="B199" s="56"/>
      <c r="C199" s="56"/>
      <c r="D199" s="56"/>
      <c r="E199" s="14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7"/>
      <c r="Q199" s="57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5.75" customHeight="1" x14ac:dyDescent="0.3">
      <c r="A200" s="56"/>
      <c r="B200" s="56"/>
      <c r="C200" s="56"/>
      <c r="D200" s="56"/>
      <c r="E200" s="14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7"/>
      <c r="Q200" s="57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5.75" customHeight="1" x14ac:dyDescent="0.3">
      <c r="A201" s="56"/>
      <c r="B201" s="56"/>
      <c r="C201" s="56"/>
      <c r="D201" s="56"/>
      <c r="E201" s="14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7"/>
      <c r="Q201" s="57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5.75" customHeight="1" x14ac:dyDescent="0.3">
      <c r="A202" s="56"/>
      <c r="B202" s="56"/>
      <c r="C202" s="56"/>
      <c r="D202" s="56"/>
      <c r="E202" s="14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7"/>
      <c r="Q202" s="57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5.75" customHeight="1" x14ac:dyDescent="0.3">
      <c r="A203" s="56"/>
      <c r="B203" s="56"/>
      <c r="C203" s="56"/>
      <c r="D203" s="56"/>
      <c r="E203" s="14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7"/>
      <c r="Q203" s="57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5.75" customHeight="1" x14ac:dyDescent="0.3">
      <c r="A204" s="56"/>
      <c r="B204" s="56"/>
      <c r="C204" s="56"/>
      <c r="D204" s="56"/>
      <c r="E204" s="14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7"/>
      <c r="Q204" s="57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5.75" customHeight="1" x14ac:dyDescent="0.3">
      <c r="A205" s="56"/>
      <c r="B205" s="56"/>
      <c r="C205" s="56"/>
      <c r="D205" s="56"/>
      <c r="E205" s="14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7"/>
      <c r="Q205" s="57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5.75" customHeight="1" x14ac:dyDescent="0.3">
      <c r="A206" s="56"/>
      <c r="B206" s="56"/>
      <c r="C206" s="56"/>
      <c r="D206" s="56"/>
      <c r="E206" s="14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7"/>
      <c r="Q206" s="57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5.75" customHeight="1" x14ac:dyDescent="0.3">
      <c r="A207" s="56"/>
      <c r="B207" s="56"/>
      <c r="C207" s="56"/>
      <c r="D207" s="56"/>
      <c r="E207" s="14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7"/>
      <c r="Q207" s="57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5.75" customHeight="1" x14ac:dyDescent="0.3">
      <c r="A208" s="56"/>
      <c r="B208" s="56"/>
      <c r="C208" s="56"/>
      <c r="D208" s="56"/>
      <c r="E208" s="14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7"/>
      <c r="Q208" s="57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5.75" customHeight="1" x14ac:dyDescent="0.3">
      <c r="A209" s="56"/>
      <c r="B209" s="56"/>
      <c r="C209" s="56"/>
      <c r="D209" s="56"/>
      <c r="E209" s="14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7"/>
      <c r="Q209" s="57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5.75" customHeight="1" x14ac:dyDescent="0.3">
      <c r="A210" s="56"/>
      <c r="B210" s="56"/>
      <c r="C210" s="56"/>
      <c r="D210" s="56"/>
      <c r="E210" s="14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7"/>
      <c r="Q210" s="57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5.75" customHeight="1" x14ac:dyDescent="0.3">
      <c r="A211" s="56"/>
      <c r="B211" s="56"/>
      <c r="C211" s="56"/>
      <c r="D211" s="56"/>
      <c r="E211" s="14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7"/>
      <c r="Q211" s="57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5.75" customHeight="1" x14ac:dyDescent="0.3">
      <c r="A212" s="56"/>
      <c r="B212" s="56"/>
      <c r="C212" s="56"/>
      <c r="D212" s="56"/>
      <c r="E212" s="14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7"/>
      <c r="Q212" s="57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5.75" customHeight="1" x14ac:dyDescent="0.3">
      <c r="A213" s="56"/>
      <c r="B213" s="56"/>
      <c r="C213" s="56"/>
      <c r="D213" s="56"/>
      <c r="E213" s="14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7"/>
      <c r="Q213" s="57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5.75" customHeight="1" x14ac:dyDescent="0.3">
      <c r="A214" s="56"/>
      <c r="B214" s="56"/>
      <c r="C214" s="56"/>
      <c r="D214" s="56"/>
      <c r="E214" s="14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7"/>
      <c r="Q214" s="57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5.75" customHeight="1" x14ac:dyDescent="0.3">
      <c r="A215" s="56"/>
      <c r="B215" s="56"/>
      <c r="C215" s="56"/>
      <c r="D215" s="56"/>
      <c r="E215" s="14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7"/>
      <c r="Q215" s="57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5.75" customHeight="1" x14ac:dyDescent="0.3">
      <c r="A216" s="56"/>
      <c r="B216" s="56"/>
      <c r="C216" s="56"/>
      <c r="D216" s="56"/>
      <c r="E216" s="14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7"/>
      <c r="Q216" s="57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5.75" customHeight="1" x14ac:dyDescent="0.3">
      <c r="A217" s="56"/>
      <c r="B217" s="56"/>
      <c r="C217" s="56"/>
      <c r="D217" s="56"/>
      <c r="E217" s="14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7"/>
      <c r="Q217" s="57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5.75" customHeight="1" x14ac:dyDescent="0.3">
      <c r="A218" s="56"/>
      <c r="B218" s="56"/>
      <c r="C218" s="56"/>
      <c r="D218" s="56"/>
      <c r="E218" s="14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7"/>
      <c r="Q218" s="57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5.75" customHeight="1" x14ac:dyDescent="0.3">
      <c r="A219" s="56"/>
      <c r="B219" s="56"/>
      <c r="C219" s="56"/>
      <c r="D219" s="56"/>
      <c r="E219" s="14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7"/>
      <c r="Q219" s="57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5.75" customHeight="1" x14ac:dyDescent="0.3">
      <c r="A220" s="56"/>
      <c r="B220" s="56"/>
      <c r="C220" s="56"/>
      <c r="D220" s="56"/>
      <c r="E220" s="14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7"/>
      <c r="Q220" s="57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5.75" customHeight="1" x14ac:dyDescent="0.3">
      <c r="A221" s="56"/>
      <c r="B221" s="56"/>
      <c r="C221" s="56"/>
      <c r="D221" s="56"/>
      <c r="E221" s="14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7"/>
      <c r="Q221" s="57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5.75" customHeight="1" x14ac:dyDescent="0.3">
      <c r="A222" s="56"/>
      <c r="B222" s="56"/>
      <c r="C222" s="56"/>
      <c r="D222" s="56"/>
      <c r="E222" s="14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7"/>
      <c r="Q222" s="57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5.75" customHeight="1" x14ac:dyDescent="0.3">
      <c r="A223" s="56"/>
      <c r="B223" s="56"/>
      <c r="C223" s="56"/>
      <c r="D223" s="56"/>
      <c r="E223" s="14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7"/>
      <c r="Q223" s="57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5.75" customHeight="1" x14ac:dyDescent="0.3">
      <c r="A224" s="56"/>
      <c r="B224" s="56"/>
      <c r="C224" s="56"/>
      <c r="D224" s="56"/>
      <c r="E224" s="14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7"/>
      <c r="Q224" s="57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5.75" customHeight="1" x14ac:dyDescent="0.3">
      <c r="A225" s="56"/>
      <c r="B225" s="56"/>
      <c r="C225" s="56"/>
      <c r="D225" s="56"/>
      <c r="E225" s="14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7"/>
      <c r="Q225" s="57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5.75" customHeight="1" x14ac:dyDescent="0.3">
      <c r="A226" s="56"/>
      <c r="B226" s="56"/>
      <c r="C226" s="56"/>
      <c r="D226" s="56"/>
      <c r="E226" s="14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7"/>
      <c r="Q226" s="57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5.75" customHeight="1" x14ac:dyDescent="0.3">
      <c r="A227" s="56"/>
      <c r="B227" s="56"/>
      <c r="C227" s="56"/>
      <c r="D227" s="56"/>
      <c r="E227" s="14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7"/>
      <c r="Q227" s="57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5.75" customHeight="1" x14ac:dyDescent="0.3">
      <c r="A228" s="56"/>
      <c r="B228" s="56"/>
      <c r="C228" s="56"/>
      <c r="D228" s="56"/>
      <c r="E228" s="14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7"/>
      <c r="Q228" s="57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5.75" customHeight="1" x14ac:dyDescent="0.3">
      <c r="A229" s="56"/>
      <c r="B229" s="56"/>
      <c r="C229" s="56"/>
      <c r="D229" s="56"/>
      <c r="E229" s="14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7"/>
      <c r="Q229" s="57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5.75" customHeight="1" x14ac:dyDescent="0.3">
      <c r="A230" s="56"/>
      <c r="B230" s="56"/>
      <c r="C230" s="56"/>
      <c r="D230" s="56"/>
      <c r="E230" s="14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7"/>
      <c r="Q230" s="57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5.75" customHeight="1" x14ac:dyDescent="0.3">
      <c r="A231" s="56"/>
      <c r="B231" s="56"/>
      <c r="C231" s="56"/>
      <c r="D231" s="56"/>
      <c r="E231" s="14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7"/>
      <c r="Q231" s="57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5.75" customHeight="1" x14ac:dyDescent="0.3">
      <c r="A232" s="56"/>
      <c r="B232" s="56"/>
      <c r="C232" s="56"/>
      <c r="D232" s="56"/>
      <c r="E232" s="14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7"/>
      <c r="Q232" s="57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5.75" customHeight="1" x14ac:dyDescent="0.3">
      <c r="A233" s="56"/>
      <c r="B233" s="56"/>
      <c r="C233" s="56"/>
      <c r="D233" s="56"/>
      <c r="E233" s="14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7"/>
      <c r="Q233" s="57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5.75" customHeight="1" x14ac:dyDescent="0.3">
      <c r="A234" s="56"/>
      <c r="B234" s="56"/>
      <c r="C234" s="56"/>
      <c r="D234" s="56"/>
      <c r="E234" s="14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7"/>
      <c r="Q234" s="57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5.75" customHeight="1" x14ac:dyDescent="0.3">
      <c r="A235" s="56"/>
      <c r="B235" s="56"/>
      <c r="C235" s="56"/>
      <c r="D235" s="56"/>
      <c r="E235" s="14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7"/>
      <c r="Q235" s="57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5.75" customHeight="1" x14ac:dyDescent="0.3">
      <c r="A236" s="56"/>
      <c r="B236" s="56"/>
      <c r="C236" s="56"/>
      <c r="D236" s="56"/>
      <c r="E236" s="14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7"/>
      <c r="Q236" s="57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5.75" customHeight="1" x14ac:dyDescent="0.3">
      <c r="A237" s="56"/>
      <c r="B237" s="56"/>
      <c r="C237" s="56"/>
      <c r="D237" s="56"/>
      <c r="E237" s="14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7"/>
      <c r="Q237" s="57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5.75" customHeight="1" x14ac:dyDescent="0.3">
      <c r="A238" s="56"/>
      <c r="B238" s="56"/>
      <c r="C238" s="56"/>
      <c r="D238" s="56"/>
      <c r="E238" s="14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7"/>
      <c r="Q238" s="57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5.75" customHeight="1" x14ac:dyDescent="0.3">
      <c r="A239" s="56"/>
      <c r="B239" s="56"/>
      <c r="C239" s="56"/>
      <c r="D239" s="56"/>
      <c r="E239" s="14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7"/>
      <c r="Q239" s="57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5.75" customHeight="1" x14ac:dyDescent="0.3">
      <c r="A240" s="56"/>
      <c r="B240" s="56"/>
      <c r="C240" s="56"/>
      <c r="D240" s="56"/>
      <c r="E240" s="14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7"/>
      <c r="Q240" s="57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5.75" customHeight="1" x14ac:dyDescent="0.3">
      <c r="A241" s="56"/>
      <c r="B241" s="56"/>
      <c r="C241" s="56"/>
      <c r="D241" s="56"/>
      <c r="E241" s="14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7"/>
      <c r="Q241" s="57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5.75" customHeight="1" x14ac:dyDescent="0.3">
      <c r="A242" s="56"/>
      <c r="B242" s="56"/>
      <c r="C242" s="56"/>
      <c r="D242" s="56"/>
      <c r="E242" s="14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7"/>
      <c r="Q242" s="57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5.75" customHeight="1" x14ac:dyDescent="0.3">
      <c r="A243" s="56"/>
      <c r="B243" s="56"/>
      <c r="C243" s="56"/>
      <c r="D243" s="56"/>
      <c r="E243" s="14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7"/>
      <c r="Q243" s="57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5.75" customHeight="1" x14ac:dyDescent="0.3">
      <c r="A244" s="56"/>
      <c r="B244" s="56"/>
      <c r="C244" s="56"/>
      <c r="D244" s="56"/>
      <c r="E244" s="14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7"/>
      <c r="Q244" s="57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5.75" customHeight="1" x14ac:dyDescent="0.3">
      <c r="A245" s="56"/>
      <c r="B245" s="56"/>
      <c r="C245" s="56"/>
      <c r="D245" s="56"/>
      <c r="E245" s="14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7"/>
      <c r="Q245" s="57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5.75" customHeight="1" x14ac:dyDescent="0.3">
      <c r="A246" s="56"/>
      <c r="B246" s="56"/>
      <c r="C246" s="56"/>
      <c r="D246" s="56"/>
      <c r="E246" s="14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7"/>
      <c r="Q246" s="57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5.75" customHeight="1" x14ac:dyDescent="0.3">
      <c r="A247" s="56"/>
      <c r="B247" s="56"/>
      <c r="C247" s="56"/>
      <c r="D247" s="56"/>
      <c r="E247" s="14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7"/>
      <c r="Q247" s="57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5.75" customHeight="1" x14ac:dyDescent="0.3">
      <c r="A248" s="56"/>
      <c r="B248" s="56"/>
      <c r="C248" s="56"/>
      <c r="D248" s="56"/>
      <c r="E248" s="14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7"/>
      <c r="Q248" s="57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5.75" customHeight="1" x14ac:dyDescent="0.3">
      <c r="A249" s="56"/>
      <c r="B249" s="56"/>
      <c r="C249" s="56"/>
      <c r="D249" s="56"/>
      <c r="E249" s="14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7"/>
      <c r="Q249" s="57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5.75" customHeight="1" x14ac:dyDescent="0.3">
      <c r="A250" s="56"/>
      <c r="B250" s="56"/>
      <c r="C250" s="56"/>
      <c r="D250" s="56"/>
      <c r="E250" s="14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7"/>
      <c r="Q250" s="57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5.75" customHeight="1" x14ac:dyDescent="0.3">
      <c r="A251" s="56"/>
      <c r="B251" s="56"/>
      <c r="C251" s="56"/>
      <c r="D251" s="56"/>
      <c r="E251" s="14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7"/>
      <c r="Q251" s="57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5.75" customHeight="1" x14ac:dyDescent="0.3">
      <c r="A252" s="56"/>
      <c r="B252" s="56"/>
      <c r="C252" s="56"/>
      <c r="D252" s="56"/>
      <c r="E252" s="14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7"/>
      <c r="Q252" s="57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5.75" customHeight="1" x14ac:dyDescent="0.3">
      <c r="A253" s="56"/>
      <c r="B253" s="56"/>
      <c r="C253" s="56"/>
      <c r="D253" s="56"/>
      <c r="E253" s="14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7"/>
      <c r="Q253" s="57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5.75" customHeight="1" x14ac:dyDescent="0.3">
      <c r="A254" s="56"/>
      <c r="B254" s="56"/>
      <c r="C254" s="56"/>
      <c r="D254" s="56"/>
      <c r="E254" s="14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7"/>
      <c r="Q254" s="57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5.75" customHeight="1" x14ac:dyDescent="0.3">
      <c r="A255" s="56"/>
      <c r="B255" s="56"/>
      <c r="C255" s="56"/>
      <c r="D255" s="56"/>
      <c r="E255" s="14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7"/>
      <c r="Q255" s="57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5.75" customHeight="1" x14ac:dyDescent="0.3">
      <c r="A256" s="56"/>
      <c r="B256" s="56"/>
      <c r="C256" s="56"/>
      <c r="D256" s="56"/>
      <c r="E256" s="14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7"/>
      <c r="Q256" s="57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5.75" customHeight="1" x14ac:dyDescent="0.3">
      <c r="A257" s="56"/>
      <c r="B257" s="56"/>
      <c r="C257" s="56"/>
      <c r="D257" s="56"/>
      <c r="E257" s="14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7"/>
      <c r="Q257" s="57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5.75" customHeight="1" x14ac:dyDescent="0.3">
      <c r="A258" s="56"/>
      <c r="B258" s="56"/>
      <c r="C258" s="56"/>
      <c r="D258" s="56"/>
      <c r="E258" s="14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7"/>
      <c r="Q258" s="57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5.75" customHeight="1" x14ac:dyDescent="0.3">
      <c r="A259" s="56"/>
      <c r="B259" s="56"/>
      <c r="C259" s="56"/>
      <c r="D259" s="56"/>
      <c r="E259" s="14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7"/>
      <c r="Q259" s="57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5.75" customHeight="1" x14ac:dyDescent="0.3">
      <c r="A260" s="56"/>
      <c r="B260" s="56"/>
      <c r="C260" s="56"/>
      <c r="D260" s="56"/>
      <c r="E260" s="14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7"/>
      <c r="Q260" s="57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5.75" customHeight="1" x14ac:dyDescent="0.3">
      <c r="A261" s="56"/>
      <c r="B261" s="56"/>
      <c r="C261" s="56"/>
      <c r="D261" s="56"/>
      <c r="E261" s="14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7"/>
      <c r="Q261" s="57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5.75" customHeight="1" x14ac:dyDescent="0.3">
      <c r="A262" s="56"/>
      <c r="B262" s="56"/>
      <c r="C262" s="56"/>
      <c r="D262" s="56"/>
      <c r="E262" s="14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7"/>
      <c r="Q262" s="57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5.75" customHeight="1" x14ac:dyDescent="0.3">
      <c r="A263" s="56"/>
      <c r="B263" s="56"/>
      <c r="C263" s="56"/>
      <c r="D263" s="56"/>
      <c r="E263" s="14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7"/>
      <c r="Q263" s="57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5.75" customHeight="1" x14ac:dyDescent="0.3">
      <c r="A264" s="56"/>
      <c r="B264" s="56"/>
      <c r="C264" s="56"/>
      <c r="D264" s="56"/>
      <c r="E264" s="14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7"/>
      <c r="Q264" s="57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15.75" customHeight="1" x14ac:dyDescent="0.3">
      <c r="A265" s="56"/>
      <c r="B265" s="56"/>
      <c r="C265" s="56"/>
      <c r="D265" s="56"/>
      <c r="E265" s="14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7"/>
      <c r="Q265" s="57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15.75" customHeight="1" x14ac:dyDescent="0.3">
      <c r="A266" s="56"/>
      <c r="B266" s="56"/>
      <c r="C266" s="56"/>
      <c r="D266" s="56"/>
      <c r="E266" s="14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7"/>
      <c r="Q266" s="57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15.75" customHeight="1" x14ac:dyDescent="0.3">
      <c r="A267" s="56"/>
      <c r="B267" s="56"/>
      <c r="C267" s="56"/>
      <c r="D267" s="56"/>
      <c r="E267" s="14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7"/>
      <c r="Q267" s="57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15.75" customHeight="1" x14ac:dyDescent="0.3">
      <c r="A268" s="56"/>
      <c r="B268" s="56"/>
      <c r="C268" s="56"/>
      <c r="D268" s="56"/>
      <c r="E268" s="14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7"/>
      <c r="Q268" s="57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15.75" customHeight="1" x14ac:dyDescent="0.3">
      <c r="A269" s="56"/>
      <c r="B269" s="56"/>
      <c r="C269" s="56"/>
      <c r="D269" s="56"/>
      <c r="E269" s="14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7"/>
      <c r="Q269" s="57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15.75" customHeight="1" x14ac:dyDescent="0.3">
      <c r="A270" s="56"/>
      <c r="B270" s="56"/>
      <c r="C270" s="56"/>
      <c r="D270" s="56"/>
      <c r="E270" s="14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7"/>
      <c r="Q270" s="57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15.75" customHeight="1" x14ac:dyDescent="0.3">
      <c r="A271" s="56"/>
      <c r="B271" s="56"/>
      <c r="C271" s="56"/>
      <c r="D271" s="56"/>
      <c r="E271" s="14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7"/>
      <c r="Q271" s="57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15.75" customHeight="1" x14ac:dyDescent="0.3">
      <c r="A272" s="56"/>
      <c r="B272" s="56"/>
      <c r="C272" s="56"/>
      <c r="D272" s="56"/>
      <c r="E272" s="14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7"/>
      <c r="Q272" s="57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15.75" customHeight="1" x14ac:dyDescent="0.3">
      <c r="A273" s="56"/>
      <c r="B273" s="56"/>
      <c r="C273" s="56"/>
      <c r="D273" s="56"/>
      <c r="E273" s="14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7"/>
      <c r="Q273" s="57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15.75" customHeight="1" x14ac:dyDescent="0.3">
      <c r="A274" s="56"/>
      <c r="B274" s="56"/>
      <c r="C274" s="56"/>
      <c r="D274" s="56"/>
      <c r="E274" s="14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7"/>
      <c r="Q274" s="57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15.75" customHeight="1" x14ac:dyDescent="0.3">
      <c r="A275" s="56"/>
      <c r="B275" s="56"/>
      <c r="C275" s="56"/>
      <c r="D275" s="56"/>
      <c r="E275" s="14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7"/>
      <c r="Q275" s="57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15.75" customHeight="1" x14ac:dyDescent="0.3">
      <c r="A276" s="56"/>
      <c r="B276" s="56"/>
      <c r="C276" s="56"/>
      <c r="D276" s="56"/>
      <c r="E276" s="14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7"/>
      <c r="Q276" s="57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15.75" customHeight="1" x14ac:dyDescent="0.3">
      <c r="A277" s="56"/>
      <c r="B277" s="56"/>
      <c r="C277" s="56"/>
      <c r="D277" s="56"/>
      <c r="E277" s="14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7"/>
      <c r="Q277" s="57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15.75" customHeight="1" x14ac:dyDescent="0.3">
      <c r="A278" s="56"/>
      <c r="B278" s="56"/>
      <c r="C278" s="56"/>
      <c r="D278" s="56"/>
      <c r="E278" s="14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7"/>
      <c r="Q278" s="57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15.75" customHeight="1" x14ac:dyDescent="0.3">
      <c r="A279" s="56"/>
      <c r="B279" s="56"/>
      <c r="C279" s="56"/>
      <c r="D279" s="56"/>
      <c r="E279" s="14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7"/>
      <c r="Q279" s="57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15.75" customHeight="1" x14ac:dyDescent="0.3">
      <c r="A280" s="56"/>
      <c r="B280" s="56"/>
      <c r="C280" s="56"/>
      <c r="D280" s="56"/>
      <c r="E280" s="14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7"/>
      <c r="Q280" s="57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15.75" customHeight="1" x14ac:dyDescent="0.3">
      <c r="A281" s="56"/>
      <c r="B281" s="56"/>
      <c r="C281" s="56"/>
      <c r="D281" s="56"/>
      <c r="E281" s="14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7"/>
      <c r="Q281" s="57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15.75" customHeight="1" x14ac:dyDescent="0.3">
      <c r="A282" s="56"/>
      <c r="B282" s="56"/>
      <c r="C282" s="56"/>
      <c r="D282" s="56"/>
      <c r="E282" s="14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7"/>
      <c r="Q282" s="57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15.75" customHeight="1" x14ac:dyDescent="0.3">
      <c r="A283" s="56"/>
      <c r="B283" s="56"/>
      <c r="C283" s="56"/>
      <c r="D283" s="56"/>
      <c r="E283" s="14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7"/>
      <c r="Q283" s="57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15.75" customHeight="1" x14ac:dyDescent="0.3">
      <c r="A284" s="56"/>
      <c r="B284" s="56"/>
      <c r="C284" s="56"/>
      <c r="D284" s="56"/>
      <c r="E284" s="14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7"/>
      <c r="Q284" s="57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15.75" customHeight="1" x14ac:dyDescent="0.3">
      <c r="A285" s="56"/>
      <c r="B285" s="56"/>
      <c r="C285" s="56"/>
      <c r="D285" s="56"/>
      <c r="E285" s="14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7"/>
      <c r="Q285" s="57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15.75" customHeight="1" x14ac:dyDescent="0.3">
      <c r="A286" s="56"/>
      <c r="B286" s="56"/>
      <c r="C286" s="56"/>
      <c r="D286" s="56"/>
      <c r="E286" s="14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7"/>
      <c r="Q286" s="57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15.75" customHeight="1" x14ac:dyDescent="0.3">
      <c r="A287" s="56"/>
      <c r="B287" s="56"/>
      <c r="C287" s="56"/>
      <c r="D287" s="56"/>
      <c r="E287" s="14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7"/>
      <c r="Q287" s="57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15.75" customHeight="1" x14ac:dyDescent="0.3">
      <c r="A288" s="56"/>
      <c r="B288" s="56"/>
      <c r="C288" s="56"/>
      <c r="D288" s="56"/>
      <c r="E288" s="14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7"/>
      <c r="Q288" s="57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15.75" customHeight="1" x14ac:dyDescent="0.3">
      <c r="A289" s="56"/>
      <c r="B289" s="56"/>
      <c r="C289" s="56"/>
      <c r="D289" s="56"/>
      <c r="E289" s="14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7"/>
      <c r="Q289" s="57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15.75" customHeight="1" x14ac:dyDescent="0.3">
      <c r="A290" s="56"/>
      <c r="B290" s="56"/>
      <c r="C290" s="56"/>
      <c r="D290" s="56"/>
      <c r="E290" s="14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7"/>
      <c r="Q290" s="57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15.75" customHeight="1" x14ac:dyDescent="0.3">
      <c r="A291" s="56"/>
      <c r="B291" s="56"/>
      <c r="C291" s="56"/>
      <c r="D291" s="56"/>
      <c r="E291" s="14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7"/>
      <c r="Q291" s="57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15.75" customHeight="1" x14ac:dyDescent="0.3">
      <c r="A292" s="56"/>
      <c r="B292" s="56"/>
      <c r="C292" s="56"/>
      <c r="D292" s="56"/>
      <c r="E292" s="14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7"/>
      <c r="Q292" s="57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15.75" customHeight="1" x14ac:dyDescent="0.3">
      <c r="A293" s="56"/>
      <c r="B293" s="56"/>
      <c r="C293" s="56"/>
      <c r="D293" s="56"/>
      <c r="E293" s="14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7"/>
      <c r="Q293" s="57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15.75" customHeight="1" x14ac:dyDescent="0.3">
      <c r="A294" s="56"/>
      <c r="B294" s="56"/>
      <c r="C294" s="56"/>
      <c r="D294" s="56"/>
      <c r="E294" s="14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7"/>
      <c r="Q294" s="57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15.75" customHeight="1" x14ac:dyDescent="0.3">
      <c r="A295" s="56"/>
      <c r="B295" s="56"/>
      <c r="C295" s="56"/>
      <c r="D295" s="56"/>
      <c r="E295" s="14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7"/>
      <c r="Q295" s="57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15.75" customHeight="1" x14ac:dyDescent="0.3">
      <c r="A296" s="56"/>
      <c r="B296" s="56"/>
      <c r="C296" s="56"/>
      <c r="D296" s="56"/>
      <c r="E296" s="14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7"/>
      <c r="Q296" s="57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15.75" customHeight="1" x14ac:dyDescent="0.3">
      <c r="A297" s="56"/>
      <c r="B297" s="56"/>
      <c r="C297" s="56"/>
      <c r="D297" s="56"/>
      <c r="E297" s="14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7"/>
      <c r="Q297" s="57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15.75" customHeight="1" x14ac:dyDescent="0.3">
      <c r="A298" s="56"/>
      <c r="B298" s="56"/>
      <c r="C298" s="56"/>
      <c r="D298" s="56"/>
      <c r="E298" s="14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7"/>
      <c r="Q298" s="57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15.75" customHeight="1" x14ac:dyDescent="0.3">
      <c r="A299" s="56"/>
      <c r="B299" s="56"/>
      <c r="C299" s="56"/>
      <c r="D299" s="56"/>
      <c r="E299" s="14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7"/>
      <c r="Q299" s="57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15.75" customHeight="1" x14ac:dyDescent="0.3">
      <c r="A300" s="56"/>
      <c r="B300" s="56"/>
      <c r="C300" s="56"/>
      <c r="D300" s="56"/>
      <c r="E300" s="14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7"/>
      <c r="Q300" s="57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15.75" customHeight="1" x14ac:dyDescent="0.3">
      <c r="A301" s="56"/>
      <c r="B301" s="56"/>
      <c r="C301" s="56"/>
      <c r="D301" s="56"/>
      <c r="E301" s="14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7"/>
      <c r="Q301" s="57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15.75" customHeight="1" x14ac:dyDescent="0.3">
      <c r="A302" s="56"/>
      <c r="B302" s="56"/>
      <c r="C302" s="56"/>
      <c r="D302" s="56"/>
      <c r="E302" s="14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7"/>
      <c r="Q302" s="57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15.75" customHeight="1" x14ac:dyDescent="0.3">
      <c r="A303" s="56"/>
      <c r="B303" s="56"/>
      <c r="C303" s="56"/>
      <c r="D303" s="56"/>
      <c r="E303" s="14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7"/>
      <c r="Q303" s="57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15.75" customHeight="1" x14ac:dyDescent="0.3">
      <c r="A304" s="56"/>
      <c r="B304" s="56"/>
      <c r="C304" s="56"/>
      <c r="D304" s="56"/>
      <c r="E304" s="14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7"/>
      <c r="Q304" s="57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15.75" customHeight="1" x14ac:dyDescent="0.3">
      <c r="A305" s="56"/>
      <c r="B305" s="56"/>
      <c r="C305" s="56"/>
      <c r="D305" s="56"/>
      <c r="E305" s="14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7"/>
      <c r="Q305" s="57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15.75" customHeight="1" x14ac:dyDescent="0.3">
      <c r="A306" s="56"/>
      <c r="B306" s="56"/>
      <c r="C306" s="56"/>
      <c r="D306" s="56"/>
      <c r="E306" s="14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7"/>
      <c r="Q306" s="57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15.75" customHeight="1" x14ac:dyDescent="0.3">
      <c r="A307" s="56"/>
      <c r="B307" s="56"/>
      <c r="C307" s="56"/>
      <c r="D307" s="56"/>
      <c r="E307" s="14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7"/>
      <c r="Q307" s="57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15.75" customHeight="1" x14ac:dyDescent="0.3">
      <c r="A308" s="56"/>
      <c r="B308" s="56"/>
      <c r="C308" s="56"/>
      <c r="D308" s="56"/>
      <c r="E308" s="14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7"/>
      <c r="Q308" s="57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15.75" customHeight="1" x14ac:dyDescent="0.3">
      <c r="A309" s="56"/>
      <c r="B309" s="56"/>
      <c r="C309" s="56"/>
      <c r="D309" s="56"/>
      <c r="E309" s="14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7"/>
      <c r="Q309" s="57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15.75" customHeight="1" x14ac:dyDescent="0.3">
      <c r="A310" s="56"/>
      <c r="B310" s="56"/>
      <c r="C310" s="56"/>
      <c r="D310" s="56"/>
      <c r="E310" s="14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7"/>
      <c r="Q310" s="57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15.75" customHeight="1" x14ac:dyDescent="0.3">
      <c r="A311" s="56"/>
      <c r="B311" s="56"/>
      <c r="C311" s="56"/>
      <c r="D311" s="56"/>
      <c r="E311" s="14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7"/>
      <c r="Q311" s="57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15.75" customHeight="1" x14ac:dyDescent="0.3">
      <c r="A312" s="56"/>
      <c r="B312" s="56"/>
      <c r="C312" s="56"/>
      <c r="D312" s="56"/>
      <c r="E312" s="14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7"/>
      <c r="Q312" s="57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15.75" customHeight="1" x14ac:dyDescent="0.3">
      <c r="A313" s="56"/>
      <c r="B313" s="56"/>
      <c r="C313" s="56"/>
      <c r="D313" s="56"/>
      <c r="E313" s="14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7"/>
      <c r="Q313" s="57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15.75" customHeight="1" x14ac:dyDescent="0.3">
      <c r="A314" s="56"/>
      <c r="B314" s="56"/>
      <c r="C314" s="56"/>
      <c r="D314" s="56"/>
      <c r="E314" s="14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7"/>
      <c r="Q314" s="57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15.75" customHeight="1" x14ac:dyDescent="0.3">
      <c r="A315" s="56"/>
      <c r="B315" s="56"/>
      <c r="C315" s="56"/>
      <c r="D315" s="56"/>
      <c r="E315" s="14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7"/>
      <c r="Q315" s="57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15.75" customHeight="1" x14ac:dyDescent="0.3">
      <c r="A316" s="56"/>
      <c r="B316" s="56"/>
      <c r="C316" s="56"/>
      <c r="D316" s="56"/>
      <c r="E316" s="14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7"/>
      <c r="Q316" s="57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15.75" customHeight="1" x14ac:dyDescent="0.3">
      <c r="A317" s="56"/>
      <c r="B317" s="56"/>
      <c r="C317" s="56"/>
      <c r="D317" s="56"/>
      <c r="E317" s="14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7"/>
      <c r="Q317" s="57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15.75" customHeight="1" x14ac:dyDescent="0.3">
      <c r="A318" s="56"/>
      <c r="B318" s="56"/>
      <c r="C318" s="56"/>
      <c r="D318" s="56"/>
      <c r="E318" s="14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7"/>
      <c r="Q318" s="57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15.75" customHeight="1" x14ac:dyDescent="0.3">
      <c r="A319" s="56"/>
      <c r="B319" s="56"/>
      <c r="C319" s="56"/>
      <c r="D319" s="56"/>
      <c r="E319" s="14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7"/>
      <c r="Q319" s="57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15.75" customHeight="1" x14ac:dyDescent="0.3">
      <c r="A320" s="56"/>
      <c r="B320" s="56"/>
      <c r="C320" s="56"/>
      <c r="D320" s="56"/>
      <c r="E320" s="14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7"/>
      <c r="Q320" s="57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15.75" customHeight="1" x14ac:dyDescent="0.3">
      <c r="A321" s="56"/>
      <c r="B321" s="56"/>
      <c r="C321" s="56"/>
      <c r="D321" s="56"/>
      <c r="E321" s="14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7"/>
      <c r="Q321" s="57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15.75" customHeight="1" x14ac:dyDescent="0.3">
      <c r="A322" s="56"/>
      <c r="B322" s="56"/>
      <c r="C322" s="56"/>
      <c r="D322" s="56"/>
      <c r="E322" s="14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7"/>
      <c r="Q322" s="57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15.75" customHeight="1" x14ac:dyDescent="0.3">
      <c r="A323" s="56"/>
      <c r="B323" s="56"/>
      <c r="C323" s="56"/>
      <c r="D323" s="56"/>
      <c r="E323" s="14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7"/>
      <c r="Q323" s="57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15.75" customHeight="1" x14ac:dyDescent="0.3">
      <c r="A324" s="56"/>
      <c r="B324" s="56"/>
      <c r="C324" s="56"/>
      <c r="D324" s="56"/>
      <c r="E324" s="14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7"/>
      <c r="Q324" s="57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15.75" customHeight="1" x14ac:dyDescent="0.3">
      <c r="A325" s="56"/>
      <c r="B325" s="56"/>
      <c r="C325" s="56"/>
      <c r="D325" s="56"/>
      <c r="E325" s="14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7"/>
      <c r="Q325" s="57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15.75" customHeight="1" x14ac:dyDescent="0.3">
      <c r="A326" s="56"/>
      <c r="B326" s="56"/>
      <c r="C326" s="56"/>
      <c r="D326" s="56"/>
      <c r="E326" s="14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7"/>
      <c r="Q326" s="57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15.75" customHeight="1" x14ac:dyDescent="0.3">
      <c r="A327" s="56"/>
      <c r="B327" s="56"/>
      <c r="C327" s="56"/>
      <c r="D327" s="56"/>
      <c r="E327" s="14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7"/>
      <c r="Q327" s="57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15.75" customHeight="1" x14ac:dyDescent="0.3">
      <c r="A328" s="56"/>
      <c r="B328" s="56"/>
      <c r="C328" s="56"/>
      <c r="D328" s="56"/>
      <c r="E328" s="14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7"/>
      <c r="Q328" s="57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15.75" customHeight="1" x14ac:dyDescent="0.3">
      <c r="A329" s="56"/>
      <c r="B329" s="56"/>
      <c r="C329" s="56"/>
      <c r="D329" s="56"/>
      <c r="E329" s="14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7"/>
      <c r="Q329" s="57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15.75" customHeight="1" x14ac:dyDescent="0.3">
      <c r="A330" s="56"/>
      <c r="B330" s="56"/>
      <c r="C330" s="56"/>
      <c r="D330" s="56"/>
      <c r="E330" s="14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7"/>
      <c r="Q330" s="57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15.75" customHeight="1" x14ac:dyDescent="0.3">
      <c r="A331" s="56"/>
      <c r="B331" s="56"/>
      <c r="C331" s="56"/>
      <c r="D331" s="56"/>
      <c r="E331" s="14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7"/>
      <c r="Q331" s="57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15.75" customHeight="1" x14ac:dyDescent="0.3">
      <c r="A332" s="56"/>
      <c r="B332" s="56"/>
      <c r="C332" s="56"/>
      <c r="D332" s="56"/>
      <c r="E332" s="14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7"/>
      <c r="Q332" s="57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15.75" customHeight="1" x14ac:dyDescent="0.3">
      <c r="A333" s="56"/>
      <c r="B333" s="56"/>
      <c r="C333" s="56"/>
      <c r="D333" s="56"/>
      <c r="E333" s="14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7"/>
      <c r="Q333" s="57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15.75" customHeight="1" x14ac:dyDescent="0.3">
      <c r="A334" s="56"/>
      <c r="B334" s="56"/>
      <c r="C334" s="56"/>
      <c r="D334" s="56"/>
      <c r="E334" s="14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7"/>
      <c r="Q334" s="57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15.75" customHeight="1" x14ac:dyDescent="0.3">
      <c r="A335" s="56"/>
      <c r="B335" s="56"/>
      <c r="C335" s="56"/>
      <c r="D335" s="56"/>
      <c r="E335" s="14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7"/>
      <c r="Q335" s="57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15.75" customHeight="1" x14ac:dyDescent="0.3">
      <c r="A336" s="56"/>
      <c r="B336" s="56"/>
      <c r="C336" s="56"/>
      <c r="D336" s="56"/>
      <c r="E336" s="14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7"/>
      <c r="Q336" s="57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15.75" customHeight="1" x14ac:dyDescent="0.3">
      <c r="A337" s="56"/>
      <c r="B337" s="56"/>
      <c r="C337" s="56"/>
      <c r="D337" s="56"/>
      <c r="E337" s="14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7"/>
      <c r="Q337" s="57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15.75" customHeight="1" x14ac:dyDescent="0.3">
      <c r="A338" s="56"/>
      <c r="B338" s="56"/>
      <c r="C338" s="56"/>
      <c r="D338" s="56"/>
      <c r="E338" s="14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7"/>
      <c r="Q338" s="57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15.75" customHeight="1" x14ac:dyDescent="0.3">
      <c r="A339" s="56"/>
      <c r="B339" s="56"/>
      <c r="C339" s="56"/>
      <c r="D339" s="56"/>
      <c r="E339" s="14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7"/>
      <c r="Q339" s="57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15.75" customHeight="1" x14ac:dyDescent="0.3">
      <c r="A340" s="56"/>
      <c r="B340" s="56"/>
      <c r="C340" s="56"/>
      <c r="D340" s="56"/>
      <c r="E340" s="14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7"/>
      <c r="Q340" s="57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15.75" customHeight="1" x14ac:dyDescent="0.3">
      <c r="A341" s="56"/>
      <c r="B341" s="56"/>
      <c r="C341" s="56"/>
      <c r="D341" s="56"/>
      <c r="E341" s="14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7"/>
      <c r="Q341" s="57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15.75" customHeight="1" x14ac:dyDescent="0.3">
      <c r="A342" s="56"/>
      <c r="B342" s="56"/>
      <c r="C342" s="56"/>
      <c r="D342" s="56"/>
      <c r="E342" s="14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7"/>
      <c r="Q342" s="57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15.75" customHeight="1" x14ac:dyDescent="0.3">
      <c r="A343" s="56"/>
      <c r="B343" s="56"/>
      <c r="C343" s="56"/>
      <c r="D343" s="56"/>
      <c r="E343" s="14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7"/>
      <c r="Q343" s="57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15.75" customHeight="1" x14ac:dyDescent="0.3">
      <c r="A344" s="56"/>
      <c r="B344" s="56"/>
      <c r="C344" s="56"/>
      <c r="D344" s="56"/>
      <c r="E344" s="14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7"/>
      <c r="Q344" s="57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15.75" customHeight="1" x14ac:dyDescent="0.3">
      <c r="A345" s="56"/>
      <c r="B345" s="56"/>
      <c r="C345" s="56"/>
      <c r="D345" s="56"/>
      <c r="E345" s="14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7"/>
      <c r="Q345" s="57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15.75" customHeight="1" x14ac:dyDescent="0.3">
      <c r="A346" s="56"/>
      <c r="B346" s="56"/>
      <c r="C346" s="56"/>
      <c r="D346" s="56"/>
      <c r="E346" s="14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7"/>
      <c r="Q346" s="57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15.75" customHeight="1" x14ac:dyDescent="0.3">
      <c r="A347" s="56"/>
      <c r="B347" s="56"/>
      <c r="C347" s="56"/>
      <c r="D347" s="56"/>
      <c r="E347" s="14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7"/>
      <c r="Q347" s="57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15.75" customHeight="1" x14ac:dyDescent="0.3">
      <c r="A348" s="56"/>
      <c r="B348" s="56"/>
      <c r="C348" s="56"/>
      <c r="D348" s="56"/>
      <c r="E348" s="14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7"/>
      <c r="Q348" s="57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15.75" customHeight="1" x14ac:dyDescent="0.3">
      <c r="A349" s="56"/>
      <c r="B349" s="56"/>
      <c r="C349" s="56"/>
      <c r="D349" s="56"/>
      <c r="E349" s="14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7"/>
      <c r="Q349" s="57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15.75" customHeight="1" x14ac:dyDescent="0.3">
      <c r="A350" s="56"/>
      <c r="B350" s="56"/>
      <c r="C350" s="56"/>
      <c r="D350" s="56"/>
      <c r="E350" s="14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7"/>
      <c r="Q350" s="57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15.75" customHeight="1" x14ac:dyDescent="0.3">
      <c r="A351" s="56"/>
      <c r="B351" s="56"/>
      <c r="C351" s="56"/>
      <c r="D351" s="56"/>
      <c r="E351" s="14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7"/>
      <c r="Q351" s="57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15.75" customHeight="1" x14ac:dyDescent="0.3">
      <c r="A352" s="56"/>
      <c r="B352" s="56"/>
      <c r="C352" s="56"/>
      <c r="D352" s="56"/>
      <c r="E352" s="14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7"/>
      <c r="Q352" s="57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15.75" customHeight="1" x14ac:dyDescent="0.3">
      <c r="A353" s="56"/>
      <c r="B353" s="56"/>
      <c r="C353" s="56"/>
      <c r="D353" s="56"/>
      <c r="E353" s="14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7"/>
      <c r="Q353" s="57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15.75" customHeight="1" x14ac:dyDescent="0.3">
      <c r="A354" s="56"/>
      <c r="B354" s="56"/>
      <c r="C354" s="56"/>
      <c r="D354" s="56"/>
      <c r="E354" s="14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7"/>
      <c r="Q354" s="57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15.75" customHeight="1" x14ac:dyDescent="0.3">
      <c r="A355" s="56"/>
      <c r="B355" s="56"/>
      <c r="C355" s="56"/>
      <c r="D355" s="56"/>
      <c r="E355" s="14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7"/>
      <c r="Q355" s="57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15.75" customHeight="1" x14ac:dyDescent="0.3">
      <c r="A356" s="56"/>
      <c r="B356" s="56"/>
      <c r="C356" s="56"/>
      <c r="D356" s="56"/>
      <c r="E356" s="14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7"/>
      <c r="Q356" s="57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15.75" customHeight="1" x14ac:dyDescent="0.3">
      <c r="A357" s="56"/>
      <c r="B357" s="56"/>
      <c r="C357" s="56"/>
      <c r="D357" s="56"/>
      <c r="E357" s="14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7"/>
      <c r="Q357" s="57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15.75" customHeight="1" x14ac:dyDescent="0.3">
      <c r="A358" s="56"/>
      <c r="B358" s="56"/>
      <c r="C358" s="56"/>
      <c r="D358" s="56"/>
      <c r="E358" s="14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7"/>
      <c r="Q358" s="57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15.75" customHeight="1" x14ac:dyDescent="0.3">
      <c r="A359" s="56"/>
      <c r="B359" s="56"/>
      <c r="C359" s="56"/>
      <c r="D359" s="56"/>
      <c r="E359" s="14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7"/>
      <c r="Q359" s="57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15.75" customHeight="1" x14ac:dyDescent="0.3">
      <c r="A360" s="56"/>
      <c r="B360" s="56"/>
      <c r="C360" s="56"/>
      <c r="D360" s="56"/>
      <c r="E360" s="14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7"/>
      <c r="Q360" s="57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15.75" customHeight="1" x14ac:dyDescent="0.3">
      <c r="A361" s="56"/>
      <c r="B361" s="56"/>
      <c r="C361" s="56"/>
      <c r="D361" s="56"/>
      <c r="E361" s="14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7"/>
      <c r="Q361" s="57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15.75" customHeight="1" x14ac:dyDescent="0.3">
      <c r="A362" s="56"/>
      <c r="B362" s="56"/>
      <c r="C362" s="56"/>
      <c r="D362" s="56"/>
      <c r="E362" s="14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7"/>
      <c r="Q362" s="57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15.75" customHeight="1" x14ac:dyDescent="0.3">
      <c r="A363" s="56"/>
      <c r="B363" s="56"/>
      <c r="C363" s="56"/>
      <c r="D363" s="56"/>
      <c r="E363" s="14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7"/>
      <c r="Q363" s="57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15.75" customHeight="1" x14ac:dyDescent="0.3">
      <c r="A364" s="56"/>
      <c r="B364" s="56"/>
      <c r="C364" s="56"/>
      <c r="D364" s="56"/>
      <c r="E364" s="14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7"/>
      <c r="Q364" s="57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15.75" customHeight="1" x14ac:dyDescent="0.3">
      <c r="A365" s="56"/>
      <c r="B365" s="56"/>
      <c r="C365" s="56"/>
      <c r="D365" s="56"/>
      <c r="E365" s="14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7"/>
      <c r="Q365" s="57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15.75" customHeight="1" x14ac:dyDescent="0.3">
      <c r="A366" s="56"/>
      <c r="B366" s="56"/>
      <c r="C366" s="56"/>
      <c r="D366" s="56"/>
      <c r="E366" s="14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7"/>
      <c r="Q366" s="57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15.75" customHeight="1" x14ac:dyDescent="0.3">
      <c r="A367" s="56"/>
      <c r="B367" s="56"/>
      <c r="C367" s="56"/>
      <c r="D367" s="56"/>
      <c r="E367" s="14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7"/>
      <c r="Q367" s="57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15.75" customHeight="1" x14ac:dyDescent="0.3">
      <c r="A368" s="56"/>
      <c r="B368" s="56"/>
      <c r="C368" s="56"/>
      <c r="D368" s="56"/>
      <c r="E368" s="14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7"/>
      <c r="Q368" s="57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15.75" customHeight="1" x14ac:dyDescent="0.3">
      <c r="A369" s="56"/>
      <c r="B369" s="56"/>
      <c r="C369" s="56"/>
      <c r="D369" s="56"/>
      <c r="E369" s="14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7"/>
      <c r="Q369" s="57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15.75" customHeight="1" x14ac:dyDescent="0.3">
      <c r="A370" s="56"/>
      <c r="B370" s="56"/>
      <c r="C370" s="56"/>
      <c r="D370" s="56"/>
      <c r="E370" s="14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7"/>
      <c r="Q370" s="57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15.75" customHeight="1" x14ac:dyDescent="0.3">
      <c r="A371" s="56"/>
      <c r="B371" s="56"/>
      <c r="C371" s="56"/>
      <c r="D371" s="56"/>
      <c r="E371" s="14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7"/>
      <c r="Q371" s="57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15.75" customHeight="1" x14ac:dyDescent="0.3">
      <c r="A372" s="56"/>
      <c r="B372" s="56"/>
      <c r="C372" s="56"/>
      <c r="D372" s="56"/>
      <c r="E372" s="14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7"/>
      <c r="Q372" s="57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15.75" customHeight="1" x14ac:dyDescent="0.3">
      <c r="A373" s="56"/>
      <c r="B373" s="56"/>
      <c r="C373" s="56"/>
      <c r="D373" s="56"/>
      <c r="E373" s="14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7"/>
      <c r="Q373" s="57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15.75" customHeight="1" x14ac:dyDescent="0.3">
      <c r="A374" s="56"/>
      <c r="B374" s="56"/>
      <c r="C374" s="56"/>
      <c r="D374" s="56"/>
      <c r="E374" s="14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7"/>
      <c r="Q374" s="57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15.75" customHeight="1" x14ac:dyDescent="0.3">
      <c r="A375" s="56"/>
      <c r="B375" s="56"/>
      <c r="C375" s="56"/>
      <c r="D375" s="56"/>
      <c r="E375" s="14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7"/>
      <c r="Q375" s="57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15.75" customHeight="1" x14ac:dyDescent="0.3">
      <c r="A376" s="56"/>
      <c r="B376" s="56"/>
      <c r="C376" s="56"/>
      <c r="D376" s="56"/>
      <c r="E376" s="14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7"/>
      <c r="Q376" s="57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15.75" customHeight="1" x14ac:dyDescent="0.3">
      <c r="A377" s="56"/>
      <c r="B377" s="56"/>
      <c r="C377" s="56"/>
      <c r="D377" s="56"/>
      <c r="E377" s="14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7"/>
      <c r="Q377" s="57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15.75" customHeight="1" x14ac:dyDescent="0.3">
      <c r="A378" s="56"/>
      <c r="B378" s="56"/>
      <c r="C378" s="56"/>
      <c r="D378" s="56"/>
      <c r="E378" s="14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7"/>
      <c r="Q378" s="57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15.75" customHeight="1" x14ac:dyDescent="0.3">
      <c r="A379" s="56"/>
      <c r="B379" s="56"/>
      <c r="C379" s="56"/>
      <c r="D379" s="56"/>
      <c r="E379" s="14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7"/>
      <c r="Q379" s="57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15.75" customHeight="1" x14ac:dyDescent="0.3">
      <c r="A380" s="56"/>
      <c r="B380" s="56"/>
      <c r="C380" s="56"/>
      <c r="D380" s="56"/>
      <c r="E380" s="14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7"/>
      <c r="Q380" s="57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15.75" customHeight="1" x14ac:dyDescent="0.3">
      <c r="A381" s="56"/>
      <c r="B381" s="56"/>
      <c r="C381" s="56"/>
      <c r="D381" s="56"/>
      <c r="E381" s="14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7"/>
      <c r="Q381" s="57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15.75" customHeight="1" x14ac:dyDescent="0.3">
      <c r="A382" s="56"/>
      <c r="B382" s="56"/>
      <c r="C382" s="56"/>
      <c r="D382" s="56"/>
      <c r="E382" s="14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7"/>
      <c r="Q382" s="57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15.75" customHeight="1" x14ac:dyDescent="0.3">
      <c r="A383" s="56"/>
      <c r="B383" s="56"/>
      <c r="C383" s="56"/>
      <c r="D383" s="56"/>
      <c r="E383" s="14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7"/>
      <c r="Q383" s="57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15.75" customHeight="1" x14ac:dyDescent="0.3">
      <c r="A384" s="56"/>
      <c r="B384" s="56"/>
      <c r="C384" s="56"/>
      <c r="D384" s="56"/>
      <c r="E384" s="14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7"/>
      <c r="Q384" s="57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15.75" customHeight="1" x14ac:dyDescent="0.3">
      <c r="A385" s="56"/>
      <c r="B385" s="56"/>
      <c r="C385" s="56"/>
      <c r="D385" s="56"/>
      <c r="E385" s="14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7"/>
      <c r="Q385" s="57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15.75" customHeight="1" x14ac:dyDescent="0.3">
      <c r="A386" s="56"/>
      <c r="B386" s="56"/>
      <c r="C386" s="56"/>
      <c r="D386" s="56"/>
      <c r="E386" s="14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7"/>
      <c r="Q386" s="57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15.75" customHeight="1" x14ac:dyDescent="0.3">
      <c r="A387" s="56"/>
      <c r="B387" s="56"/>
      <c r="C387" s="56"/>
      <c r="D387" s="56"/>
      <c r="E387" s="14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7"/>
      <c r="Q387" s="57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15.75" customHeight="1" x14ac:dyDescent="0.3">
      <c r="A388" s="56"/>
      <c r="B388" s="56"/>
      <c r="C388" s="56"/>
      <c r="D388" s="56"/>
      <c r="E388" s="14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7"/>
      <c r="Q388" s="57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15.75" customHeight="1" x14ac:dyDescent="0.3">
      <c r="A389" s="56"/>
      <c r="B389" s="56"/>
      <c r="C389" s="56"/>
      <c r="D389" s="56"/>
      <c r="E389" s="14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7"/>
      <c r="Q389" s="57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15.75" customHeight="1" x14ac:dyDescent="0.3">
      <c r="A390" s="56"/>
      <c r="B390" s="56"/>
      <c r="C390" s="56"/>
      <c r="D390" s="56"/>
      <c r="E390" s="14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7"/>
      <c r="Q390" s="57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15.75" customHeight="1" x14ac:dyDescent="0.3">
      <c r="A391" s="56"/>
      <c r="B391" s="56"/>
      <c r="C391" s="56"/>
      <c r="D391" s="56"/>
      <c r="E391" s="14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7"/>
      <c r="Q391" s="57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15.75" customHeight="1" x14ac:dyDescent="0.3">
      <c r="A392" s="56"/>
      <c r="B392" s="56"/>
      <c r="C392" s="56"/>
      <c r="D392" s="56"/>
      <c r="E392" s="14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7"/>
      <c r="Q392" s="57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15.75" customHeight="1" x14ac:dyDescent="0.3">
      <c r="A393" s="56"/>
      <c r="B393" s="56"/>
      <c r="C393" s="56"/>
      <c r="D393" s="56"/>
      <c r="E393" s="14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7"/>
      <c r="Q393" s="57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15.75" customHeight="1" x14ac:dyDescent="0.3">
      <c r="A394" s="56"/>
      <c r="B394" s="56"/>
      <c r="C394" s="56"/>
      <c r="D394" s="56"/>
      <c r="E394" s="14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7"/>
      <c r="Q394" s="57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15.75" customHeight="1" x14ac:dyDescent="0.3">
      <c r="A395" s="56"/>
      <c r="B395" s="56"/>
      <c r="C395" s="56"/>
      <c r="D395" s="56"/>
      <c r="E395" s="14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7"/>
      <c r="Q395" s="57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15.75" customHeight="1" x14ac:dyDescent="0.3">
      <c r="A396" s="56"/>
      <c r="B396" s="56"/>
      <c r="C396" s="56"/>
      <c r="D396" s="56"/>
      <c r="E396" s="14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7"/>
      <c r="Q396" s="57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15.75" customHeight="1" x14ac:dyDescent="0.3">
      <c r="A397" s="56"/>
      <c r="B397" s="56"/>
      <c r="C397" s="56"/>
      <c r="D397" s="56"/>
      <c r="E397" s="14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7"/>
      <c r="Q397" s="57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15.75" customHeight="1" x14ac:dyDescent="0.3">
      <c r="A398" s="56"/>
      <c r="B398" s="56"/>
      <c r="C398" s="56"/>
      <c r="D398" s="56"/>
      <c r="E398" s="14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7"/>
      <c r="Q398" s="57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15.75" customHeight="1" x14ac:dyDescent="0.3">
      <c r="A399" s="56"/>
      <c r="B399" s="56"/>
      <c r="C399" s="56"/>
      <c r="D399" s="56"/>
      <c r="E399" s="14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7"/>
      <c r="Q399" s="57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15.75" customHeight="1" x14ac:dyDescent="0.3">
      <c r="A400" s="56"/>
      <c r="B400" s="56"/>
      <c r="C400" s="56"/>
      <c r="D400" s="56"/>
      <c r="E400" s="14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7"/>
      <c r="Q400" s="57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15.75" customHeight="1" x14ac:dyDescent="0.3">
      <c r="A401" s="56"/>
      <c r="B401" s="56"/>
      <c r="C401" s="56"/>
      <c r="D401" s="56"/>
      <c r="E401" s="14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7"/>
      <c r="Q401" s="57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15.75" customHeight="1" x14ac:dyDescent="0.3">
      <c r="A402" s="56"/>
      <c r="B402" s="56"/>
      <c r="C402" s="56"/>
      <c r="D402" s="56"/>
      <c r="E402" s="14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7"/>
      <c r="Q402" s="57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15.75" customHeight="1" x14ac:dyDescent="0.3">
      <c r="A403" s="56"/>
      <c r="B403" s="56"/>
      <c r="C403" s="56"/>
      <c r="D403" s="56"/>
      <c r="E403" s="14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7"/>
      <c r="Q403" s="57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15.75" customHeight="1" x14ac:dyDescent="0.3">
      <c r="A404" s="56"/>
      <c r="B404" s="56"/>
      <c r="C404" s="56"/>
      <c r="D404" s="56"/>
      <c r="E404" s="14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7"/>
      <c r="Q404" s="57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15.75" customHeight="1" x14ac:dyDescent="0.3">
      <c r="A405" s="56"/>
      <c r="B405" s="56"/>
      <c r="C405" s="56"/>
      <c r="D405" s="56"/>
      <c r="E405" s="14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7"/>
      <c r="Q405" s="57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15.75" customHeight="1" x14ac:dyDescent="0.3">
      <c r="A406" s="56"/>
      <c r="B406" s="56"/>
      <c r="C406" s="56"/>
      <c r="D406" s="56"/>
      <c r="E406" s="14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7"/>
      <c r="Q406" s="57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15.75" customHeight="1" x14ac:dyDescent="0.3">
      <c r="A407" s="56"/>
      <c r="B407" s="56"/>
      <c r="C407" s="56"/>
      <c r="D407" s="56"/>
      <c r="E407" s="14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7"/>
      <c r="Q407" s="57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15.75" customHeight="1" x14ac:dyDescent="0.3">
      <c r="A408" s="56"/>
      <c r="B408" s="56"/>
      <c r="C408" s="56"/>
      <c r="D408" s="56"/>
      <c r="E408" s="14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7"/>
      <c r="Q408" s="57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15.75" customHeight="1" x14ac:dyDescent="0.3">
      <c r="A409" s="56"/>
      <c r="B409" s="56"/>
      <c r="C409" s="56"/>
      <c r="D409" s="56"/>
      <c r="E409" s="14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7"/>
      <c r="Q409" s="57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15.75" customHeight="1" x14ac:dyDescent="0.3">
      <c r="A410" s="56"/>
      <c r="B410" s="56"/>
      <c r="C410" s="56"/>
      <c r="D410" s="56"/>
      <c r="E410" s="14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7"/>
      <c r="Q410" s="57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15.75" customHeight="1" x14ac:dyDescent="0.3">
      <c r="A411" s="56"/>
      <c r="B411" s="56"/>
      <c r="C411" s="56"/>
      <c r="D411" s="56"/>
      <c r="E411" s="14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7"/>
      <c r="Q411" s="57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15.75" customHeight="1" x14ac:dyDescent="0.3">
      <c r="A412" s="56"/>
      <c r="B412" s="56"/>
      <c r="C412" s="56"/>
      <c r="D412" s="56"/>
      <c r="E412" s="14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7"/>
      <c r="Q412" s="57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15.75" customHeight="1" x14ac:dyDescent="0.3">
      <c r="A413" s="56"/>
      <c r="B413" s="56"/>
      <c r="C413" s="56"/>
      <c r="D413" s="56"/>
      <c r="E413" s="14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7"/>
      <c r="Q413" s="57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15.75" customHeight="1" x14ac:dyDescent="0.3">
      <c r="A414" s="56"/>
      <c r="B414" s="56"/>
      <c r="C414" s="56"/>
      <c r="D414" s="56"/>
      <c r="E414" s="14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7"/>
      <c r="Q414" s="57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15.75" customHeight="1" x14ac:dyDescent="0.3">
      <c r="A415" s="56"/>
      <c r="B415" s="56"/>
      <c r="C415" s="56"/>
      <c r="D415" s="56"/>
      <c r="E415" s="14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7"/>
      <c r="Q415" s="57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15.75" customHeight="1" x14ac:dyDescent="0.3">
      <c r="A416" s="56"/>
      <c r="B416" s="56"/>
      <c r="C416" s="56"/>
      <c r="D416" s="56"/>
      <c r="E416" s="14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7"/>
      <c r="Q416" s="57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15.75" customHeight="1" x14ac:dyDescent="0.3">
      <c r="A417" s="56"/>
      <c r="B417" s="56"/>
      <c r="C417" s="56"/>
      <c r="D417" s="56"/>
      <c r="E417" s="14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7"/>
      <c r="Q417" s="57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15.75" customHeight="1" x14ac:dyDescent="0.3">
      <c r="A418" s="56"/>
      <c r="B418" s="56"/>
      <c r="C418" s="56"/>
      <c r="D418" s="56"/>
      <c r="E418" s="14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7"/>
      <c r="Q418" s="57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15.75" customHeight="1" x14ac:dyDescent="0.3">
      <c r="A419" s="56"/>
      <c r="B419" s="56"/>
      <c r="C419" s="56"/>
      <c r="D419" s="56"/>
      <c r="E419" s="14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7"/>
      <c r="Q419" s="57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15.75" customHeight="1" x14ac:dyDescent="0.3">
      <c r="A420" s="56"/>
      <c r="B420" s="56"/>
      <c r="C420" s="56"/>
      <c r="D420" s="56"/>
      <c r="E420" s="14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7"/>
      <c r="Q420" s="57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15.75" customHeight="1" x14ac:dyDescent="0.3">
      <c r="A421" s="56"/>
      <c r="B421" s="56"/>
      <c r="C421" s="56"/>
      <c r="D421" s="56"/>
      <c r="E421" s="14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7"/>
      <c r="Q421" s="57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15.75" customHeight="1" x14ac:dyDescent="0.3">
      <c r="A422" s="56"/>
      <c r="B422" s="56"/>
      <c r="C422" s="56"/>
      <c r="D422" s="56"/>
      <c r="E422" s="14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7"/>
      <c r="Q422" s="57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15.75" customHeight="1" x14ac:dyDescent="0.3">
      <c r="A423" s="56"/>
      <c r="B423" s="56"/>
      <c r="C423" s="56"/>
      <c r="D423" s="56"/>
      <c r="E423" s="14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7"/>
      <c r="Q423" s="57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15.75" customHeight="1" x14ac:dyDescent="0.3">
      <c r="A424" s="56"/>
      <c r="B424" s="56"/>
      <c r="C424" s="56"/>
      <c r="D424" s="56"/>
      <c r="E424" s="14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7"/>
      <c r="Q424" s="57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15.75" customHeight="1" x14ac:dyDescent="0.3">
      <c r="A425" s="56"/>
      <c r="B425" s="56"/>
      <c r="C425" s="56"/>
      <c r="D425" s="56"/>
      <c r="E425" s="14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7"/>
      <c r="Q425" s="57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15.75" customHeight="1" x14ac:dyDescent="0.3">
      <c r="A426" s="56"/>
      <c r="B426" s="56"/>
      <c r="C426" s="56"/>
      <c r="D426" s="56"/>
      <c r="E426" s="14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7"/>
      <c r="Q426" s="57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15.75" customHeight="1" x14ac:dyDescent="0.3">
      <c r="A427" s="56"/>
      <c r="B427" s="56"/>
      <c r="C427" s="56"/>
      <c r="D427" s="56"/>
      <c r="E427" s="14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7"/>
      <c r="Q427" s="57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15.75" customHeight="1" x14ac:dyDescent="0.3">
      <c r="A428" s="56"/>
      <c r="B428" s="56"/>
      <c r="C428" s="56"/>
      <c r="D428" s="56"/>
      <c r="E428" s="14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7"/>
      <c r="Q428" s="57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15.75" customHeight="1" x14ac:dyDescent="0.3">
      <c r="A429" s="56"/>
      <c r="B429" s="56"/>
      <c r="C429" s="56"/>
      <c r="D429" s="56"/>
      <c r="E429" s="14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7"/>
      <c r="Q429" s="57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15.75" customHeight="1" x14ac:dyDescent="0.3">
      <c r="A430" s="56"/>
      <c r="B430" s="56"/>
      <c r="C430" s="56"/>
      <c r="D430" s="56"/>
      <c r="E430" s="14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7"/>
      <c r="Q430" s="57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15.75" customHeight="1" x14ac:dyDescent="0.3">
      <c r="A431" s="56"/>
      <c r="B431" s="56"/>
      <c r="C431" s="56"/>
      <c r="D431" s="56"/>
      <c r="E431" s="14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7"/>
      <c r="Q431" s="57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15.75" customHeight="1" x14ac:dyDescent="0.3">
      <c r="A432" s="56"/>
      <c r="B432" s="56"/>
      <c r="C432" s="56"/>
      <c r="D432" s="56"/>
      <c r="E432" s="14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7"/>
      <c r="Q432" s="57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15.75" customHeight="1" x14ac:dyDescent="0.3">
      <c r="A433" s="56"/>
      <c r="B433" s="56"/>
      <c r="C433" s="56"/>
      <c r="D433" s="56"/>
      <c r="E433" s="14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7"/>
      <c r="Q433" s="57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15.75" customHeight="1" x14ac:dyDescent="0.3">
      <c r="A434" s="56"/>
      <c r="B434" s="56"/>
      <c r="C434" s="56"/>
      <c r="D434" s="56"/>
      <c r="E434" s="14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7"/>
      <c r="Q434" s="57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15.75" customHeight="1" x14ac:dyDescent="0.3">
      <c r="A435" s="56"/>
      <c r="B435" s="56"/>
      <c r="C435" s="56"/>
      <c r="D435" s="56"/>
      <c r="E435" s="14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7"/>
      <c r="Q435" s="57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15.75" customHeight="1" x14ac:dyDescent="0.3">
      <c r="A436" s="56"/>
      <c r="B436" s="56"/>
      <c r="C436" s="56"/>
      <c r="D436" s="56"/>
      <c r="E436" s="14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7"/>
      <c r="Q436" s="57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15.75" customHeight="1" x14ac:dyDescent="0.3">
      <c r="A437" s="56"/>
      <c r="B437" s="56"/>
      <c r="C437" s="56"/>
      <c r="D437" s="56"/>
      <c r="E437" s="14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7"/>
      <c r="Q437" s="57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15.75" customHeight="1" x14ac:dyDescent="0.3">
      <c r="A438" s="56"/>
      <c r="B438" s="56"/>
      <c r="C438" s="56"/>
      <c r="D438" s="56"/>
      <c r="E438" s="14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7"/>
      <c r="Q438" s="57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15.75" customHeight="1" x14ac:dyDescent="0.3">
      <c r="A439" s="56"/>
      <c r="B439" s="56"/>
      <c r="C439" s="56"/>
      <c r="D439" s="56"/>
      <c r="E439" s="14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7"/>
      <c r="Q439" s="57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15.75" customHeight="1" x14ac:dyDescent="0.3">
      <c r="A440" s="56"/>
      <c r="B440" s="56"/>
      <c r="C440" s="56"/>
      <c r="D440" s="56"/>
      <c r="E440" s="14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7"/>
      <c r="Q440" s="57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15.75" customHeight="1" x14ac:dyDescent="0.3">
      <c r="A441" s="56"/>
      <c r="B441" s="56"/>
      <c r="C441" s="56"/>
      <c r="D441" s="56"/>
      <c r="E441" s="14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7"/>
      <c r="Q441" s="57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15.75" customHeight="1" x14ac:dyDescent="0.3">
      <c r="A442" s="56"/>
      <c r="B442" s="56"/>
      <c r="C442" s="56"/>
      <c r="D442" s="56"/>
      <c r="E442" s="14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7"/>
      <c r="Q442" s="57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15.75" customHeight="1" x14ac:dyDescent="0.3">
      <c r="A443" s="56"/>
      <c r="B443" s="56"/>
      <c r="C443" s="56"/>
      <c r="D443" s="56"/>
      <c r="E443" s="14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7"/>
      <c r="Q443" s="57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15.75" customHeight="1" x14ac:dyDescent="0.3">
      <c r="A444" s="56"/>
      <c r="B444" s="56"/>
      <c r="C444" s="56"/>
      <c r="D444" s="56"/>
      <c r="E444" s="14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7"/>
      <c r="Q444" s="57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15.75" customHeight="1" x14ac:dyDescent="0.3">
      <c r="A445" s="56"/>
      <c r="B445" s="56"/>
      <c r="C445" s="56"/>
      <c r="D445" s="56"/>
      <c r="E445" s="14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7"/>
      <c r="Q445" s="57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15.75" customHeight="1" x14ac:dyDescent="0.3">
      <c r="A446" s="56"/>
      <c r="B446" s="56"/>
      <c r="C446" s="56"/>
      <c r="D446" s="56"/>
      <c r="E446" s="14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7"/>
      <c r="Q446" s="57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15.75" customHeight="1" x14ac:dyDescent="0.3">
      <c r="A447" s="56"/>
      <c r="B447" s="56"/>
      <c r="C447" s="56"/>
      <c r="D447" s="56"/>
      <c r="E447" s="14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7"/>
      <c r="Q447" s="57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15.75" customHeight="1" x14ac:dyDescent="0.3">
      <c r="A448" s="56"/>
      <c r="B448" s="56"/>
      <c r="C448" s="56"/>
      <c r="D448" s="56"/>
      <c r="E448" s="14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7"/>
      <c r="Q448" s="57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15.75" customHeight="1" x14ac:dyDescent="0.3">
      <c r="A449" s="56"/>
      <c r="B449" s="56"/>
      <c r="C449" s="56"/>
      <c r="D449" s="56"/>
      <c r="E449" s="14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7"/>
      <c r="Q449" s="57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15.75" customHeight="1" x14ac:dyDescent="0.3">
      <c r="A450" s="56"/>
      <c r="B450" s="56"/>
      <c r="C450" s="56"/>
      <c r="D450" s="56"/>
      <c r="E450" s="14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7"/>
      <c r="Q450" s="57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15.75" customHeight="1" x14ac:dyDescent="0.3">
      <c r="A451" s="56"/>
      <c r="B451" s="56"/>
      <c r="C451" s="56"/>
      <c r="D451" s="56"/>
      <c r="E451" s="14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7"/>
      <c r="Q451" s="57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15.75" customHeight="1" x14ac:dyDescent="0.3">
      <c r="A452" s="56"/>
      <c r="B452" s="56"/>
      <c r="C452" s="56"/>
      <c r="D452" s="56"/>
      <c r="E452" s="14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7"/>
      <c r="Q452" s="57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15.75" customHeight="1" x14ac:dyDescent="0.3">
      <c r="A453" s="56"/>
      <c r="B453" s="56"/>
      <c r="C453" s="56"/>
      <c r="D453" s="56"/>
      <c r="E453" s="14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7"/>
      <c r="Q453" s="57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15.75" customHeight="1" x14ac:dyDescent="0.3">
      <c r="A454" s="56"/>
      <c r="B454" s="56"/>
      <c r="C454" s="56"/>
      <c r="D454" s="56"/>
      <c r="E454" s="14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7"/>
      <c r="Q454" s="57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15.75" customHeight="1" x14ac:dyDescent="0.3">
      <c r="A455" s="56"/>
      <c r="B455" s="56"/>
      <c r="C455" s="56"/>
      <c r="D455" s="56"/>
      <c r="E455" s="14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7"/>
      <c r="Q455" s="57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15.75" customHeight="1" x14ac:dyDescent="0.3">
      <c r="A456" s="56"/>
      <c r="B456" s="56"/>
      <c r="C456" s="56"/>
      <c r="D456" s="56"/>
      <c r="E456" s="14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7"/>
      <c r="Q456" s="57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15.75" customHeight="1" x14ac:dyDescent="0.3">
      <c r="A457" s="56"/>
      <c r="B457" s="56"/>
      <c r="C457" s="56"/>
      <c r="D457" s="56"/>
      <c r="E457" s="14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7"/>
      <c r="Q457" s="57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15.75" customHeight="1" x14ac:dyDescent="0.3">
      <c r="A458" s="56"/>
      <c r="B458" s="56"/>
      <c r="C458" s="56"/>
      <c r="D458" s="56"/>
      <c r="E458" s="14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7"/>
      <c r="Q458" s="57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15.75" customHeight="1" x14ac:dyDescent="0.3">
      <c r="A459" s="56"/>
      <c r="B459" s="56"/>
      <c r="C459" s="56"/>
      <c r="D459" s="56"/>
      <c r="E459" s="14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7"/>
      <c r="Q459" s="57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15.75" customHeight="1" x14ac:dyDescent="0.3">
      <c r="A460" s="56"/>
      <c r="B460" s="56"/>
      <c r="C460" s="56"/>
      <c r="D460" s="56"/>
      <c r="E460" s="14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7"/>
      <c r="Q460" s="57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15.75" customHeight="1" x14ac:dyDescent="0.3">
      <c r="A461" s="56"/>
      <c r="B461" s="56"/>
      <c r="C461" s="56"/>
      <c r="D461" s="56"/>
      <c r="E461" s="14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7"/>
      <c r="Q461" s="57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15.75" customHeight="1" x14ac:dyDescent="0.3">
      <c r="A462" s="56"/>
      <c r="B462" s="56"/>
      <c r="C462" s="56"/>
      <c r="D462" s="56"/>
      <c r="E462" s="14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7"/>
      <c r="Q462" s="57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15.75" customHeight="1" x14ac:dyDescent="0.3">
      <c r="A463" s="56"/>
      <c r="B463" s="56"/>
      <c r="C463" s="56"/>
      <c r="D463" s="56"/>
      <c r="E463" s="14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7"/>
      <c r="Q463" s="57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15.75" customHeight="1" x14ac:dyDescent="0.3">
      <c r="A464" s="56"/>
      <c r="B464" s="56"/>
      <c r="C464" s="56"/>
      <c r="D464" s="56"/>
      <c r="E464" s="14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7"/>
      <c r="Q464" s="57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15.75" customHeight="1" x14ac:dyDescent="0.3">
      <c r="A465" s="56"/>
      <c r="B465" s="56"/>
      <c r="C465" s="56"/>
      <c r="D465" s="56"/>
      <c r="E465" s="14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7"/>
      <c r="Q465" s="57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15.75" customHeight="1" x14ac:dyDescent="0.3">
      <c r="A466" s="56"/>
      <c r="B466" s="56"/>
      <c r="C466" s="56"/>
      <c r="D466" s="56"/>
      <c r="E466" s="14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7"/>
      <c r="Q466" s="57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15.75" customHeight="1" x14ac:dyDescent="0.3">
      <c r="A467" s="56"/>
      <c r="B467" s="56"/>
      <c r="C467" s="56"/>
      <c r="D467" s="56"/>
      <c r="E467" s="14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7"/>
      <c r="Q467" s="57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15.75" customHeight="1" x14ac:dyDescent="0.3">
      <c r="A468" s="56"/>
      <c r="B468" s="56"/>
      <c r="C468" s="56"/>
      <c r="D468" s="56"/>
      <c r="E468" s="14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7"/>
      <c r="Q468" s="57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15.75" customHeight="1" x14ac:dyDescent="0.3">
      <c r="A469" s="56"/>
      <c r="B469" s="56"/>
      <c r="C469" s="56"/>
      <c r="D469" s="56"/>
      <c r="E469" s="14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7"/>
      <c r="Q469" s="57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15.75" customHeight="1" x14ac:dyDescent="0.3">
      <c r="A470" s="56"/>
      <c r="B470" s="56"/>
      <c r="C470" s="56"/>
      <c r="D470" s="56"/>
      <c r="E470" s="14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7"/>
      <c r="Q470" s="57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15.75" customHeight="1" x14ac:dyDescent="0.3">
      <c r="A471" s="56"/>
      <c r="B471" s="56"/>
      <c r="C471" s="56"/>
      <c r="D471" s="56"/>
      <c r="E471" s="14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7"/>
      <c r="Q471" s="57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15.75" customHeight="1" x14ac:dyDescent="0.3">
      <c r="A472" s="56"/>
      <c r="B472" s="56"/>
      <c r="C472" s="56"/>
      <c r="D472" s="56"/>
      <c r="E472" s="14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7"/>
      <c r="Q472" s="57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15.75" customHeight="1" x14ac:dyDescent="0.3">
      <c r="A473" s="56"/>
      <c r="B473" s="56"/>
      <c r="C473" s="56"/>
      <c r="D473" s="56"/>
      <c r="E473" s="14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7"/>
      <c r="Q473" s="57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15.75" customHeight="1" x14ac:dyDescent="0.3">
      <c r="A474" s="56"/>
      <c r="B474" s="56"/>
      <c r="C474" s="56"/>
      <c r="D474" s="56"/>
      <c r="E474" s="14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7"/>
      <c r="Q474" s="57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15.75" customHeight="1" x14ac:dyDescent="0.3">
      <c r="A475" s="56"/>
      <c r="B475" s="56"/>
      <c r="C475" s="56"/>
      <c r="D475" s="56"/>
      <c r="E475" s="14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7"/>
      <c r="Q475" s="57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15.75" customHeight="1" x14ac:dyDescent="0.3">
      <c r="A476" s="56"/>
      <c r="B476" s="56"/>
      <c r="C476" s="56"/>
      <c r="D476" s="56"/>
      <c r="E476" s="14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7"/>
      <c r="Q476" s="57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15.75" customHeight="1" x14ac:dyDescent="0.3">
      <c r="A477" s="56"/>
      <c r="B477" s="56"/>
      <c r="C477" s="56"/>
      <c r="D477" s="56"/>
      <c r="E477" s="14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7"/>
      <c r="Q477" s="57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15.75" customHeight="1" x14ac:dyDescent="0.3">
      <c r="A478" s="56"/>
      <c r="B478" s="56"/>
      <c r="C478" s="56"/>
      <c r="D478" s="56"/>
      <c r="E478" s="14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7"/>
      <c r="Q478" s="57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15.75" customHeight="1" x14ac:dyDescent="0.3">
      <c r="A479" s="56"/>
      <c r="B479" s="56"/>
      <c r="C479" s="56"/>
      <c r="D479" s="56"/>
      <c r="E479" s="14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7"/>
      <c r="Q479" s="57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15.75" customHeight="1" x14ac:dyDescent="0.3">
      <c r="A480" s="56"/>
      <c r="B480" s="56"/>
      <c r="C480" s="56"/>
      <c r="D480" s="56"/>
      <c r="E480" s="14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7"/>
      <c r="Q480" s="57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15.75" customHeight="1" x14ac:dyDescent="0.3">
      <c r="A481" s="56"/>
      <c r="B481" s="56"/>
      <c r="C481" s="56"/>
      <c r="D481" s="56"/>
      <c r="E481" s="14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7"/>
      <c r="Q481" s="57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15.75" customHeight="1" x14ac:dyDescent="0.3">
      <c r="A482" s="56"/>
      <c r="B482" s="56"/>
      <c r="C482" s="56"/>
      <c r="D482" s="56"/>
      <c r="E482" s="14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7"/>
      <c r="Q482" s="57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15.75" customHeight="1" x14ac:dyDescent="0.3">
      <c r="A483" s="56"/>
      <c r="B483" s="56"/>
      <c r="C483" s="56"/>
      <c r="D483" s="56"/>
      <c r="E483" s="14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7"/>
      <c r="Q483" s="57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15.75" customHeight="1" x14ac:dyDescent="0.3">
      <c r="A484" s="56"/>
      <c r="B484" s="56"/>
      <c r="C484" s="56"/>
      <c r="D484" s="56"/>
      <c r="E484" s="14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7"/>
      <c r="Q484" s="57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15.75" customHeight="1" x14ac:dyDescent="0.3">
      <c r="A485" s="56"/>
      <c r="B485" s="56"/>
      <c r="C485" s="56"/>
      <c r="D485" s="56"/>
      <c r="E485" s="14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7"/>
      <c r="Q485" s="57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15.75" customHeight="1" x14ac:dyDescent="0.3">
      <c r="A486" s="56"/>
      <c r="B486" s="56"/>
      <c r="C486" s="56"/>
      <c r="D486" s="56"/>
      <c r="E486" s="14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7"/>
      <c r="Q486" s="57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15.75" customHeight="1" x14ac:dyDescent="0.3">
      <c r="A487" s="56"/>
      <c r="B487" s="56"/>
      <c r="C487" s="56"/>
      <c r="D487" s="56"/>
      <c r="E487" s="14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7"/>
      <c r="Q487" s="57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15.75" customHeight="1" x14ac:dyDescent="0.3">
      <c r="A488" s="56"/>
      <c r="B488" s="56"/>
      <c r="C488" s="56"/>
      <c r="D488" s="56"/>
      <c r="E488" s="14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7"/>
      <c r="Q488" s="57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15.75" customHeight="1" x14ac:dyDescent="0.3">
      <c r="A489" s="56"/>
      <c r="B489" s="56"/>
      <c r="C489" s="56"/>
      <c r="D489" s="56"/>
      <c r="E489" s="14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7"/>
      <c r="Q489" s="57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15.75" customHeight="1" x14ac:dyDescent="0.3">
      <c r="A490" s="56"/>
      <c r="B490" s="56"/>
      <c r="C490" s="56"/>
      <c r="D490" s="56"/>
      <c r="E490" s="14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7"/>
      <c r="Q490" s="57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15.75" customHeight="1" x14ac:dyDescent="0.3">
      <c r="A491" s="56"/>
      <c r="B491" s="56"/>
      <c r="C491" s="56"/>
      <c r="D491" s="56"/>
      <c r="E491" s="14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7"/>
      <c r="Q491" s="57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15.75" customHeight="1" x14ac:dyDescent="0.3">
      <c r="A492" s="56"/>
      <c r="B492" s="56"/>
      <c r="C492" s="56"/>
      <c r="D492" s="56"/>
      <c r="E492" s="14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7"/>
      <c r="Q492" s="57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15.75" customHeight="1" x14ac:dyDescent="0.3">
      <c r="A493" s="56"/>
      <c r="B493" s="56"/>
      <c r="C493" s="56"/>
      <c r="D493" s="56"/>
      <c r="E493" s="14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7"/>
      <c r="Q493" s="57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15.75" customHeight="1" x14ac:dyDescent="0.3">
      <c r="A494" s="56"/>
      <c r="B494" s="56"/>
      <c r="C494" s="56"/>
      <c r="D494" s="56"/>
      <c r="E494" s="14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7"/>
      <c r="Q494" s="57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15.75" customHeight="1" x14ac:dyDescent="0.3">
      <c r="A495" s="56"/>
      <c r="B495" s="56"/>
      <c r="C495" s="56"/>
      <c r="D495" s="56"/>
      <c r="E495" s="14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7"/>
      <c r="Q495" s="57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15.75" customHeight="1" x14ac:dyDescent="0.3">
      <c r="A496" s="56"/>
      <c r="B496" s="56"/>
      <c r="C496" s="56"/>
      <c r="D496" s="56"/>
      <c r="E496" s="14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7"/>
      <c r="Q496" s="57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15.75" customHeight="1" x14ac:dyDescent="0.3">
      <c r="A497" s="56"/>
      <c r="B497" s="56"/>
      <c r="C497" s="56"/>
      <c r="D497" s="56"/>
      <c r="E497" s="14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7"/>
      <c r="Q497" s="57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15.75" customHeight="1" x14ac:dyDescent="0.3">
      <c r="A498" s="56"/>
      <c r="B498" s="56"/>
      <c r="C498" s="56"/>
      <c r="D498" s="56"/>
      <c r="E498" s="14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7"/>
      <c r="Q498" s="57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15.75" customHeight="1" x14ac:dyDescent="0.3">
      <c r="A499" s="56"/>
      <c r="B499" s="56"/>
      <c r="C499" s="56"/>
      <c r="D499" s="56"/>
      <c r="E499" s="14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7"/>
      <c r="Q499" s="57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15.75" customHeight="1" x14ac:dyDescent="0.3">
      <c r="A500" s="56"/>
      <c r="B500" s="56"/>
      <c r="C500" s="56"/>
      <c r="D500" s="56"/>
      <c r="E500" s="14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7"/>
      <c r="Q500" s="57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15.75" customHeight="1" x14ac:dyDescent="0.3">
      <c r="A501" s="56"/>
      <c r="B501" s="56"/>
      <c r="C501" s="56"/>
      <c r="D501" s="56"/>
      <c r="E501" s="14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7"/>
      <c r="Q501" s="57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15.75" customHeight="1" x14ac:dyDescent="0.3">
      <c r="A502" s="56"/>
      <c r="B502" s="56"/>
      <c r="C502" s="56"/>
      <c r="D502" s="56"/>
      <c r="E502" s="14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7"/>
      <c r="Q502" s="57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15.75" customHeight="1" x14ac:dyDescent="0.3">
      <c r="A503" s="56"/>
      <c r="B503" s="56"/>
      <c r="C503" s="56"/>
      <c r="D503" s="56"/>
      <c r="E503" s="14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7"/>
      <c r="Q503" s="57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15.75" customHeight="1" x14ac:dyDescent="0.3">
      <c r="A504" s="56"/>
      <c r="B504" s="56"/>
      <c r="C504" s="56"/>
      <c r="D504" s="56"/>
      <c r="E504" s="14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7"/>
      <c r="Q504" s="57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15.75" customHeight="1" x14ac:dyDescent="0.3">
      <c r="A505" s="56"/>
      <c r="B505" s="56"/>
      <c r="C505" s="56"/>
      <c r="D505" s="56"/>
      <c r="E505" s="14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7"/>
      <c r="Q505" s="57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15.75" customHeight="1" x14ac:dyDescent="0.3">
      <c r="A506" s="56"/>
      <c r="B506" s="56"/>
      <c r="C506" s="56"/>
      <c r="D506" s="56"/>
      <c r="E506" s="14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7"/>
      <c r="Q506" s="57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15.75" customHeight="1" x14ac:dyDescent="0.3">
      <c r="A507" s="56"/>
      <c r="B507" s="56"/>
      <c r="C507" s="56"/>
      <c r="D507" s="56"/>
      <c r="E507" s="14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7"/>
      <c r="Q507" s="57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15.75" customHeight="1" x14ac:dyDescent="0.3">
      <c r="A508" s="56"/>
      <c r="B508" s="56"/>
      <c r="C508" s="56"/>
      <c r="D508" s="56"/>
      <c r="E508" s="14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7"/>
      <c r="Q508" s="57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15.75" customHeight="1" x14ac:dyDescent="0.3">
      <c r="A509" s="56"/>
      <c r="B509" s="56"/>
      <c r="C509" s="56"/>
      <c r="D509" s="56"/>
      <c r="E509" s="14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7"/>
      <c r="Q509" s="57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15.75" customHeight="1" x14ac:dyDescent="0.3">
      <c r="A510" s="56"/>
      <c r="B510" s="56"/>
      <c r="C510" s="56"/>
      <c r="D510" s="56"/>
      <c r="E510" s="14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7"/>
      <c r="Q510" s="57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15.75" customHeight="1" x14ac:dyDescent="0.3">
      <c r="A511" s="56"/>
      <c r="B511" s="56"/>
      <c r="C511" s="56"/>
      <c r="D511" s="56"/>
      <c r="E511" s="14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7"/>
      <c r="Q511" s="57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15.75" customHeight="1" x14ac:dyDescent="0.3">
      <c r="A512" s="56"/>
      <c r="B512" s="56"/>
      <c r="C512" s="56"/>
      <c r="D512" s="56"/>
      <c r="E512" s="14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7"/>
      <c r="Q512" s="57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15.75" customHeight="1" x14ac:dyDescent="0.3">
      <c r="A513" s="56"/>
      <c r="B513" s="56"/>
      <c r="C513" s="56"/>
      <c r="D513" s="56"/>
      <c r="E513" s="14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7"/>
      <c r="Q513" s="57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15.75" customHeight="1" x14ac:dyDescent="0.3">
      <c r="A514" s="56"/>
      <c r="B514" s="56"/>
      <c r="C514" s="56"/>
      <c r="D514" s="56"/>
      <c r="E514" s="14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7"/>
      <c r="Q514" s="57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15.75" customHeight="1" x14ac:dyDescent="0.3">
      <c r="A515" s="56"/>
      <c r="B515" s="56"/>
      <c r="C515" s="56"/>
      <c r="D515" s="56"/>
      <c r="E515" s="14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7"/>
      <c r="Q515" s="57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15.75" customHeight="1" x14ac:dyDescent="0.3">
      <c r="A516" s="56"/>
      <c r="B516" s="56"/>
      <c r="C516" s="56"/>
      <c r="D516" s="56"/>
      <c r="E516" s="14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7"/>
      <c r="Q516" s="57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15.75" customHeight="1" x14ac:dyDescent="0.3">
      <c r="A517" s="56"/>
      <c r="B517" s="56"/>
      <c r="C517" s="56"/>
      <c r="D517" s="56"/>
      <c r="E517" s="14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7"/>
      <c r="Q517" s="57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15.75" customHeight="1" x14ac:dyDescent="0.3">
      <c r="A518" s="56"/>
      <c r="B518" s="56"/>
      <c r="C518" s="56"/>
      <c r="D518" s="56"/>
      <c r="E518" s="14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7"/>
      <c r="Q518" s="57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15.75" customHeight="1" x14ac:dyDescent="0.3">
      <c r="A519" s="56"/>
      <c r="B519" s="56"/>
      <c r="C519" s="56"/>
      <c r="D519" s="56"/>
      <c r="E519" s="14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7"/>
      <c r="Q519" s="57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15.75" customHeight="1" x14ac:dyDescent="0.3">
      <c r="A520" s="56"/>
      <c r="B520" s="56"/>
      <c r="C520" s="56"/>
      <c r="D520" s="56"/>
      <c r="E520" s="14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7"/>
      <c r="Q520" s="57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15.75" customHeight="1" x14ac:dyDescent="0.3">
      <c r="A521" s="56"/>
      <c r="B521" s="56"/>
      <c r="C521" s="56"/>
      <c r="D521" s="56"/>
      <c r="E521" s="14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7"/>
      <c r="Q521" s="57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5.75" customHeight="1" x14ac:dyDescent="0.3">
      <c r="A522" s="56"/>
      <c r="B522" s="56"/>
      <c r="C522" s="56"/>
      <c r="D522" s="56"/>
      <c r="E522" s="14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7"/>
      <c r="Q522" s="57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15.75" customHeight="1" x14ac:dyDescent="0.3">
      <c r="A523" s="56"/>
      <c r="B523" s="56"/>
      <c r="C523" s="56"/>
      <c r="D523" s="56"/>
      <c r="E523" s="14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7"/>
      <c r="Q523" s="57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15.75" customHeight="1" x14ac:dyDescent="0.3">
      <c r="A524" s="56"/>
      <c r="B524" s="56"/>
      <c r="C524" s="56"/>
      <c r="D524" s="56"/>
      <c r="E524" s="14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7"/>
      <c r="Q524" s="57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15.75" customHeight="1" x14ac:dyDescent="0.3">
      <c r="A525" s="56"/>
      <c r="B525" s="56"/>
      <c r="C525" s="56"/>
      <c r="D525" s="56"/>
      <c r="E525" s="14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7"/>
      <c r="Q525" s="57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15.75" customHeight="1" x14ac:dyDescent="0.3">
      <c r="A526" s="56"/>
      <c r="B526" s="56"/>
      <c r="C526" s="56"/>
      <c r="D526" s="56"/>
      <c r="E526" s="14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7"/>
      <c r="Q526" s="57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15.75" customHeight="1" x14ac:dyDescent="0.3">
      <c r="A527" s="56"/>
      <c r="B527" s="56"/>
      <c r="C527" s="56"/>
      <c r="D527" s="56"/>
      <c r="E527" s="14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7"/>
      <c r="Q527" s="57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15.75" customHeight="1" x14ac:dyDescent="0.3">
      <c r="A528" s="56"/>
      <c r="B528" s="56"/>
      <c r="C528" s="56"/>
      <c r="D528" s="56"/>
      <c r="E528" s="14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7"/>
      <c r="Q528" s="57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15.75" customHeight="1" x14ac:dyDescent="0.3">
      <c r="A529" s="56"/>
      <c r="B529" s="56"/>
      <c r="C529" s="56"/>
      <c r="D529" s="56"/>
      <c r="E529" s="14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7"/>
      <c r="Q529" s="57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15.75" customHeight="1" x14ac:dyDescent="0.3">
      <c r="A530" s="56"/>
      <c r="B530" s="56"/>
      <c r="C530" s="56"/>
      <c r="D530" s="56"/>
      <c r="E530" s="14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7"/>
      <c r="Q530" s="57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15.75" customHeight="1" x14ac:dyDescent="0.3">
      <c r="A531" s="56"/>
      <c r="B531" s="56"/>
      <c r="C531" s="56"/>
      <c r="D531" s="56"/>
      <c r="E531" s="14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7"/>
      <c r="Q531" s="57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15.75" customHeight="1" x14ac:dyDescent="0.3">
      <c r="A532" s="56"/>
      <c r="B532" s="56"/>
      <c r="C532" s="56"/>
      <c r="D532" s="56"/>
      <c r="E532" s="14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7"/>
      <c r="Q532" s="57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15.75" customHeight="1" x14ac:dyDescent="0.3">
      <c r="A533" s="56"/>
      <c r="B533" s="56"/>
      <c r="C533" s="56"/>
      <c r="D533" s="56"/>
      <c r="E533" s="14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7"/>
      <c r="Q533" s="57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15.75" customHeight="1" x14ac:dyDescent="0.3">
      <c r="A534" s="56"/>
      <c r="B534" s="56"/>
      <c r="C534" s="56"/>
      <c r="D534" s="56"/>
      <c r="E534" s="14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7"/>
      <c r="Q534" s="57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15.75" customHeight="1" x14ac:dyDescent="0.3">
      <c r="A535" s="56"/>
      <c r="B535" s="56"/>
      <c r="C535" s="56"/>
      <c r="D535" s="56"/>
      <c r="E535" s="14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7"/>
      <c r="Q535" s="57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15.75" customHeight="1" x14ac:dyDescent="0.3">
      <c r="A536" s="56"/>
      <c r="B536" s="56"/>
      <c r="C536" s="56"/>
      <c r="D536" s="56"/>
      <c r="E536" s="14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7"/>
      <c r="Q536" s="57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15.75" customHeight="1" x14ac:dyDescent="0.3">
      <c r="A537" s="56"/>
      <c r="B537" s="56"/>
      <c r="C537" s="56"/>
      <c r="D537" s="56"/>
      <c r="E537" s="14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7"/>
      <c r="Q537" s="57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15.75" customHeight="1" x14ac:dyDescent="0.3">
      <c r="A538" s="56"/>
      <c r="B538" s="56"/>
      <c r="C538" s="56"/>
      <c r="D538" s="56"/>
      <c r="E538" s="14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7"/>
      <c r="Q538" s="57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15.75" customHeight="1" x14ac:dyDescent="0.3">
      <c r="A539" s="56"/>
      <c r="B539" s="56"/>
      <c r="C539" s="56"/>
      <c r="D539" s="56"/>
      <c r="E539" s="14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7"/>
      <c r="Q539" s="57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15.75" customHeight="1" x14ac:dyDescent="0.3">
      <c r="A540" s="56"/>
      <c r="B540" s="56"/>
      <c r="C540" s="56"/>
      <c r="D540" s="56"/>
      <c r="E540" s="14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7"/>
      <c r="Q540" s="57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15.75" customHeight="1" x14ac:dyDescent="0.3">
      <c r="A541" s="56"/>
      <c r="B541" s="56"/>
      <c r="C541" s="56"/>
      <c r="D541" s="56"/>
      <c r="E541" s="14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7"/>
      <c r="Q541" s="57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15.75" customHeight="1" x14ac:dyDescent="0.3">
      <c r="A542" s="56"/>
      <c r="B542" s="56"/>
      <c r="C542" s="56"/>
      <c r="D542" s="56"/>
      <c r="E542" s="14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7"/>
      <c r="Q542" s="57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15.75" customHeight="1" x14ac:dyDescent="0.3">
      <c r="A543" s="56"/>
      <c r="B543" s="56"/>
      <c r="C543" s="56"/>
      <c r="D543" s="56"/>
      <c r="E543" s="14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7"/>
      <c r="Q543" s="57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15.75" customHeight="1" x14ac:dyDescent="0.3">
      <c r="A544" s="56"/>
      <c r="B544" s="56"/>
      <c r="C544" s="56"/>
      <c r="D544" s="56"/>
      <c r="E544" s="14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7"/>
      <c r="Q544" s="57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15.75" customHeight="1" x14ac:dyDescent="0.3">
      <c r="A545" s="56"/>
      <c r="B545" s="56"/>
      <c r="C545" s="56"/>
      <c r="D545" s="56"/>
      <c r="E545" s="14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7"/>
      <c r="Q545" s="57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15.75" customHeight="1" x14ac:dyDescent="0.3">
      <c r="A546" s="56"/>
      <c r="B546" s="56"/>
      <c r="C546" s="56"/>
      <c r="D546" s="56"/>
      <c r="E546" s="14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7"/>
      <c r="Q546" s="57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15.75" customHeight="1" x14ac:dyDescent="0.3">
      <c r="A547" s="56"/>
      <c r="B547" s="56"/>
      <c r="C547" s="56"/>
      <c r="D547" s="56"/>
      <c r="E547" s="14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7"/>
      <c r="Q547" s="57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15.75" customHeight="1" x14ac:dyDescent="0.3">
      <c r="A548" s="56"/>
      <c r="B548" s="56"/>
      <c r="C548" s="56"/>
      <c r="D548" s="56"/>
      <c r="E548" s="14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7"/>
      <c r="Q548" s="57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15.75" customHeight="1" x14ac:dyDescent="0.3">
      <c r="A549" s="56"/>
      <c r="B549" s="56"/>
      <c r="C549" s="56"/>
      <c r="D549" s="56"/>
      <c r="E549" s="14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7"/>
      <c r="Q549" s="57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15.75" customHeight="1" x14ac:dyDescent="0.3">
      <c r="A550" s="56"/>
      <c r="B550" s="56"/>
      <c r="C550" s="56"/>
      <c r="D550" s="56"/>
      <c r="E550" s="14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7"/>
      <c r="Q550" s="57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15.75" customHeight="1" x14ac:dyDescent="0.3">
      <c r="A551" s="56"/>
      <c r="B551" s="56"/>
      <c r="C551" s="56"/>
      <c r="D551" s="56"/>
      <c r="E551" s="14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7"/>
      <c r="Q551" s="57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15.75" customHeight="1" x14ac:dyDescent="0.3">
      <c r="A552" s="56"/>
      <c r="B552" s="56"/>
      <c r="C552" s="56"/>
      <c r="D552" s="56"/>
      <c r="E552" s="14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7"/>
      <c r="Q552" s="57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15.75" customHeight="1" x14ac:dyDescent="0.3">
      <c r="A553" s="56"/>
      <c r="B553" s="56"/>
      <c r="C553" s="56"/>
      <c r="D553" s="56"/>
      <c r="E553" s="14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7"/>
      <c r="Q553" s="57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15.75" customHeight="1" x14ac:dyDescent="0.3">
      <c r="A554" s="56"/>
      <c r="B554" s="56"/>
      <c r="C554" s="56"/>
      <c r="D554" s="56"/>
      <c r="E554" s="14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7"/>
      <c r="Q554" s="57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15.75" customHeight="1" x14ac:dyDescent="0.3">
      <c r="A555" s="56"/>
      <c r="B555" s="56"/>
      <c r="C555" s="56"/>
      <c r="D555" s="56"/>
      <c r="E555" s="14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7"/>
      <c r="Q555" s="57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15.75" customHeight="1" x14ac:dyDescent="0.3">
      <c r="A556" s="56"/>
      <c r="B556" s="56"/>
      <c r="C556" s="56"/>
      <c r="D556" s="56"/>
      <c r="E556" s="14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7"/>
      <c r="Q556" s="57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15.75" customHeight="1" x14ac:dyDescent="0.3">
      <c r="A557" s="56"/>
      <c r="B557" s="56"/>
      <c r="C557" s="56"/>
      <c r="D557" s="56"/>
      <c r="E557" s="14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7"/>
      <c r="Q557" s="57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15.75" customHeight="1" x14ac:dyDescent="0.3">
      <c r="A558" s="56"/>
      <c r="B558" s="56"/>
      <c r="C558" s="56"/>
      <c r="D558" s="56"/>
      <c r="E558" s="14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7"/>
      <c r="Q558" s="57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15.75" customHeight="1" x14ac:dyDescent="0.3">
      <c r="A559" s="56"/>
      <c r="B559" s="56"/>
      <c r="C559" s="56"/>
      <c r="D559" s="56"/>
      <c r="E559" s="14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7"/>
      <c r="Q559" s="57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15.75" customHeight="1" x14ac:dyDescent="0.3">
      <c r="A560" s="56"/>
      <c r="B560" s="56"/>
      <c r="C560" s="56"/>
      <c r="D560" s="56"/>
      <c r="E560" s="14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7"/>
      <c r="Q560" s="57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15.75" customHeight="1" x14ac:dyDescent="0.3">
      <c r="A561" s="56"/>
      <c r="B561" s="56"/>
      <c r="C561" s="56"/>
      <c r="D561" s="56"/>
      <c r="E561" s="14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7"/>
      <c r="Q561" s="57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15.75" customHeight="1" x14ac:dyDescent="0.3">
      <c r="A562" s="56"/>
      <c r="B562" s="56"/>
      <c r="C562" s="56"/>
      <c r="D562" s="56"/>
      <c r="E562" s="14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7"/>
      <c r="Q562" s="57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15.75" customHeight="1" x14ac:dyDescent="0.3">
      <c r="A563" s="56"/>
      <c r="B563" s="56"/>
      <c r="C563" s="56"/>
      <c r="D563" s="56"/>
      <c r="E563" s="14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7"/>
      <c r="Q563" s="57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15.75" customHeight="1" x14ac:dyDescent="0.3">
      <c r="A564" s="56"/>
      <c r="B564" s="56"/>
      <c r="C564" s="56"/>
      <c r="D564" s="56"/>
      <c r="E564" s="14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7"/>
      <c r="Q564" s="57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15.75" customHeight="1" x14ac:dyDescent="0.3">
      <c r="A565" s="56"/>
      <c r="B565" s="56"/>
      <c r="C565" s="56"/>
      <c r="D565" s="56"/>
      <c r="E565" s="14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7"/>
      <c r="Q565" s="57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15.75" customHeight="1" x14ac:dyDescent="0.3">
      <c r="A566" s="56"/>
      <c r="B566" s="56"/>
      <c r="C566" s="56"/>
      <c r="D566" s="56"/>
      <c r="E566" s="14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7"/>
      <c r="Q566" s="57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15.75" customHeight="1" x14ac:dyDescent="0.3">
      <c r="A567" s="56"/>
      <c r="B567" s="56"/>
      <c r="C567" s="56"/>
      <c r="D567" s="56"/>
      <c r="E567" s="14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7"/>
      <c r="Q567" s="57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15.75" customHeight="1" x14ac:dyDescent="0.3">
      <c r="A568" s="56"/>
      <c r="B568" s="56"/>
      <c r="C568" s="56"/>
      <c r="D568" s="56"/>
      <c r="E568" s="14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7"/>
      <c r="Q568" s="57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15.75" customHeight="1" x14ac:dyDescent="0.3">
      <c r="A569" s="56"/>
      <c r="B569" s="56"/>
      <c r="C569" s="56"/>
      <c r="D569" s="56"/>
      <c r="E569" s="14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7"/>
      <c r="Q569" s="57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15.75" customHeight="1" x14ac:dyDescent="0.3">
      <c r="A570" s="56"/>
      <c r="B570" s="56"/>
      <c r="C570" s="56"/>
      <c r="D570" s="56"/>
      <c r="E570" s="14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7"/>
      <c r="Q570" s="57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15.75" customHeight="1" x14ac:dyDescent="0.3">
      <c r="A571" s="56"/>
      <c r="B571" s="56"/>
      <c r="C571" s="56"/>
      <c r="D571" s="56"/>
      <c r="E571" s="14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7"/>
      <c r="Q571" s="57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15.75" customHeight="1" x14ac:dyDescent="0.3">
      <c r="A572" s="56"/>
      <c r="B572" s="56"/>
      <c r="C572" s="56"/>
      <c r="D572" s="56"/>
      <c r="E572" s="14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7"/>
      <c r="Q572" s="57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15.75" customHeight="1" x14ac:dyDescent="0.3">
      <c r="A573" s="56"/>
      <c r="B573" s="56"/>
      <c r="C573" s="56"/>
      <c r="D573" s="56"/>
      <c r="E573" s="14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7"/>
      <c r="Q573" s="57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15.75" customHeight="1" x14ac:dyDescent="0.3">
      <c r="A574" s="56"/>
      <c r="B574" s="56"/>
      <c r="C574" s="56"/>
      <c r="D574" s="56"/>
      <c r="E574" s="14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7"/>
      <c r="Q574" s="57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15.75" customHeight="1" x14ac:dyDescent="0.3">
      <c r="A575" s="56"/>
      <c r="B575" s="56"/>
      <c r="C575" s="56"/>
      <c r="D575" s="56"/>
      <c r="E575" s="14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7"/>
      <c r="Q575" s="57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15.75" customHeight="1" x14ac:dyDescent="0.3">
      <c r="A576" s="56"/>
      <c r="B576" s="56"/>
      <c r="C576" s="56"/>
      <c r="D576" s="56"/>
      <c r="E576" s="14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7"/>
      <c r="Q576" s="57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15.75" customHeight="1" x14ac:dyDescent="0.3">
      <c r="A577" s="56"/>
      <c r="B577" s="56"/>
      <c r="C577" s="56"/>
      <c r="D577" s="56"/>
      <c r="E577" s="14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7"/>
      <c r="Q577" s="57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15.75" customHeight="1" x14ac:dyDescent="0.3">
      <c r="A578" s="56"/>
      <c r="B578" s="56"/>
      <c r="C578" s="56"/>
      <c r="D578" s="56"/>
      <c r="E578" s="14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7"/>
      <c r="Q578" s="57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15.75" customHeight="1" x14ac:dyDescent="0.3">
      <c r="A579" s="56"/>
      <c r="B579" s="56"/>
      <c r="C579" s="56"/>
      <c r="D579" s="56"/>
      <c r="E579" s="14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7"/>
      <c r="Q579" s="57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15.75" customHeight="1" x14ac:dyDescent="0.3">
      <c r="A580" s="56"/>
      <c r="B580" s="56"/>
      <c r="C580" s="56"/>
      <c r="D580" s="56"/>
      <c r="E580" s="14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7"/>
      <c r="Q580" s="57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15.75" customHeight="1" x14ac:dyDescent="0.3">
      <c r="A581" s="56"/>
      <c r="B581" s="56"/>
      <c r="C581" s="56"/>
      <c r="D581" s="56"/>
      <c r="E581" s="14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7"/>
      <c r="Q581" s="57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15.75" customHeight="1" x14ac:dyDescent="0.3">
      <c r="A582" s="56"/>
      <c r="B582" s="56"/>
      <c r="C582" s="56"/>
      <c r="D582" s="56"/>
      <c r="E582" s="14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7"/>
      <c r="Q582" s="57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15.75" customHeight="1" x14ac:dyDescent="0.3">
      <c r="A583" s="56"/>
      <c r="B583" s="56"/>
      <c r="C583" s="56"/>
      <c r="D583" s="56"/>
      <c r="E583" s="14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7"/>
      <c r="Q583" s="57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15.75" customHeight="1" x14ac:dyDescent="0.3">
      <c r="A584" s="56"/>
      <c r="B584" s="56"/>
      <c r="C584" s="56"/>
      <c r="D584" s="56"/>
      <c r="E584" s="14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7"/>
      <c r="Q584" s="57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15.75" customHeight="1" x14ac:dyDescent="0.3">
      <c r="A585" s="56"/>
      <c r="B585" s="56"/>
      <c r="C585" s="56"/>
      <c r="D585" s="56"/>
      <c r="E585" s="14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7"/>
      <c r="Q585" s="57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15.75" customHeight="1" x14ac:dyDescent="0.3">
      <c r="A586" s="56"/>
      <c r="B586" s="56"/>
      <c r="C586" s="56"/>
      <c r="D586" s="56"/>
      <c r="E586" s="14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7"/>
      <c r="Q586" s="57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15.75" customHeight="1" x14ac:dyDescent="0.3">
      <c r="A587" s="56"/>
      <c r="B587" s="56"/>
      <c r="C587" s="56"/>
      <c r="D587" s="56"/>
      <c r="E587" s="14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7"/>
      <c r="Q587" s="57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15.75" customHeight="1" x14ac:dyDescent="0.3">
      <c r="A588" s="56"/>
      <c r="B588" s="56"/>
      <c r="C588" s="56"/>
      <c r="D588" s="56"/>
      <c r="E588" s="14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7"/>
      <c r="Q588" s="57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15.75" customHeight="1" x14ac:dyDescent="0.3">
      <c r="A589" s="56"/>
      <c r="B589" s="56"/>
      <c r="C589" s="56"/>
      <c r="D589" s="56"/>
      <c r="E589" s="14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7"/>
      <c r="Q589" s="57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15.75" customHeight="1" x14ac:dyDescent="0.3">
      <c r="A590" s="56"/>
      <c r="B590" s="56"/>
      <c r="C590" s="56"/>
      <c r="D590" s="56"/>
      <c r="E590" s="14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7"/>
      <c r="Q590" s="57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15.75" customHeight="1" x14ac:dyDescent="0.3">
      <c r="A591" s="56"/>
      <c r="B591" s="56"/>
      <c r="C591" s="56"/>
      <c r="D591" s="56"/>
      <c r="E591" s="14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7"/>
      <c r="Q591" s="57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15.75" customHeight="1" x14ac:dyDescent="0.3">
      <c r="A592" s="56"/>
      <c r="B592" s="56"/>
      <c r="C592" s="56"/>
      <c r="D592" s="56"/>
      <c r="E592" s="14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7"/>
      <c r="Q592" s="57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15.75" customHeight="1" x14ac:dyDescent="0.3">
      <c r="A593" s="56"/>
      <c r="B593" s="56"/>
      <c r="C593" s="56"/>
      <c r="D593" s="56"/>
      <c r="E593" s="14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7"/>
      <c r="Q593" s="57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15.75" customHeight="1" x14ac:dyDescent="0.3">
      <c r="A594" s="56"/>
      <c r="B594" s="56"/>
      <c r="C594" s="56"/>
      <c r="D594" s="56"/>
      <c r="E594" s="14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7"/>
      <c r="Q594" s="57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15.75" customHeight="1" x14ac:dyDescent="0.3">
      <c r="A595" s="56"/>
      <c r="B595" s="56"/>
      <c r="C595" s="56"/>
      <c r="D595" s="56"/>
      <c r="E595" s="14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7"/>
      <c r="Q595" s="57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15.75" customHeight="1" x14ac:dyDescent="0.3">
      <c r="A596" s="56"/>
      <c r="B596" s="56"/>
      <c r="C596" s="56"/>
      <c r="D596" s="56"/>
      <c r="E596" s="14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7"/>
      <c r="Q596" s="57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15.75" customHeight="1" x14ac:dyDescent="0.3">
      <c r="A597" s="56"/>
      <c r="B597" s="56"/>
      <c r="C597" s="56"/>
      <c r="D597" s="56"/>
      <c r="E597" s="14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7"/>
      <c r="Q597" s="57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15.75" customHeight="1" x14ac:dyDescent="0.3">
      <c r="A598" s="56"/>
      <c r="B598" s="56"/>
      <c r="C598" s="56"/>
      <c r="D598" s="56"/>
      <c r="E598" s="14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7"/>
      <c r="Q598" s="57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15.75" customHeight="1" x14ac:dyDescent="0.3">
      <c r="A599" s="56"/>
      <c r="B599" s="56"/>
      <c r="C599" s="56"/>
      <c r="D599" s="56"/>
      <c r="E599" s="14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7"/>
      <c r="Q599" s="57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15.75" customHeight="1" x14ac:dyDescent="0.3">
      <c r="A600" s="56"/>
      <c r="B600" s="56"/>
      <c r="C600" s="56"/>
      <c r="D600" s="56"/>
      <c r="E600" s="14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7"/>
      <c r="Q600" s="57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15.75" customHeight="1" x14ac:dyDescent="0.3">
      <c r="A601" s="56"/>
      <c r="B601" s="56"/>
      <c r="C601" s="56"/>
      <c r="D601" s="56"/>
      <c r="E601" s="14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7"/>
      <c r="Q601" s="57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15.75" customHeight="1" x14ac:dyDescent="0.3">
      <c r="A602" s="56"/>
      <c r="B602" s="56"/>
      <c r="C602" s="56"/>
      <c r="D602" s="56"/>
      <c r="E602" s="14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7"/>
      <c r="Q602" s="57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15.75" customHeight="1" x14ac:dyDescent="0.3">
      <c r="A603" s="56"/>
      <c r="B603" s="56"/>
      <c r="C603" s="56"/>
      <c r="D603" s="56"/>
      <c r="E603" s="14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7"/>
      <c r="Q603" s="57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15.75" customHeight="1" x14ac:dyDescent="0.3">
      <c r="A604" s="56"/>
      <c r="B604" s="56"/>
      <c r="C604" s="56"/>
      <c r="D604" s="56"/>
      <c r="E604" s="14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7"/>
      <c r="Q604" s="57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15.75" customHeight="1" x14ac:dyDescent="0.3">
      <c r="A605" s="56"/>
      <c r="B605" s="56"/>
      <c r="C605" s="56"/>
      <c r="D605" s="56"/>
      <c r="E605" s="14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7"/>
      <c r="Q605" s="57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15.75" customHeight="1" x14ac:dyDescent="0.3">
      <c r="A606" s="56"/>
      <c r="B606" s="56"/>
      <c r="C606" s="56"/>
      <c r="D606" s="56"/>
      <c r="E606" s="14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7"/>
      <c r="Q606" s="57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15.75" customHeight="1" x14ac:dyDescent="0.3">
      <c r="A607" s="56"/>
      <c r="B607" s="56"/>
      <c r="C607" s="56"/>
      <c r="D607" s="56"/>
      <c r="E607" s="14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7"/>
      <c r="Q607" s="57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15.75" customHeight="1" x14ac:dyDescent="0.3">
      <c r="A608" s="56"/>
      <c r="B608" s="56"/>
      <c r="C608" s="56"/>
      <c r="D608" s="56"/>
      <c r="E608" s="14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7"/>
      <c r="Q608" s="57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15.75" customHeight="1" x14ac:dyDescent="0.3">
      <c r="A609" s="56"/>
      <c r="B609" s="56"/>
      <c r="C609" s="56"/>
      <c r="D609" s="56"/>
      <c r="E609" s="14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7"/>
      <c r="Q609" s="57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15.75" customHeight="1" x14ac:dyDescent="0.3">
      <c r="A610" s="56"/>
      <c r="B610" s="56"/>
      <c r="C610" s="56"/>
      <c r="D610" s="56"/>
      <c r="E610" s="14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7"/>
      <c r="Q610" s="57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15.75" customHeight="1" x14ac:dyDescent="0.3">
      <c r="A611" s="56"/>
      <c r="B611" s="56"/>
      <c r="C611" s="56"/>
      <c r="D611" s="56"/>
      <c r="E611" s="14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7"/>
      <c r="Q611" s="57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15.75" customHeight="1" x14ac:dyDescent="0.3">
      <c r="A612" s="56"/>
      <c r="B612" s="56"/>
      <c r="C612" s="56"/>
      <c r="D612" s="56"/>
      <c r="E612" s="14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7"/>
      <c r="Q612" s="57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15.75" customHeight="1" x14ac:dyDescent="0.3">
      <c r="A613" s="56"/>
      <c r="B613" s="56"/>
      <c r="C613" s="56"/>
      <c r="D613" s="56"/>
      <c r="E613" s="14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7"/>
      <c r="Q613" s="57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15.75" customHeight="1" x14ac:dyDescent="0.3">
      <c r="A614" s="56"/>
      <c r="B614" s="56"/>
      <c r="C614" s="56"/>
      <c r="D614" s="56"/>
      <c r="E614" s="14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7"/>
      <c r="Q614" s="57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15.75" customHeight="1" x14ac:dyDescent="0.3">
      <c r="A615" s="56"/>
      <c r="B615" s="56"/>
      <c r="C615" s="56"/>
      <c r="D615" s="56"/>
      <c r="E615" s="14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7"/>
      <c r="Q615" s="57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15.75" customHeight="1" x14ac:dyDescent="0.3">
      <c r="A616" s="56"/>
      <c r="B616" s="56"/>
      <c r="C616" s="56"/>
      <c r="D616" s="56"/>
      <c r="E616" s="14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7"/>
      <c r="Q616" s="57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15.75" customHeight="1" x14ac:dyDescent="0.3">
      <c r="A617" s="56"/>
      <c r="B617" s="56"/>
      <c r="C617" s="56"/>
      <c r="D617" s="56"/>
      <c r="E617" s="14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7"/>
      <c r="Q617" s="57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15.75" customHeight="1" x14ac:dyDescent="0.3">
      <c r="A618" s="56"/>
      <c r="B618" s="56"/>
      <c r="C618" s="56"/>
      <c r="D618" s="56"/>
      <c r="E618" s="14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7"/>
      <c r="Q618" s="57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15.75" customHeight="1" x14ac:dyDescent="0.3">
      <c r="A619" s="56"/>
      <c r="B619" s="56"/>
      <c r="C619" s="56"/>
      <c r="D619" s="56"/>
      <c r="E619" s="14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7"/>
      <c r="Q619" s="57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15.75" customHeight="1" x14ac:dyDescent="0.3">
      <c r="A620" s="56"/>
      <c r="B620" s="56"/>
      <c r="C620" s="56"/>
      <c r="D620" s="56"/>
      <c r="E620" s="14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7"/>
      <c r="Q620" s="57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15.75" customHeight="1" x14ac:dyDescent="0.3">
      <c r="A621" s="56"/>
      <c r="B621" s="56"/>
      <c r="C621" s="56"/>
      <c r="D621" s="56"/>
      <c r="E621" s="14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7"/>
      <c r="Q621" s="57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15.75" customHeight="1" x14ac:dyDescent="0.3">
      <c r="A622" s="56"/>
      <c r="B622" s="56"/>
      <c r="C622" s="56"/>
      <c r="D622" s="56"/>
      <c r="E622" s="14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7"/>
      <c r="Q622" s="57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15.75" customHeight="1" x14ac:dyDescent="0.3">
      <c r="A623" s="56"/>
      <c r="B623" s="56"/>
      <c r="C623" s="56"/>
      <c r="D623" s="56"/>
      <c r="E623" s="14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7"/>
      <c r="Q623" s="57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15.75" customHeight="1" x14ac:dyDescent="0.3">
      <c r="A624" s="56"/>
      <c r="B624" s="56"/>
      <c r="C624" s="56"/>
      <c r="D624" s="56"/>
      <c r="E624" s="14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7"/>
      <c r="Q624" s="57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15.75" customHeight="1" x14ac:dyDescent="0.3">
      <c r="A625" s="56"/>
      <c r="B625" s="56"/>
      <c r="C625" s="56"/>
      <c r="D625" s="56"/>
      <c r="E625" s="14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7"/>
      <c r="Q625" s="57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15.75" customHeight="1" x14ac:dyDescent="0.3">
      <c r="A626" s="56"/>
      <c r="B626" s="56"/>
      <c r="C626" s="56"/>
      <c r="D626" s="56"/>
      <c r="E626" s="14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7"/>
      <c r="Q626" s="57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15.75" customHeight="1" x14ac:dyDescent="0.3">
      <c r="A627" s="56"/>
      <c r="B627" s="56"/>
      <c r="C627" s="56"/>
      <c r="D627" s="56"/>
      <c r="E627" s="14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7"/>
      <c r="Q627" s="57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15.75" customHeight="1" x14ac:dyDescent="0.3">
      <c r="A628" s="56"/>
      <c r="B628" s="56"/>
      <c r="C628" s="56"/>
      <c r="D628" s="56"/>
      <c r="E628" s="14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7"/>
      <c r="Q628" s="57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15.75" customHeight="1" x14ac:dyDescent="0.3">
      <c r="A629" s="56"/>
      <c r="B629" s="56"/>
      <c r="C629" s="56"/>
      <c r="D629" s="56"/>
      <c r="E629" s="14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7"/>
      <c r="Q629" s="57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15.75" customHeight="1" x14ac:dyDescent="0.3">
      <c r="A630" s="56"/>
      <c r="B630" s="56"/>
      <c r="C630" s="56"/>
      <c r="D630" s="56"/>
      <c r="E630" s="14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7"/>
      <c r="Q630" s="57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15.75" customHeight="1" x14ac:dyDescent="0.3">
      <c r="A631" s="56"/>
      <c r="B631" s="56"/>
      <c r="C631" s="56"/>
      <c r="D631" s="56"/>
      <c r="E631" s="14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7"/>
      <c r="Q631" s="57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15.75" customHeight="1" x14ac:dyDescent="0.3">
      <c r="A632" s="56"/>
      <c r="B632" s="56"/>
      <c r="C632" s="56"/>
      <c r="D632" s="56"/>
      <c r="E632" s="14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7"/>
      <c r="Q632" s="57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15.75" customHeight="1" x14ac:dyDescent="0.3">
      <c r="A633" s="56"/>
      <c r="B633" s="56"/>
      <c r="C633" s="56"/>
      <c r="D633" s="56"/>
      <c r="E633" s="14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7"/>
      <c r="Q633" s="57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15.75" customHeight="1" x14ac:dyDescent="0.3">
      <c r="A634" s="56"/>
      <c r="B634" s="56"/>
      <c r="C634" s="56"/>
      <c r="D634" s="56"/>
      <c r="E634" s="14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7"/>
      <c r="Q634" s="57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15.75" customHeight="1" x14ac:dyDescent="0.3">
      <c r="A635" s="56"/>
      <c r="B635" s="56"/>
      <c r="C635" s="56"/>
      <c r="D635" s="56"/>
      <c r="E635" s="14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7"/>
      <c r="Q635" s="57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15.75" customHeight="1" x14ac:dyDescent="0.3">
      <c r="A636" s="56"/>
      <c r="B636" s="56"/>
      <c r="C636" s="56"/>
      <c r="D636" s="56"/>
      <c r="E636" s="14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7"/>
      <c r="Q636" s="57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15.75" customHeight="1" x14ac:dyDescent="0.3">
      <c r="A637" s="56"/>
      <c r="B637" s="56"/>
      <c r="C637" s="56"/>
      <c r="D637" s="56"/>
      <c r="E637" s="14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7"/>
      <c r="Q637" s="57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15.75" customHeight="1" x14ac:dyDescent="0.3">
      <c r="A638" s="56"/>
      <c r="B638" s="56"/>
      <c r="C638" s="56"/>
      <c r="D638" s="56"/>
      <c r="E638" s="14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7"/>
      <c r="Q638" s="57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15.75" customHeight="1" x14ac:dyDescent="0.3">
      <c r="A639" s="56"/>
      <c r="B639" s="56"/>
      <c r="C639" s="56"/>
      <c r="D639" s="56"/>
      <c r="E639" s="14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7"/>
      <c r="Q639" s="57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15.75" customHeight="1" x14ac:dyDescent="0.3">
      <c r="A640" s="56"/>
      <c r="B640" s="56"/>
      <c r="C640" s="56"/>
      <c r="D640" s="56"/>
      <c r="E640" s="14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7"/>
      <c r="Q640" s="57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15.75" customHeight="1" x14ac:dyDescent="0.3">
      <c r="A641" s="56"/>
      <c r="B641" s="56"/>
      <c r="C641" s="56"/>
      <c r="D641" s="56"/>
      <c r="E641" s="14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7"/>
      <c r="Q641" s="57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15.75" customHeight="1" x14ac:dyDescent="0.3">
      <c r="A642" s="56"/>
      <c r="B642" s="56"/>
      <c r="C642" s="56"/>
      <c r="D642" s="56"/>
      <c r="E642" s="14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7"/>
      <c r="Q642" s="57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15.75" customHeight="1" x14ac:dyDescent="0.3">
      <c r="A643" s="56"/>
      <c r="B643" s="56"/>
      <c r="C643" s="56"/>
      <c r="D643" s="56"/>
      <c r="E643" s="14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7"/>
      <c r="Q643" s="57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15.75" customHeight="1" x14ac:dyDescent="0.3">
      <c r="A644" s="56"/>
      <c r="B644" s="56"/>
      <c r="C644" s="56"/>
      <c r="D644" s="56"/>
      <c r="E644" s="14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7"/>
      <c r="Q644" s="57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15.75" customHeight="1" x14ac:dyDescent="0.3">
      <c r="A645" s="56"/>
      <c r="B645" s="56"/>
      <c r="C645" s="56"/>
      <c r="D645" s="56"/>
      <c r="E645" s="14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7"/>
      <c r="Q645" s="57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15.75" customHeight="1" x14ac:dyDescent="0.3">
      <c r="A646" s="56"/>
      <c r="B646" s="56"/>
      <c r="C646" s="56"/>
      <c r="D646" s="56"/>
      <c r="E646" s="14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7"/>
      <c r="Q646" s="57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15.75" customHeight="1" x14ac:dyDescent="0.3">
      <c r="A647" s="56"/>
      <c r="B647" s="56"/>
      <c r="C647" s="56"/>
      <c r="D647" s="56"/>
      <c r="E647" s="14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7"/>
      <c r="Q647" s="57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15.75" customHeight="1" x14ac:dyDescent="0.3">
      <c r="A648" s="56"/>
      <c r="B648" s="56"/>
      <c r="C648" s="56"/>
      <c r="D648" s="56"/>
      <c r="E648" s="14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7"/>
      <c r="Q648" s="57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15.75" customHeight="1" x14ac:dyDescent="0.3">
      <c r="A649" s="56"/>
      <c r="B649" s="56"/>
      <c r="C649" s="56"/>
      <c r="D649" s="56"/>
      <c r="E649" s="14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7"/>
      <c r="Q649" s="57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15.75" customHeight="1" x14ac:dyDescent="0.3">
      <c r="A650" s="56"/>
      <c r="B650" s="56"/>
      <c r="C650" s="56"/>
      <c r="D650" s="56"/>
      <c r="E650" s="14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7"/>
      <c r="Q650" s="57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15.75" customHeight="1" x14ac:dyDescent="0.3">
      <c r="A651" s="56"/>
      <c r="B651" s="56"/>
      <c r="C651" s="56"/>
      <c r="D651" s="56"/>
      <c r="E651" s="14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7"/>
      <c r="Q651" s="57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15.75" customHeight="1" x14ac:dyDescent="0.3">
      <c r="A652" s="56"/>
      <c r="B652" s="56"/>
      <c r="C652" s="56"/>
      <c r="D652" s="56"/>
      <c r="E652" s="14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7"/>
      <c r="Q652" s="57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15.75" customHeight="1" x14ac:dyDescent="0.3">
      <c r="A653" s="56"/>
      <c r="B653" s="56"/>
      <c r="C653" s="56"/>
      <c r="D653" s="56"/>
      <c r="E653" s="14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7"/>
      <c r="Q653" s="57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15.75" customHeight="1" x14ac:dyDescent="0.3">
      <c r="A654" s="56"/>
      <c r="B654" s="56"/>
      <c r="C654" s="56"/>
      <c r="D654" s="56"/>
      <c r="E654" s="14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7"/>
      <c r="Q654" s="57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15.75" customHeight="1" x14ac:dyDescent="0.3">
      <c r="A655" s="56"/>
      <c r="B655" s="56"/>
      <c r="C655" s="56"/>
      <c r="D655" s="56"/>
      <c r="E655" s="14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7"/>
      <c r="Q655" s="57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15.75" customHeight="1" x14ac:dyDescent="0.3">
      <c r="A656" s="56"/>
      <c r="B656" s="56"/>
      <c r="C656" s="56"/>
      <c r="D656" s="56"/>
      <c r="E656" s="14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7"/>
      <c r="Q656" s="57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15.75" customHeight="1" x14ac:dyDescent="0.3">
      <c r="A657" s="56"/>
      <c r="B657" s="56"/>
      <c r="C657" s="56"/>
      <c r="D657" s="56"/>
      <c r="E657" s="14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7"/>
      <c r="Q657" s="57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15.75" customHeight="1" x14ac:dyDescent="0.3">
      <c r="A658" s="56"/>
      <c r="B658" s="56"/>
      <c r="C658" s="56"/>
      <c r="D658" s="56"/>
      <c r="E658" s="14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7"/>
      <c r="Q658" s="57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15.75" customHeight="1" x14ac:dyDescent="0.3">
      <c r="A659" s="56"/>
      <c r="B659" s="56"/>
      <c r="C659" s="56"/>
      <c r="D659" s="56"/>
      <c r="E659" s="14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7"/>
      <c r="Q659" s="57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15.75" customHeight="1" x14ac:dyDescent="0.3">
      <c r="A660" s="56"/>
      <c r="B660" s="56"/>
      <c r="C660" s="56"/>
      <c r="D660" s="56"/>
      <c r="E660" s="14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7"/>
      <c r="Q660" s="57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15.75" customHeight="1" x14ac:dyDescent="0.3">
      <c r="A661" s="56"/>
      <c r="B661" s="56"/>
      <c r="C661" s="56"/>
      <c r="D661" s="56"/>
      <c r="E661" s="14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7"/>
      <c r="Q661" s="57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15.75" customHeight="1" x14ac:dyDescent="0.3">
      <c r="A662" s="56"/>
      <c r="B662" s="56"/>
      <c r="C662" s="56"/>
      <c r="D662" s="56"/>
      <c r="E662" s="14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7"/>
      <c r="Q662" s="57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15.75" customHeight="1" x14ac:dyDescent="0.3">
      <c r="A663" s="56"/>
      <c r="B663" s="56"/>
      <c r="C663" s="56"/>
      <c r="D663" s="56"/>
      <c r="E663" s="14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7"/>
      <c r="Q663" s="57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15.75" customHeight="1" x14ac:dyDescent="0.3">
      <c r="A664" s="56"/>
      <c r="B664" s="56"/>
      <c r="C664" s="56"/>
      <c r="D664" s="56"/>
      <c r="E664" s="14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7"/>
      <c r="Q664" s="57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15.75" customHeight="1" x14ac:dyDescent="0.3">
      <c r="A665" s="56"/>
      <c r="B665" s="56"/>
      <c r="C665" s="56"/>
      <c r="D665" s="56"/>
      <c r="E665" s="14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7"/>
      <c r="Q665" s="57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15.75" customHeight="1" x14ac:dyDescent="0.3">
      <c r="A666" s="56"/>
      <c r="B666" s="56"/>
      <c r="C666" s="56"/>
      <c r="D666" s="56"/>
      <c r="E666" s="14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7"/>
      <c r="Q666" s="57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15.75" customHeight="1" x14ac:dyDescent="0.3">
      <c r="A667" s="56"/>
      <c r="B667" s="56"/>
      <c r="C667" s="56"/>
      <c r="D667" s="56"/>
      <c r="E667" s="14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7"/>
      <c r="Q667" s="57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15.75" customHeight="1" x14ac:dyDescent="0.3">
      <c r="A668" s="56"/>
      <c r="B668" s="56"/>
      <c r="C668" s="56"/>
      <c r="D668" s="56"/>
      <c r="E668" s="14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7"/>
      <c r="Q668" s="57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15.75" customHeight="1" x14ac:dyDescent="0.3">
      <c r="A669" s="56"/>
      <c r="B669" s="56"/>
      <c r="C669" s="56"/>
      <c r="D669" s="56"/>
      <c r="E669" s="14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7"/>
      <c r="Q669" s="57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15.75" customHeight="1" x14ac:dyDescent="0.3">
      <c r="A670" s="56"/>
      <c r="B670" s="56"/>
      <c r="C670" s="56"/>
      <c r="D670" s="56"/>
      <c r="E670" s="14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7"/>
      <c r="Q670" s="57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15.75" customHeight="1" x14ac:dyDescent="0.3">
      <c r="A671" s="56"/>
      <c r="B671" s="56"/>
      <c r="C671" s="56"/>
      <c r="D671" s="56"/>
      <c r="E671" s="14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7"/>
      <c r="Q671" s="57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15.75" customHeight="1" x14ac:dyDescent="0.3">
      <c r="A672" s="56"/>
      <c r="B672" s="56"/>
      <c r="C672" s="56"/>
      <c r="D672" s="56"/>
      <c r="E672" s="14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7"/>
      <c r="Q672" s="57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15.75" customHeight="1" x14ac:dyDescent="0.3">
      <c r="A673" s="56"/>
      <c r="B673" s="56"/>
      <c r="C673" s="56"/>
      <c r="D673" s="56"/>
      <c r="E673" s="14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7"/>
      <c r="Q673" s="57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15.75" customHeight="1" x14ac:dyDescent="0.3">
      <c r="A674" s="56"/>
      <c r="B674" s="56"/>
      <c r="C674" s="56"/>
      <c r="D674" s="56"/>
      <c r="E674" s="14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7"/>
      <c r="Q674" s="57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15.75" customHeight="1" x14ac:dyDescent="0.3">
      <c r="A675" s="56"/>
      <c r="B675" s="56"/>
      <c r="C675" s="56"/>
      <c r="D675" s="56"/>
      <c r="E675" s="14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7"/>
      <c r="Q675" s="57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15.75" customHeight="1" x14ac:dyDescent="0.3">
      <c r="A676" s="56"/>
      <c r="B676" s="56"/>
      <c r="C676" s="56"/>
      <c r="D676" s="56"/>
      <c r="E676" s="14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7"/>
      <c r="Q676" s="57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15.75" customHeight="1" x14ac:dyDescent="0.3">
      <c r="A677" s="56"/>
      <c r="B677" s="56"/>
      <c r="C677" s="56"/>
      <c r="D677" s="56"/>
      <c r="E677" s="14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7"/>
      <c r="Q677" s="57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15.75" customHeight="1" x14ac:dyDescent="0.3">
      <c r="A678" s="56"/>
      <c r="B678" s="56"/>
      <c r="C678" s="56"/>
      <c r="D678" s="56"/>
      <c r="E678" s="14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7"/>
      <c r="Q678" s="57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15.75" customHeight="1" x14ac:dyDescent="0.3">
      <c r="A679" s="56"/>
      <c r="B679" s="56"/>
      <c r="C679" s="56"/>
      <c r="D679" s="56"/>
      <c r="E679" s="14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7"/>
      <c r="Q679" s="57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15.75" customHeight="1" x14ac:dyDescent="0.3">
      <c r="A680" s="56"/>
      <c r="B680" s="56"/>
      <c r="C680" s="56"/>
      <c r="D680" s="56"/>
      <c r="E680" s="14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7"/>
      <c r="Q680" s="57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15.75" customHeight="1" x14ac:dyDescent="0.3">
      <c r="A681" s="56"/>
      <c r="B681" s="56"/>
      <c r="C681" s="56"/>
      <c r="D681" s="56"/>
      <c r="E681" s="14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7"/>
      <c r="Q681" s="57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15.75" customHeight="1" x14ac:dyDescent="0.3">
      <c r="A682" s="56"/>
      <c r="B682" s="56"/>
      <c r="C682" s="56"/>
      <c r="D682" s="56"/>
      <c r="E682" s="14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7"/>
      <c r="Q682" s="57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15.75" customHeight="1" x14ac:dyDescent="0.3">
      <c r="A683" s="56"/>
      <c r="B683" s="56"/>
      <c r="C683" s="56"/>
      <c r="D683" s="56"/>
      <c r="E683" s="14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7"/>
      <c r="Q683" s="57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15.75" customHeight="1" x14ac:dyDescent="0.3">
      <c r="A684" s="56"/>
      <c r="B684" s="56"/>
      <c r="C684" s="56"/>
      <c r="D684" s="56"/>
      <c r="E684" s="14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7"/>
      <c r="Q684" s="57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15.75" customHeight="1" x14ac:dyDescent="0.3">
      <c r="A685" s="56"/>
      <c r="B685" s="56"/>
      <c r="C685" s="56"/>
      <c r="D685" s="56"/>
      <c r="E685" s="14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7"/>
      <c r="Q685" s="57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15.75" customHeight="1" x14ac:dyDescent="0.3">
      <c r="A686" s="56"/>
      <c r="B686" s="56"/>
      <c r="C686" s="56"/>
      <c r="D686" s="56"/>
      <c r="E686" s="14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7"/>
      <c r="Q686" s="57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15.75" customHeight="1" x14ac:dyDescent="0.3">
      <c r="A687" s="56"/>
      <c r="B687" s="56"/>
      <c r="C687" s="56"/>
      <c r="D687" s="56"/>
      <c r="E687" s="14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7"/>
      <c r="Q687" s="57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15.75" customHeight="1" x14ac:dyDescent="0.3">
      <c r="A688" s="56"/>
      <c r="B688" s="56"/>
      <c r="C688" s="56"/>
      <c r="D688" s="56"/>
      <c r="E688" s="14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7"/>
      <c r="Q688" s="57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15.75" customHeight="1" x14ac:dyDescent="0.3">
      <c r="A689" s="56"/>
      <c r="B689" s="56"/>
      <c r="C689" s="56"/>
      <c r="D689" s="56"/>
      <c r="E689" s="14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7"/>
      <c r="Q689" s="57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15.75" customHeight="1" x14ac:dyDescent="0.3">
      <c r="A690" s="56"/>
      <c r="B690" s="56"/>
      <c r="C690" s="56"/>
      <c r="D690" s="56"/>
      <c r="E690" s="14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7"/>
      <c r="Q690" s="57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15.75" customHeight="1" x14ac:dyDescent="0.3">
      <c r="A691" s="56"/>
      <c r="B691" s="56"/>
      <c r="C691" s="56"/>
      <c r="D691" s="56"/>
      <c r="E691" s="14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7"/>
      <c r="Q691" s="57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15.75" customHeight="1" x14ac:dyDescent="0.3">
      <c r="A692" s="56"/>
      <c r="B692" s="56"/>
      <c r="C692" s="56"/>
      <c r="D692" s="56"/>
      <c r="E692" s="14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7"/>
      <c r="Q692" s="57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15.75" customHeight="1" x14ac:dyDescent="0.3">
      <c r="A693" s="56"/>
      <c r="B693" s="56"/>
      <c r="C693" s="56"/>
      <c r="D693" s="56"/>
      <c r="E693" s="14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7"/>
      <c r="Q693" s="57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15.75" customHeight="1" x14ac:dyDescent="0.3">
      <c r="A694" s="56"/>
      <c r="B694" s="56"/>
      <c r="C694" s="56"/>
      <c r="D694" s="56"/>
      <c r="E694" s="14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7"/>
      <c r="Q694" s="57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15.75" customHeight="1" x14ac:dyDescent="0.3">
      <c r="A695" s="56"/>
      <c r="B695" s="56"/>
      <c r="C695" s="56"/>
      <c r="D695" s="56"/>
      <c r="E695" s="14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7"/>
      <c r="Q695" s="57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15.75" customHeight="1" x14ac:dyDescent="0.3">
      <c r="A696" s="56"/>
      <c r="B696" s="56"/>
      <c r="C696" s="56"/>
      <c r="D696" s="56"/>
      <c r="E696" s="14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7"/>
      <c r="Q696" s="57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15.75" customHeight="1" x14ac:dyDescent="0.3">
      <c r="A697" s="56"/>
      <c r="B697" s="56"/>
      <c r="C697" s="56"/>
      <c r="D697" s="56"/>
      <c r="E697" s="14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7"/>
      <c r="Q697" s="57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15.75" customHeight="1" x14ac:dyDescent="0.3">
      <c r="A698" s="56"/>
      <c r="B698" s="56"/>
      <c r="C698" s="56"/>
      <c r="D698" s="56"/>
      <c r="E698" s="14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7"/>
      <c r="Q698" s="57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15.75" customHeight="1" x14ac:dyDescent="0.3">
      <c r="A699" s="56"/>
      <c r="B699" s="56"/>
      <c r="C699" s="56"/>
      <c r="D699" s="56"/>
      <c r="E699" s="14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7"/>
      <c r="Q699" s="57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15.75" customHeight="1" x14ac:dyDescent="0.3">
      <c r="A700" s="56"/>
      <c r="B700" s="56"/>
      <c r="C700" s="56"/>
      <c r="D700" s="56"/>
      <c r="E700" s="14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7"/>
      <c r="Q700" s="57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15.75" customHeight="1" x14ac:dyDescent="0.3">
      <c r="A701" s="56"/>
      <c r="B701" s="56"/>
      <c r="C701" s="56"/>
      <c r="D701" s="56"/>
      <c r="E701" s="14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7"/>
      <c r="Q701" s="57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15.75" customHeight="1" x14ac:dyDescent="0.3">
      <c r="A702" s="56"/>
      <c r="B702" s="56"/>
      <c r="C702" s="56"/>
      <c r="D702" s="56"/>
      <c r="E702" s="14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7"/>
      <c r="Q702" s="57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15.75" customHeight="1" x14ac:dyDescent="0.3">
      <c r="A703" s="56"/>
      <c r="B703" s="56"/>
      <c r="C703" s="56"/>
      <c r="D703" s="56"/>
      <c r="E703" s="14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7"/>
      <c r="Q703" s="57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15.75" customHeight="1" x14ac:dyDescent="0.3">
      <c r="A704" s="56"/>
      <c r="B704" s="56"/>
      <c r="C704" s="56"/>
      <c r="D704" s="56"/>
      <c r="E704" s="14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7"/>
      <c r="Q704" s="57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15.75" customHeight="1" x14ac:dyDescent="0.3">
      <c r="A705" s="56"/>
      <c r="B705" s="56"/>
      <c r="C705" s="56"/>
      <c r="D705" s="56"/>
      <c r="E705" s="14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7"/>
      <c r="Q705" s="57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15.75" customHeight="1" x14ac:dyDescent="0.3">
      <c r="A706" s="56"/>
      <c r="B706" s="56"/>
      <c r="C706" s="56"/>
      <c r="D706" s="56"/>
      <c r="E706" s="14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7"/>
      <c r="Q706" s="57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15.75" customHeight="1" x14ac:dyDescent="0.3">
      <c r="A707" s="56"/>
      <c r="B707" s="56"/>
      <c r="C707" s="56"/>
      <c r="D707" s="56"/>
      <c r="E707" s="14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7"/>
      <c r="Q707" s="57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15.75" customHeight="1" x14ac:dyDescent="0.3">
      <c r="A708" s="56"/>
      <c r="B708" s="56"/>
      <c r="C708" s="56"/>
      <c r="D708" s="56"/>
      <c r="E708" s="14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7"/>
      <c r="Q708" s="57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15.75" customHeight="1" x14ac:dyDescent="0.3">
      <c r="A709" s="56"/>
      <c r="B709" s="56"/>
      <c r="C709" s="56"/>
      <c r="D709" s="56"/>
      <c r="E709" s="14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7"/>
      <c r="Q709" s="57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15.75" customHeight="1" x14ac:dyDescent="0.3">
      <c r="A710" s="56"/>
      <c r="B710" s="56"/>
      <c r="C710" s="56"/>
      <c r="D710" s="56"/>
      <c r="E710" s="14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7"/>
      <c r="Q710" s="57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15.75" customHeight="1" x14ac:dyDescent="0.3">
      <c r="A711" s="56"/>
      <c r="B711" s="56"/>
      <c r="C711" s="56"/>
      <c r="D711" s="56"/>
      <c r="E711" s="14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7"/>
      <c r="Q711" s="57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15.75" customHeight="1" x14ac:dyDescent="0.3">
      <c r="A712" s="56"/>
      <c r="B712" s="56"/>
      <c r="C712" s="56"/>
      <c r="D712" s="56"/>
      <c r="E712" s="14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7"/>
      <c r="Q712" s="57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15.75" customHeight="1" x14ac:dyDescent="0.3">
      <c r="A713" s="56"/>
      <c r="B713" s="56"/>
      <c r="C713" s="56"/>
      <c r="D713" s="56"/>
      <c r="E713" s="14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7"/>
      <c r="Q713" s="57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15.75" customHeight="1" x14ac:dyDescent="0.3">
      <c r="A714" s="56"/>
      <c r="B714" s="56"/>
      <c r="C714" s="56"/>
      <c r="D714" s="56"/>
      <c r="E714" s="14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7"/>
      <c r="Q714" s="57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15.75" customHeight="1" x14ac:dyDescent="0.3">
      <c r="A715" s="56"/>
      <c r="B715" s="56"/>
      <c r="C715" s="56"/>
      <c r="D715" s="56"/>
      <c r="E715" s="14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7"/>
      <c r="Q715" s="57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15.75" customHeight="1" x14ac:dyDescent="0.3">
      <c r="A716" s="56"/>
      <c r="B716" s="56"/>
      <c r="C716" s="56"/>
      <c r="D716" s="56"/>
      <c r="E716" s="14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7"/>
      <c r="Q716" s="57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15.75" customHeight="1" x14ac:dyDescent="0.3">
      <c r="A717" s="56"/>
      <c r="B717" s="56"/>
      <c r="C717" s="56"/>
      <c r="D717" s="56"/>
      <c r="E717" s="14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7"/>
      <c r="Q717" s="57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15.75" customHeight="1" x14ac:dyDescent="0.3">
      <c r="A718" s="56"/>
      <c r="B718" s="56"/>
      <c r="C718" s="56"/>
      <c r="D718" s="56"/>
      <c r="E718" s="14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7"/>
      <c r="Q718" s="57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15.75" customHeight="1" x14ac:dyDescent="0.3">
      <c r="A719" s="56"/>
      <c r="B719" s="56"/>
      <c r="C719" s="56"/>
      <c r="D719" s="56"/>
      <c r="E719" s="14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7"/>
      <c r="Q719" s="57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15.75" customHeight="1" x14ac:dyDescent="0.3">
      <c r="A720" s="56"/>
      <c r="B720" s="56"/>
      <c r="C720" s="56"/>
      <c r="D720" s="56"/>
      <c r="E720" s="14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7"/>
      <c r="Q720" s="57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15.75" customHeight="1" x14ac:dyDescent="0.3">
      <c r="A721" s="56"/>
      <c r="B721" s="56"/>
      <c r="C721" s="56"/>
      <c r="D721" s="56"/>
      <c r="E721" s="14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7"/>
      <c r="Q721" s="57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15.75" customHeight="1" x14ac:dyDescent="0.3">
      <c r="A722" s="56"/>
      <c r="B722" s="56"/>
      <c r="C722" s="56"/>
      <c r="D722" s="56"/>
      <c r="E722" s="14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7"/>
      <c r="Q722" s="57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15.75" customHeight="1" x14ac:dyDescent="0.3">
      <c r="A723" s="56"/>
      <c r="B723" s="56"/>
      <c r="C723" s="56"/>
      <c r="D723" s="56"/>
      <c r="E723" s="14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7"/>
      <c r="Q723" s="57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15.75" customHeight="1" x14ac:dyDescent="0.3">
      <c r="A724" s="56"/>
      <c r="B724" s="56"/>
      <c r="C724" s="56"/>
      <c r="D724" s="56"/>
      <c r="E724" s="14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7"/>
      <c r="Q724" s="57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15.75" customHeight="1" x14ac:dyDescent="0.3">
      <c r="A725" s="56"/>
      <c r="B725" s="56"/>
      <c r="C725" s="56"/>
      <c r="D725" s="56"/>
      <c r="E725" s="14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7"/>
      <c r="Q725" s="57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15.75" customHeight="1" x14ac:dyDescent="0.3">
      <c r="A726" s="56"/>
      <c r="B726" s="56"/>
      <c r="C726" s="56"/>
      <c r="D726" s="56"/>
      <c r="E726" s="14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7"/>
      <c r="Q726" s="57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15.75" customHeight="1" x14ac:dyDescent="0.3">
      <c r="A727" s="56"/>
      <c r="B727" s="56"/>
      <c r="C727" s="56"/>
      <c r="D727" s="56"/>
      <c r="E727" s="14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7"/>
      <c r="Q727" s="57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15.75" customHeight="1" x14ac:dyDescent="0.3">
      <c r="A728" s="56"/>
      <c r="B728" s="56"/>
      <c r="C728" s="56"/>
      <c r="D728" s="56"/>
      <c r="E728" s="14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7"/>
      <c r="Q728" s="57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15.75" customHeight="1" x14ac:dyDescent="0.3">
      <c r="A729" s="56"/>
      <c r="B729" s="56"/>
      <c r="C729" s="56"/>
      <c r="D729" s="56"/>
      <c r="E729" s="14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7"/>
      <c r="Q729" s="57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15.75" customHeight="1" x14ac:dyDescent="0.3">
      <c r="A730" s="56"/>
      <c r="B730" s="56"/>
      <c r="C730" s="56"/>
      <c r="D730" s="56"/>
      <c r="E730" s="14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7"/>
      <c r="Q730" s="57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15.75" customHeight="1" x14ac:dyDescent="0.3">
      <c r="A731" s="56"/>
      <c r="B731" s="56"/>
      <c r="C731" s="56"/>
      <c r="D731" s="56"/>
      <c r="E731" s="14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7"/>
      <c r="Q731" s="57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15.75" customHeight="1" x14ac:dyDescent="0.3">
      <c r="A732" s="56"/>
      <c r="B732" s="56"/>
      <c r="C732" s="56"/>
      <c r="D732" s="56"/>
      <c r="E732" s="14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7"/>
      <c r="Q732" s="57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15.75" customHeight="1" x14ac:dyDescent="0.3">
      <c r="A733" s="56"/>
      <c r="B733" s="56"/>
      <c r="C733" s="56"/>
      <c r="D733" s="56"/>
      <c r="E733" s="14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7"/>
      <c r="Q733" s="57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15.75" customHeight="1" x14ac:dyDescent="0.3">
      <c r="A734" s="56"/>
      <c r="B734" s="56"/>
      <c r="C734" s="56"/>
      <c r="D734" s="56"/>
      <c r="E734" s="14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7"/>
      <c r="Q734" s="57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15.75" customHeight="1" x14ac:dyDescent="0.3">
      <c r="A735" s="56"/>
      <c r="B735" s="56"/>
      <c r="C735" s="56"/>
      <c r="D735" s="56"/>
      <c r="E735" s="14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7"/>
      <c r="Q735" s="57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15.75" customHeight="1" x14ac:dyDescent="0.3">
      <c r="A736" s="56"/>
      <c r="B736" s="56"/>
      <c r="C736" s="56"/>
      <c r="D736" s="56"/>
      <c r="E736" s="14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7"/>
      <c r="Q736" s="57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15.75" customHeight="1" x14ac:dyDescent="0.3">
      <c r="A737" s="56"/>
      <c r="B737" s="56"/>
      <c r="C737" s="56"/>
      <c r="D737" s="56"/>
      <c r="E737" s="14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7"/>
      <c r="Q737" s="57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15.75" customHeight="1" x14ac:dyDescent="0.3">
      <c r="A738" s="56"/>
      <c r="B738" s="56"/>
      <c r="C738" s="56"/>
      <c r="D738" s="56"/>
      <c r="E738" s="14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7"/>
      <c r="Q738" s="57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15.75" customHeight="1" x14ac:dyDescent="0.3">
      <c r="A739" s="56"/>
      <c r="B739" s="56"/>
      <c r="C739" s="56"/>
      <c r="D739" s="56"/>
      <c r="E739" s="14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7"/>
      <c r="Q739" s="57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15.75" customHeight="1" x14ac:dyDescent="0.3">
      <c r="A740" s="56"/>
      <c r="B740" s="56"/>
      <c r="C740" s="56"/>
      <c r="D740" s="56"/>
      <c r="E740" s="14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7"/>
      <c r="Q740" s="57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15.75" customHeight="1" x14ac:dyDescent="0.3">
      <c r="A741" s="56"/>
      <c r="B741" s="56"/>
      <c r="C741" s="56"/>
      <c r="D741" s="56"/>
      <c r="E741" s="14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7"/>
      <c r="Q741" s="57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15.75" customHeight="1" x14ac:dyDescent="0.3">
      <c r="A742" s="56"/>
      <c r="B742" s="56"/>
      <c r="C742" s="56"/>
      <c r="D742" s="56"/>
      <c r="E742" s="14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7"/>
      <c r="Q742" s="57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15.75" customHeight="1" x14ac:dyDescent="0.3">
      <c r="A743" s="56"/>
      <c r="B743" s="56"/>
      <c r="C743" s="56"/>
      <c r="D743" s="56"/>
      <c r="E743" s="14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7"/>
      <c r="Q743" s="57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15.75" customHeight="1" x14ac:dyDescent="0.3">
      <c r="A744" s="56"/>
      <c r="B744" s="56"/>
      <c r="C744" s="56"/>
      <c r="D744" s="56"/>
      <c r="E744" s="14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7"/>
      <c r="Q744" s="57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15.75" customHeight="1" x14ac:dyDescent="0.3">
      <c r="A745" s="56"/>
      <c r="B745" s="56"/>
      <c r="C745" s="56"/>
      <c r="D745" s="56"/>
      <c r="E745" s="14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7"/>
      <c r="Q745" s="57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15.75" customHeight="1" x14ac:dyDescent="0.3">
      <c r="A746" s="56"/>
      <c r="B746" s="56"/>
      <c r="C746" s="56"/>
      <c r="D746" s="56"/>
      <c r="E746" s="14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7"/>
      <c r="Q746" s="57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15.75" customHeight="1" x14ac:dyDescent="0.3">
      <c r="A747" s="56"/>
      <c r="B747" s="56"/>
      <c r="C747" s="56"/>
      <c r="D747" s="56"/>
      <c r="E747" s="14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7"/>
      <c r="Q747" s="57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15.75" customHeight="1" x14ac:dyDescent="0.3">
      <c r="A748" s="56"/>
      <c r="B748" s="56"/>
      <c r="C748" s="56"/>
      <c r="D748" s="56"/>
      <c r="E748" s="14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7"/>
      <c r="Q748" s="57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15.75" customHeight="1" x14ac:dyDescent="0.3">
      <c r="A749" s="56"/>
      <c r="B749" s="56"/>
      <c r="C749" s="56"/>
      <c r="D749" s="56"/>
      <c r="E749" s="14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7"/>
      <c r="Q749" s="57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15.75" customHeight="1" x14ac:dyDescent="0.3">
      <c r="A750" s="56"/>
      <c r="B750" s="56"/>
      <c r="C750" s="56"/>
      <c r="D750" s="56"/>
      <c r="E750" s="14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7"/>
      <c r="Q750" s="57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15.75" customHeight="1" x14ac:dyDescent="0.3">
      <c r="A751" s="56"/>
      <c r="B751" s="56"/>
      <c r="C751" s="56"/>
      <c r="D751" s="56"/>
      <c r="E751" s="14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7"/>
      <c r="Q751" s="57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15.75" customHeight="1" x14ac:dyDescent="0.3">
      <c r="A752" s="56"/>
      <c r="B752" s="56"/>
      <c r="C752" s="56"/>
      <c r="D752" s="56"/>
      <c r="E752" s="14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7"/>
      <c r="Q752" s="57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15.75" customHeight="1" x14ac:dyDescent="0.3">
      <c r="A753" s="56"/>
      <c r="B753" s="56"/>
      <c r="C753" s="56"/>
      <c r="D753" s="56"/>
      <c r="E753" s="14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7"/>
      <c r="Q753" s="57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15.75" customHeight="1" x14ac:dyDescent="0.3">
      <c r="A754" s="56"/>
      <c r="B754" s="56"/>
      <c r="C754" s="56"/>
      <c r="D754" s="56"/>
      <c r="E754" s="14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7"/>
      <c r="Q754" s="57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15.75" customHeight="1" x14ac:dyDescent="0.3">
      <c r="A755" s="56"/>
      <c r="B755" s="56"/>
      <c r="C755" s="56"/>
      <c r="D755" s="56"/>
      <c r="E755" s="14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7"/>
      <c r="Q755" s="57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15.75" customHeight="1" x14ac:dyDescent="0.3">
      <c r="A756" s="56"/>
      <c r="B756" s="56"/>
      <c r="C756" s="56"/>
      <c r="D756" s="56"/>
      <c r="E756" s="14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7"/>
      <c r="Q756" s="57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15.75" customHeight="1" x14ac:dyDescent="0.3">
      <c r="A757" s="56"/>
      <c r="B757" s="56"/>
      <c r="C757" s="56"/>
      <c r="D757" s="56"/>
      <c r="E757" s="14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7"/>
      <c r="Q757" s="57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15.75" customHeight="1" x14ac:dyDescent="0.3">
      <c r="A758" s="56"/>
      <c r="B758" s="56"/>
      <c r="C758" s="56"/>
      <c r="D758" s="56"/>
      <c r="E758" s="14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7"/>
      <c r="Q758" s="57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15.75" customHeight="1" x14ac:dyDescent="0.3">
      <c r="A759" s="56"/>
      <c r="B759" s="56"/>
      <c r="C759" s="56"/>
      <c r="D759" s="56"/>
      <c r="E759" s="14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7"/>
      <c r="Q759" s="57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15.75" customHeight="1" x14ac:dyDescent="0.3">
      <c r="A760" s="56"/>
      <c r="B760" s="56"/>
      <c r="C760" s="56"/>
      <c r="D760" s="56"/>
      <c r="E760" s="14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7"/>
      <c r="Q760" s="57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15.75" customHeight="1" x14ac:dyDescent="0.3">
      <c r="A761" s="56"/>
      <c r="B761" s="56"/>
      <c r="C761" s="56"/>
      <c r="D761" s="56"/>
      <c r="E761" s="14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7"/>
      <c r="Q761" s="57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15.75" customHeight="1" x14ac:dyDescent="0.3">
      <c r="A762" s="56"/>
      <c r="B762" s="56"/>
      <c r="C762" s="56"/>
      <c r="D762" s="56"/>
      <c r="E762" s="14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7"/>
      <c r="Q762" s="57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15.75" customHeight="1" x14ac:dyDescent="0.3">
      <c r="A763" s="56"/>
      <c r="B763" s="56"/>
      <c r="C763" s="56"/>
      <c r="D763" s="56"/>
      <c r="E763" s="14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7"/>
      <c r="Q763" s="57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15.75" customHeight="1" x14ac:dyDescent="0.3">
      <c r="A764" s="56"/>
      <c r="B764" s="56"/>
      <c r="C764" s="56"/>
      <c r="D764" s="56"/>
      <c r="E764" s="14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7"/>
      <c r="Q764" s="57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15.75" customHeight="1" x14ac:dyDescent="0.3">
      <c r="A765" s="56"/>
      <c r="B765" s="56"/>
      <c r="C765" s="56"/>
      <c r="D765" s="56"/>
      <c r="E765" s="14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7"/>
      <c r="Q765" s="57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15.75" customHeight="1" x14ac:dyDescent="0.3">
      <c r="A766" s="56"/>
      <c r="B766" s="56"/>
      <c r="C766" s="56"/>
      <c r="D766" s="56"/>
      <c r="E766" s="14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7"/>
      <c r="Q766" s="57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15.75" customHeight="1" x14ac:dyDescent="0.3">
      <c r="A767" s="56"/>
      <c r="B767" s="56"/>
      <c r="C767" s="56"/>
      <c r="D767" s="56"/>
      <c r="E767" s="14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7"/>
      <c r="Q767" s="57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15.75" customHeight="1" x14ac:dyDescent="0.3">
      <c r="A768" s="56"/>
      <c r="B768" s="56"/>
      <c r="C768" s="56"/>
      <c r="D768" s="56"/>
      <c r="E768" s="14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7"/>
      <c r="Q768" s="57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15.75" customHeight="1" x14ac:dyDescent="0.3">
      <c r="A769" s="56"/>
      <c r="B769" s="56"/>
      <c r="C769" s="56"/>
      <c r="D769" s="56"/>
      <c r="E769" s="14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7"/>
      <c r="Q769" s="57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15.75" customHeight="1" x14ac:dyDescent="0.3">
      <c r="A770" s="56"/>
      <c r="B770" s="56"/>
      <c r="C770" s="56"/>
      <c r="D770" s="56"/>
      <c r="E770" s="14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7"/>
      <c r="Q770" s="57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15.75" customHeight="1" x14ac:dyDescent="0.3">
      <c r="A771" s="56"/>
      <c r="B771" s="56"/>
      <c r="C771" s="56"/>
      <c r="D771" s="56"/>
      <c r="E771" s="14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7"/>
      <c r="Q771" s="57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15.75" customHeight="1" x14ac:dyDescent="0.3">
      <c r="A772" s="56"/>
      <c r="B772" s="56"/>
      <c r="C772" s="56"/>
      <c r="D772" s="56"/>
      <c r="E772" s="14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7"/>
      <c r="Q772" s="57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15.75" customHeight="1" x14ac:dyDescent="0.3">
      <c r="A773" s="56"/>
      <c r="B773" s="56"/>
      <c r="C773" s="56"/>
      <c r="D773" s="56"/>
      <c r="E773" s="14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7"/>
      <c r="Q773" s="57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15.75" customHeight="1" x14ac:dyDescent="0.3">
      <c r="A774" s="56"/>
      <c r="B774" s="56"/>
      <c r="C774" s="56"/>
      <c r="D774" s="56"/>
      <c r="E774" s="14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7"/>
      <c r="Q774" s="57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15.75" customHeight="1" x14ac:dyDescent="0.3">
      <c r="A775" s="56"/>
      <c r="B775" s="56"/>
      <c r="C775" s="56"/>
      <c r="D775" s="56"/>
      <c r="E775" s="14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7"/>
      <c r="Q775" s="57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15.75" customHeight="1" x14ac:dyDescent="0.3">
      <c r="A776" s="56"/>
      <c r="B776" s="56"/>
      <c r="C776" s="56"/>
      <c r="D776" s="56"/>
      <c r="E776" s="14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7"/>
      <c r="Q776" s="57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15.75" customHeight="1" x14ac:dyDescent="0.3">
      <c r="A777" s="56"/>
      <c r="B777" s="56"/>
      <c r="C777" s="56"/>
      <c r="D777" s="56"/>
      <c r="E777" s="14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7"/>
      <c r="Q777" s="57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15.75" customHeight="1" x14ac:dyDescent="0.3">
      <c r="A778" s="56"/>
      <c r="B778" s="56"/>
      <c r="C778" s="56"/>
      <c r="D778" s="56"/>
      <c r="E778" s="14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7"/>
      <c r="Q778" s="57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15.75" customHeight="1" x14ac:dyDescent="0.3">
      <c r="A779" s="56"/>
      <c r="B779" s="56"/>
      <c r="C779" s="56"/>
      <c r="D779" s="56"/>
      <c r="E779" s="14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7"/>
      <c r="Q779" s="57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15.75" customHeight="1" x14ac:dyDescent="0.3">
      <c r="A780" s="56"/>
      <c r="B780" s="56"/>
      <c r="C780" s="56"/>
      <c r="D780" s="56"/>
      <c r="E780" s="14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7"/>
      <c r="Q780" s="57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15.75" customHeight="1" x14ac:dyDescent="0.3">
      <c r="A781" s="56"/>
      <c r="B781" s="56"/>
      <c r="C781" s="56"/>
      <c r="D781" s="56"/>
      <c r="E781" s="14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7"/>
      <c r="Q781" s="57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15.75" customHeight="1" x14ac:dyDescent="0.3">
      <c r="A782" s="56"/>
      <c r="B782" s="56"/>
      <c r="C782" s="56"/>
      <c r="D782" s="56"/>
      <c r="E782" s="14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7"/>
      <c r="Q782" s="57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15.75" customHeight="1" x14ac:dyDescent="0.3">
      <c r="A783" s="56"/>
      <c r="B783" s="56"/>
      <c r="C783" s="56"/>
      <c r="D783" s="56"/>
      <c r="E783" s="14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7"/>
      <c r="Q783" s="57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15.75" customHeight="1" x14ac:dyDescent="0.3">
      <c r="A784" s="56"/>
      <c r="B784" s="56"/>
      <c r="C784" s="56"/>
      <c r="D784" s="56"/>
      <c r="E784" s="14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7"/>
      <c r="Q784" s="57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15.75" customHeight="1" x14ac:dyDescent="0.3">
      <c r="A785" s="56"/>
      <c r="B785" s="56"/>
      <c r="C785" s="56"/>
      <c r="D785" s="56"/>
      <c r="E785" s="14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7"/>
      <c r="Q785" s="57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15.75" customHeight="1" x14ac:dyDescent="0.3">
      <c r="A786" s="56"/>
      <c r="B786" s="56"/>
      <c r="C786" s="56"/>
      <c r="D786" s="56"/>
      <c r="E786" s="14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7"/>
      <c r="Q786" s="57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15.75" customHeight="1" x14ac:dyDescent="0.3">
      <c r="A787" s="56"/>
      <c r="B787" s="56"/>
      <c r="C787" s="56"/>
      <c r="D787" s="56"/>
      <c r="E787" s="14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7"/>
      <c r="Q787" s="57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15.75" customHeight="1" x14ac:dyDescent="0.3">
      <c r="A788" s="56"/>
      <c r="B788" s="56"/>
      <c r="C788" s="56"/>
      <c r="D788" s="56"/>
      <c r="E788" s="14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7"/>
      <c r="Q788" s="57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15.75" customHeight="1" x14ac:dyDescent="0.3">
      <c r="A789" s="56"/>
      <c r="B789" s="56"/>
      <c r="C789" s="56"/>
      <c r="D789" s="56"/>
      <c r="E789" s="14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7"/>
      <c r="Q789" s="57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15.75" customHeight="1" x14ac:dyDescent="0.3">
      <c r="A790" s="56"/>
      <c r="B790" s="56"/>
      <c r="C790" s="56"/>
      <c r="D790" s="56"/>
      <c r="E790" s="14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7"/>
      <c r="Q790" s="57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15.75" customHeight="1" x14ac:dyDescent="0.3">
      <c r="A791" s="56"/>
      <c r="B791" s="56"/>
      <c r="C791" s="56"/>
      <c r="D791" s="56"/>
      <c r="E791" s="14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7"/>
      <c r="Q791" s="57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15.75" customHeight="1" x14ac:dyDescent="0.3">
      <c r="A792" s="56"/>
      <c r="B792" s="56"/>
      <c r="C792" s="56"/>
      <c r="D792" s="56"/>
      <c r="E792" s="14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7"/>
      <c r="Q792" s="57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15.75" customHeight="1" x14ac:dyDescent="0.3">
      <c r="A793" s="56"/>
      <c r="B793" s="56"/>
      <c r="C793" s="56"/>
      <c r="D793" s="56"/>
      <c r="E793" s="14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7"/>
      <c r="Q793" s="57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15.75" customHeight="1" x14ac:dyDescent="0.3">
      <c r="A794" s="56"/>
      <c r="B794" s="56"/>
      <c r="C794" s="56"/>
      <c r="D794" s="56"/>
      <c r="E794" s="14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7"/>
      <c r="Q794" s="57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15.75" customHeight="1" x14ac:dyDescent="0.3">
      <c r="A795" s="56"/>
      <c r="B795" s="56"/>
      <c r="C795" s="56"/>
      <c r="D795" s="56"/>
      <c r="E795" s="14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7"/>
      <c r="Q795" s="57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15.75" customHeight="1" x14ac:dyDescent="0.3">
      <c r="A796" s="56"/>
      <c r="B796" s="56"/>
      <c r="C796" s="56"/>
      <c r="D796" s="56"/>
      <c r="E796" s="14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7"/>
      <c r="Q796" s="57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15.75" customHeight="1" x14ac:dyDescent="0.3">
      <c r="A797" s="56"/>
      <c r="B797" s="56"/>
      <c r="C797" s="56"/>
      <c r="D797" s="56"/>
      <c r="E797" s="14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7"/>
      <c r="Q797" s="57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15.75" customHeight="1" x14ac:dyDescent="0.3">
      <c r="A798" s="56"/>
      <c r="B798" s="56"/>
      <c r="C798" s="56"/>
      <c r="D798" s="56"/>
      <c r="E798" s="14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7"/>
      <c r="Q798" s="57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15.75" customHeight="1" x14ac:dyDescent="0.3">
      <c r="A799" s="56"/>
      <c r="B799" s="56"/>
      <c r="C799" s="56"/>
      <c r="D799" s="56"/>
      <c r="E799" s="14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7"/>
      <c r="Q799" s="57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15.75" customHeight="1" x14ac:dyDescent="0.3">
      <c r="A800" s="56"/>
      <c r="B800" s="56"/>
      <c r="C800" s="56"/>
      <c r="D800" s="56"/>
      <c r="E800" s="14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7"/>
      <c r="Q800" s="57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15.75" customHeight="1" x14ac:dyDescent="0.3">
      <c r="A801" s="56"/>
      <c r="B801" s="56"/>
      <c r="C801" s="56"/>
      <c r="D801" s="56"/>
      <c r="E801" s="14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7"/>
      <c r="Q801" s="57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15.75" customHeight="1" x14ac:dyDescent="0.3">
      <c r="A802" s="56"/>
      <c r="B802" s="56"/>
      <c r="C802" s="56"/>
      <c r="D802" s="56"/>
      <c r="E802" s="14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7"/>
      <c r="Q802" s="57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15.75" customHeight="1" x14ac:dyDescent="0.3">
      <c r="A803" s="56"/>
      <c r="B803" s="56"/>
      <c r="C803" s="56"/>
      <c r="D803" s="56"/>
      <c r="E803" s="14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7"/>
      <c r="Q803" s="57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15.75" customHeight="1" x14ac:dyDescent="0.3">
      <c r="A804" s="56"/>
      <c r="B804" s="56"/>
      <c r="C804" s="56"/>
      <c r="D804" s="56"/>
      <c r="E804" s="14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7"/>
      <c r="Q804" s="57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15.75" customHeight="1" x14ac:dyDescent="0.3">
      <c r="A805" s="56"/>
      <c r="B805" s="56"/>
      <c r="C805" s="56"/>
      <c r="D805" s="56"/>
      <c r="E805" s="14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7"/>
      <c r="Q805" s="57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15.75" customHeight="1" x14ac:dyDescent="0.3">
      <c r="A806" s="56"/>
      <c r="B806" s="56"/>
      <c r="C806" s="56"/>
      <c r="D806" s="56"/>
      <c r="E806" s="14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7"/>
      <c r="Q806" s="57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15.75" customHeight="1" x14ac:dyDescent="0.3">
      <c r="A807" s="56"/>
      <c r="B807" s="56"/>
      <c r="C807" s="56"/>
      <c r="D807" s="56"/>
      <c r="E807" s="14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7"/>
      <c r="Q807" s="57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15.75" customHeight="1" x14ac:dyDescent="0.3">
      <c r="A808" s="56"/>
      <c r="B808" s="56"/>
      <c r="C808" s="56"/>
      <c r="D808" s="56"/>
      <c r="E808" s="14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7"/>
      <c r="Q808" s="57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15.75" customHeight="1" x14ac:dyDescent="0.3">
      <c r="A809" s="56"/>
      <c r="B809" s="56"/>
      <c r="C809" s="56"/>
      <c r="D809" s="56"/>
      <c r="E809" s="14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7"/>
      <c r="Q809" s="57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15.75" customHeight="1" x14ac:dyDescent="0.3">
      <c r="A810" s="56"/>
      <c r="B810" s="56"/>
      <c r="C810" s="56"/>
      <c r="D810" s="56"/>
      <c r="E810" s="14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7"/>
      <c r="Q810" s="57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15.75" customHeight="1" x14ac:dyDescent="0.3">
      <c r="A811" s="56"/>
      <c r="B811" s="56"/>
      <c r="C811" s="56"/>
      <c r="D811" s="56"/>
      <c r="E811" s="14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7"/>
      <c r="Q811" s="57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15.75" customHeight="1" x14ac:dyDescent="0.3">
      <c r="A812" s="56"/>
      <c r="B812" s="56"/>
      <c r="C812" s="56"/>
      <c r="D812" s="56"/>
      <c r="E812" s="14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7"/>
      <c r="Q812" s="57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15.75" customHeight="1" x14ac:dyDescent="0.3">
      <c r="A813" s="56"/>
      <c r="B813" s="56"/>
      <c r="C813" s="56"/>
      <c r="D813" s="56"/>
      <c r="E813" s="14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7"/>
      <c r="Q813" s="57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15.75" customHeight="1" x14ac:dyDescent="0.3">
      <c r="A814" s="56"/>
      <c r="B814" s="56"/>
      <c r="C814" s="56"/>
      <c r="D814" s="56"/>
      <c r="E814" s="14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7"/>
      <c r="Q814" s="57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15.75" customHeight="1" x14ac:dyDescent="0.3">
      <c r="A815" s="56"/>
      <c r="B815" s="56"/>
      <c r="C815" s="56"/>
      <c r="D815" s="56"/>
      <c r="E815" s="14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7"/>
      <c r="Q815" s="57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15.75" customHeight="1" x14ac:dyDescent="0.3">
      <c r="A816" s="56"/>
      <c r="B816" s="56"/>
      <c r="C816" s="56"/>
      <c r="D816" s="56"/>
      <c r="E816" s="14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7"/>
      <c r="Q816" s="57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15.75" customHeight="1" x14ac:dyDescent="0.3">
      <c r="A817" s="56"/>
      <c r="B817" s="56"/>
      <c r="C817" s="56"/>
      <c r="D817" s="56"/>
      <c r="E817" s="14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7"/>
      <c r="Q817" s="57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15.75" customHeight="1" x14ac:dyDescent="0.3">
      <c r="A818" s="56"/>
      <c r="B818" s="56"/>
      <c r="C818" s="56"/>
      <c r="D818" s="56"/>
      <c r="E818" s="14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7"/>
      <c r="Q818" s="57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15.75" customHeight="1" x14ac:dyDescent="0.3">
      <c r="A819" s="56"/>
      <c r="B819" s="56"/>
      <c r="C819" s="56"/>
      <c r="D819" s="56"/>
      <c r="E819" s="14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7"/>
      <c r="Q819" s="57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15.75" customHeight="1" x14ac:dyDescent="0.3">
      <c r="A820" s="56"/>
      <c r="B820" s="56"/>
      <c r="C820" s="56"/>
      <c r="D820" s="56"/>
      <c r="E820" s="14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7"/>
      <c r="Q820" s="57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15.75" customHeight="1" x14ac:dyDescent="0.3">
      <c r="A821" s="56"/>
      <c r="B821" s="56"/>
      <c r="C821" s="56"/>
      <c r="D821" s="56"/>
      <c r="E821" s="14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7"/>
      <c r="Q821" s="57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15.75" customHeight="1" x14ac:dyDescent="0.3">
      <c r="A822" s="56"/>
      <c r="B822" s="56"/>
      <c r="C822" s="56"/>
      <c r="D822" s="56"/>
      <c r="E822" s="14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7"/>
      <c r="Q822" s="57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15.75" customHeight="1" x14ac:dyDescent="0.3">
      <c r="A823" s="56"/>
      <c r="B823" s="56"/>
      <c r="C823" s="56"/>
      <c r="D823" s="56"/>
      <c r="E823" s="14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7"/>
      <c r="Q823" s="57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15.75" customHeight="1" x14ac:dyDescent="0.3">
      <c r="A824" s="56"/>
      <c r="B824" s="56"/>
      <c r="C824" s="56"/>
      <c r="D824" s="56"/>
      <c r="E824" s="14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7"/>
      <c r="Q824" s="57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15.75" customHeight="1" x14ac:dyDescent="0.3">
      <c r="A825" s="56"/>
      <c r="B825" s="56"/>
      <c r="C825" s="56"/>
      <c r="D825" s="56"/>
      <c r="E825" s="14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7"/>
      <c r="Q825" s="57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15.75" customHeight="1" x14ac:dyDescent="0.3">
      <c r="A826" s="56"/>
      <c r="B826" s="56"/>
      <c r="C826" s="56"/>
      <c r="D826" s="56"/>
      <c r="E826" s="14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7"/>
      <c r="Q826" s="57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15.75" customHeight="1" x14ac:dyDescent="0.3">
      <c r="A827" s="56"/>
      <c r="B827" s="56"/>
      <c r="C827" s="56"/>
      <c r="D827" s="56"/>
      <c r="E827" s="14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7"/>
      <c r="Q827" s="57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15.75" customHeight="1" x14ac:dyDescent="0.3">
      <c r="A828" s="56"/>
      <c r="B828" s="56"/>
      <c r="C828" s="56"/>
      <c r="D828" s="56"/>
      <c r="E828" s="14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7"/>
      <c r="Q828" s="57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15.75" customHeight="1" x14ac:dyDescent="0.3">
      <c r="A829" s="56"/>
      <c r="B829" s="56"/>
      <c r="C829" s="56"/>
      <c r="D829" s="56"/>
      <c r="E829" s="14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7"/>
      <c r="Q829" s="57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15.75" customHeight="1" x14ac:dyDescent="0.3">
      <c r="A830" s="56"/>
      <c r="B830" s="56"/>
      <c r="C830" s="56"/>
      <c r="D830" s="56"/>
      <c r="E830" s="14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7"/>
      <c r="Q830" s="57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15.75" customHeight="1" x14ac:dyDescent="0.3">
      <c r="A831" s="56"/>
      <c r="B831" s="56"/>
      <c r="C831" s="56"/>
      <c r="D831" s="56"/>
      <c r="E831" s="14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7"/>
      <c r="Q831" s="57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15.75" customHeight="1" x14ac:dyDescent="0.3">
      <c r="A832" s="56"/>
      <c r="B832" s="56"/>
      <c r="C832" s="56"/>
      <c r="D832" s="56"/>
      <c r="E832" s="14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7"/>
      <c r="Q832" s="57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15.75" customHeight="1" x14ac:dyDescent="0.3">
      <c r="A833" s="56"/>
      <c r="B833" s="56"/>
      <c r="C833" s="56"/>
      <c r="D833" s="56"/>
      <c r="E833" s="14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7"/>
      <c r="Q833" s="57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15.75" customHeight="1" x14ac:dyDescent="0.3">
      <c r="A834" s="56"/>
      <c r="B834" s="56"/>
      <c r="C834" s="56"/>
      <c r="D834" s="56"/>
      <c r="E834" s="14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7"/>
      <c r="Q834" s="57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15.75" customHeight="1" x14ac:dyDescent="0.3">
      <c r="A835" s="56"/>
      <c r="B835" s="56"/>
      <c r="C835" s="56"/>
      <c r="D835" s="56"/>
      <c r="E835" s="14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7"/>
      <c r="Q835" s="57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15.75" customHeight="1" x14ac:dyDescent="0.3">
      <c r="A836" s="56"/>
      <c r="B836" s="56"/>
      <c r="C836" s="56"/>
      <c r="D836" s="56"/>
      <c r="E836" s="14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7"/>
      <c r="Q836" s="57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15.75" customHeight="1" x14ac:dyDescent="0.3">
      <c r="A837" s="56"/>
      <c r="B837" s="56"/>
      <c r="C837" s="56"/>
      <c r="D837" s="56"/>
      <c r="E837" s="14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7"/>
      <c r="Q837" s="57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15.75" customHeight="1" x14ac:dyDescent="0.3">
      <c r="A838" s="56"/>
      <c r="B838" s="56"/>
      <c r="C838" s="56"/>
      <c r="D838" s="56"/>
      <c r="E838" s="14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7"/>
      <c r="Q838" s="57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15.75" customHeight="1" x14ac:dyDescent="0.3">
      <c r="A839" s="56"/>
      <c r="B839" s="56"/>
      <c r="C839" s="56"/>
      <c r="D839" s="56"/>
      <c r="E839" s="14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7"/>
      <c r="Q839" s="57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15.75" customHeight="1" x14ac:dyDescent="0.3">
      <c r="A840" s="56"/>
      <c r="B840" s="56"/>
      <c r="C840" s="56"/>
      <c r="D840" s="56"/>
      <c r="E840" s="14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7"/>
      <c r="Q840" s="57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15.75" customHeight="1" x14ac:dyDescent="0.3">
      <c r="A841" s="56"/>
      <c r="B841" s="56"/>
      <c r="C841" s="56"/>
      <c r="D841" s="56"/>
      <c r="E841" s="14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7"/>
      <c r="Q841" s="57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15.75" customHeight="1" x14ac:dyDescent="0.3">
      <c r="A842" s="56"/>
      <c r="B842" s="56"/>
      <c r="C842" s="56"/>
      <c r="D842" s="56"/>
      <c r="E842" s="14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7"/>
      <c r="Q842" s="57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15.75" customHeight="1" x14ac:dyDescent="0.3">
      <c r="A843" s="56"/>
      <c r="B843" s="56"/>
      <c r="C843" s="56"/>
      <c r="D843" s="56"/>
      <c r="E843" s="14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7"/>
      <c r="Q843" s="57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15.75" customHeight="1" x14ac:dyDescent="0.3">
      <c r="A844" s="56"/>
      <c r="B844" s="56"/>
      <c r="C844" s="56"/>
      <c r="D844" s="56"/>
      <c r="E844" s="14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7"/>
      <c r="Q844" s="57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15.75" customHeight="1" x14ac:dyDescent="0.3">
      <c r="A845" s="56"/>
      <c r="B845" s="56"/>
      <c r="C845" s="56"/>
      <c r="D845" s="56"/>
      <c r="E845" s="14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7"/>
      <c r="Q845" s="57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15.75" customHeight="1" x14ac:dyDescent="0.3">
      <c r="A846" s="56"/>
      <c r="B846" s="56"/>
      <c r="C846" s="56"/>
      <c r="D846" s="56"/>
      <c r="E846" s="14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7"/>
      <c r="Q846" s="57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15.75" customHeight="1" x14ac:dyDescent="0.3">
      <c r="A847" s="56"/>
      <c r="B847" s="56"/>
      <c r="C847" s="56"/>
      <c r="D847" s="56"/>
      <c r="E847" s="14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7"/>
      <c r="Q847" s="57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15.75" customHeight="1" x14ac:dyDescent="0.3">
      <c r="A848" s="56"/>
      <c r="B848" s="56"/>
      <c r="C848" s="56"/>
      <c r="D848" s="56"/>
      <c r="E848" s="14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7"/>
      <c r="Q848" s="57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15.75" customHeight="1" x14ac:dyDescent="0.3">
      <c r="A849" s="56"/>
      <c r="B849" s="56"/>
      <c r="C849" s="56"/>
      <c r="D849" s="56"/>
      <c r="E849" s="14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7"/>
      <c r="Q849" s="57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15.75" customHeight="1" x14ac:dyDescent="0.3">
      <c r="A850" s="56"/>
      <c r="B850" s="56"/>
      <c r="C850" s="56"/>
      <c r="D850" s="56"/>
      <c r="E850" s="14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7"/>
      <c r="Q850" s="57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15.75" customHeight="1" x14ac:dyDescent="0.3">
      <c r="A851" s="56"/>
      <c r="B851" s="56"/>
      <c r="C851" s="56"/>
      <c r="D851" s="56"/>
      <c r="E851" s="14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7"/>
      <c r="Q851" s="57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15.75" customHeight="1" x14ac:dyDescent="0.3">
      <c r="A852" s="56"/>
      <c r="B852" s="56"/>
      <c r="C852" s="56"/>
      <c r="D852" s="56"/>
      <c r="E852" s="14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7"/>
      <c r="Q852" s="57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15.75" customHeight="1" x14ac:dyDescent="0.3">
      <c r="A853" s="56"/>
      <c r="B853" s="56"/>
      <c r="C853" s="56"/>
      <c r="D853" s="56"/>
      <c r="E853" s="14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7"/>
      <c r="Q853" s="57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15.75" customHeight="1" x14ac:dyDescent="0.3">
      <c r="A854" s="56"/>
      <c r="B854" s="56"/>
      <c r="C854" s="56"/>
      <c r="D854" s="56"/>
      <c r="E854" s="14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7"/>
      <c r="Q854" s="57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15.75" customHeight="1" x14ac:dyDescent="0.3">
      <c r="A855" s="56"/>
      <c r="B855" s="56"/>
      <c r="C855" s="56"/>
      <c r="D855" s="56"/>
      <c r="E855" s="14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7"/>
      <c r="Q855" s="57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15.75" customHeight="1" x14ac:dyDescent="0.3">
      <c r="A856" s="56"/>
      <c r="B856" s="56"/>
      <c r="C856" s="56"/>
      <c r="D856" s="56"/>
      <c r="E856" s="14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7"/>
      <c r="Q856" s="57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15.75" customHeight="1" x14ac:dyDescent="0.3">
      <c r="A857" s="56"/>
      <c r="B857" s="56"/>
      <c r="C857" s="56"/>
      <c r="D857" s="56"/>
      <c r="E857" s="14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7"/>
      <c r="Q857" s="57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15.75" customHeight="1" x14ac:dyDescent="0.3">
      <c r="A858" s="56"/>
      <c r="B858" s="56"/>
      <c r="C858" s="56"/>
      <c r="D858" s="56"/>
      <c r="E858" s="14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7"/>
      <c r="Q858" s="57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15.75" customHeight="1" x14ac:dyDescent="0.3">
      <c r="A859" s="56"/>
      <c r="B859" s="56"/>
      <c r="C859" s="56"/>
      <c r="D859" s="56"/>
      <c r="E859" s="14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7"/>
      <c r="Q859" s="57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15.75" customHeight="1" x14ac:dyDescent="0.3">
      <c r="A860" s="56"/>
      <c r="B860" s="56"/>
      <c r="C860" s="56"/>
      <c r="D860" s="56"/>
      <c r="E860" s="14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7"/>
      <c r="Q860" s="57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15.75" customHeight="1" x14ac:dyDescent="0.3">
      <c r="A861" s="56"/>
      <c r="B861" s="56"/>
      <c r="C861" s="56"/>
      <c r="D861" s="56"/>
      <c r="E861" s="14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7"/>
      <c r="Q861" s="57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15.75" customHeight="1" x14ac:dyDescent="0.3">
      <c r="A862" s="56"/>
      <c r="B862" s="56"/>
      <c r="C862" s="56"/>
      <c r="D862" s="56"/>
      <c r="E862" s="14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7"/>
      <c r="Q862" s="57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15.75" customHeight="1" x14ac:dyDescent="0.3">
      <c r="A863" s="56"/>
      <c r="B863" s="56"/>
      <c r="C863" s="56"/>
      <c r="D863" s="56"/>
      <c r="E863" s="14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7"/>
      <c r="Q863" s="57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15.75" customHeight="1" x14ac:dyDescent="0.3">
      <c r="A864" s="56"/>
      <c r="B864" s="56"/>
      <c r="C864" s="56"/>
      <c r="D864" s="56"/>
      <c r="E864" s="14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7"/>
      <c r="Q864" s="57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15.75" customHeight="1" x14ac:dyDescent="0.3">
      <c r="A865" s="56"/>
      <c r="B865" s="56"/>
      <c r="C865" s="56"/>
      <c r="D865" s="56"/>
      <c r="E865" s="14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7"/>
      <c r="Q865" s="57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15.75" customHeight="1" x14ac:dyDescent="0.3">
      <c r="A866" s="56"/>
      <c r="B866" s="56"/>
      <c r="C866" s="56"/>
      <c r="D866" s="56"/>
      <c r="E866" s="14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7"/>
      <c r="Q866" s="57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15.75" customHeight="1" x14ac:dyDescent="0.3">
      <c r="A867" s="56"/>
      <c r="B867" s="56"/>
      <c r="C867" s="56"/>
      <c r="D867" s="56"/>
      <c r="E867" s="14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7"/>
      <c r="Q867" s="57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15.75" customHeight="1" x14ac:dyDescent="0.3">
      <c r="A868" s="56"/>
      <c r="B868" s="56"/>
      <c r="C868" s="56"/>
      <c r="D868" s="56"/>
      <c r="E868" s="14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7"/>
      <c r="Q868" s="57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15.75" customHeight="1" x14ac:dyDescent="0.3">
      <c r="A869" s="56"/>
      <c r="B869" s="56"/>
      <c r="C869" s="56"/>
      <c r="D869" s="56"/>
      <c r="E869" s="14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7"/>
      <c r="Q869" s="57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15.75" customHeight="1" x14ac:dyDescent="0.3">
      <c r="A870" s="56"/>
      <c r="B870" s="56"/>
      <c r="C870" s="56"/>
      <c r="D870" s="56"/>
      <c r="E870" s="14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7"/>
      <c r="Q870" s="57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15.75" customHeight="1" x14ac:dyDescent="0.3">
      <c r="A871" s="56"/>
      <c r="B871" s="56"/>
      <c r="C871" s="56"/>
      <c r="D871" s="56"/>
      <c r="E871" s="14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7"/>
      <c r="Q871" s="57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15.75" customHeight="1" x14ac:dyDescent="0.3">
      <c r="A872" s="56"/>
      <c r="B872" s="56"/>
      <c r="C872" s="56"/>
      <c r="D872" s="56"/>
      <c r="E872" s="14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7"/>
      <c r="Q872" s="57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15.75" customHeight="1" x14ac:dyDescent="0.3">
      <c r="A873" s="56"/>
      <c r="B873" s="56"/>
      <c r="C873" s="56"/>
      <c r="D873" s="56"/>
      <c r="E873" s="14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7"/>
      <c r="Q873" s="57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15.75" customHeight="1" x14ac:dyDescent="0.3">
      <c r="A874" s="56"/>
      <c r="B874" s="56"/>
      <c r="C874" s="56"/>
      <c r="D874" s="56"/>
      <c r="E874" s="14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7"/>
      <c r="Q874" s="57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15.75" customHeight="1" x14ac:dyDescent="0.3">
      <c r="A875" s="56"/>
      <c r="B875" s="56"/>
      <c r="C875" s="56"/>
      <c r="D875" s="56"/>
      <c r="E875" s="14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7"/>
      <c r="Q875" s="57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15.75" customHeight="1" x14ac:dyDescent="0.3">
      <c r="A876" s="56"/>
      <c r="B876" s="56"/>
      <c r="C876" s="56"/>
      <c r="D876" s="56"/>
      <c r="E876" s="14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7"/>
      <c r="Q876" s="57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15.75" customHeight="1" x14ac:dyDescent="0.3">
      <c r="A877" s="56"/>
      <c r="B877" s="56"/>
      <c r="C877" s="56"/>
      <c r="D877" s="56"/>
      <c r="E877" s="14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7"/>
      <c r="Q877" s="57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15.75" customHeight="1" x14ac:dyDescent="0.3">
      <c r="A878" s="56"/>
      <c r="B878" s="56"/>
      <c r="C878" s="56"/>
      <c r="D878" s="56"/>
      <c r="E878" s="14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7"/>
      <c r="Q878" s="57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15.75" customHeight="1" x14ac:dyDescent="0.3">
      <c r="A879" s="56"/>
      <c r="B879" s="56"/>
      <c r="C879" s="56"/>
      <c r="D879" s="56"/>
      <c r="E879" s="14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7"/>
      <c r="Q879" s="57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15.75" customHeight="1" x14ac:dyDescent="0.3">
      <c r="A880" s="56"/>
      <c r="B880" s="56"/>
      <c r="C880" s="56"/>
      <c r="D880" s="56"/>
      <c r="E880" s="14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7"/>
      <c r="Q880" s="57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15.75" customHeight="1" x14ac:dyDescent="0.3">
      <c r="A881" s="56"/>
      <c r="B881" s="56"/>
      <c r="C881" s="56"/>
      <c r="D881" s="56"/>
      <c r="E881" s="14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7"/>
      <c r="Q881" s="57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15.75" customHeight="1" x14ac:dyDescent="0.3">
      <c r="A882" s="56"/>
      <c r="B882" s="56"/>
      <c r="C882" s="56"/>
      <c r="D882" s="56"/>
      <c r="E882" s="14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7"/>
      <c r="Q882" s="57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15.75" customHeight="1" x14ac:dyDescent="0.3">
      <c r="A883" s="56"/>
      <c r="B883" s="56"/>
      <c r="C883" s="56"/>
      <c r="D883" s="56"/>
      <c r="E883" s="14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7"/>
      <c r="Q883" s="57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15.75" customHeight="1" x14ac:dyDescent="0.3">
      <c r="A884" s="56"/>
      <c r="B884" s="56"/>
      <c r="C884" s="56"/>
      <c r="D884" s="56"/>
      <c r="E884" s="14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7"/>
      <c r="Q884" s="57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15.75" customHeight="1" x14ac:dyDescent="0.3">
      <c r="A885" s="56"/>
      <c r="B885" s="56"/>
      <c r="C885" s="56"/>
      <c r="D885" s="56"/>
      <c r="E885" s="14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7"/>
      <c r="Q885" s="57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15.75" customHeight="1" x14ac:dyDescent="0.3">
      <c r="A886" s="56"/>
      <c r="B886" s="56"/>
      <c r="C886" s="56"/>
      <c r="D886" s="56"/>
      <c r="E886" s="14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7"/>
      <c r="Q886" s="57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15.75" customHeight="1" x14ac:dyDescent="0.3">
      <c r="A887" s="56"/>
      <c r="B887" s="56"/>
      <c r="C887" s="56"/>
      <c r="D887" s="56"/>
      <c r="E887" s="14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7"/>
      <c r="Q887" s="57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15.75" customHeight="1" x14ac:dyDescent="0.3">
      <c r="A888" s="56"/>
      <c r="B888" s="56"/>
      <c r="C888" s="56"/>
      <c r="D888" s="56"/>
      <c r="E888" s="14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7"/>
      <c r="Q888" s="57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15.75" customHeight="1" x14ac:dyDescent="0.3">
      <c r="A889" s="56"/>
      <c r="B889" s="56"/>
      <c r="C889" s="56"/>
      <c r="D889" s="56"/>
      <c r="E889" s="14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7"/>
      <c r="Q889" s="57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15.75" customHeight="1" x14ac:dyDescent="0.3">
      <c r="A890" s="56"/>
      <c r="B890" s="56"/>
      <c r="C890" s="56"/>
      <c r="D890" s="56"/>
      <c r="E890" s="14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7"/>
      <c r="Q890" s="57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15.75" customHeight="1" x14ac:dyDescent="0.3">
      <c r="A891" s="56"/>
      <c r="B891" s="56"/>
      <c r="C891" s="56"/>
      <c r="D891" s="56"/>
      <c r="E891" s="14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7"/>
      <c r="Q891" s="57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15.75" customHeight="1" x14ac:dyDescent="0.3">
      <c r="A892" s="56"/>
      <c r="B892" s="56"/>
      <c r="C892" s="56"/>
      <c r="D892" s="56"/>
      <c r="E892" s="14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7"/>
      <c r="Q892" s="57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15.75" customHeight="1" x14ac:dyDescent="0.3">
      <c r="A893" s="56"/>
      <c r="B893" s="56"/>
      <c r="C893" s="56"/>
      <c r="D893" s="56"/>
      <c r="E893" s="14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7"/>
      <c r="Q893" s="57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15.75" customHeight="1" x14ac:dyDescent="0.3">
      <c r="A894" s="56"/>
      <c r="B894" s="56"/>
      <c r="C894" s="56"/>
      <c r="D894" s="56"/>
      <c r="E894" s="14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7"/>
      <c r="Q894" s="57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15.75" customHeight="1" x14ac:dyDescent="0.3">
      <c r="A895" s="56"/>
      <c r="B895" s="56"/>
      <c r="C895" s="56"/>
      <c r="D895" s="56"/>
      <c r="E895" s="14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7"/>
      <c r="Q895" s="57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15.75" customHeight="1" x14ac:dyDescent="0.3">
      <c r="A896" s="56"/>
      <c r="B896" s="56"/>
      <c r="C896" s="56"/>
      <c r="D896" s="56"/>
      <c r="E896" s="14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7"/>
      <c r="Q896" s="57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15.75" customHeight="1" x14ac:dyDescent="0.3">
      <c r="A897" s="56"/>
      <c r="B897" s="56"/>
      <c r="C897" s="56"/>
      <c r="D897" s="56"/>
      <c r="E897" s="14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7"/>
      <c r="Q897" s="57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15.75" customHeight="1" x14ac:dyDescent="0.3">
      <c r="A898" s="56"/>
      <c r="B898" s="56"/>
      <c r="C898" s="56"/>
      <c r="D898" s="56"/>
      <c r="E898" s="14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7"/>
      <c r="Q898" s="57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15.75" customHeight="1" x14ac:dyDescent="0.3">
      <c r="A899" s="56"/>
      <c r="B899" s="56"/>
      <c r="C899" s="56"/>
      <c r="D899" s="56"/>
      <c r="E899" s="14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7"/>
      <c r="Q899" s="57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15.75" customHeight="1" x14ac:dyDescent="0.3">
      <c r="A900" s="56"/>
      <c r="B900" s="56"/>
      <c r="C900" s="56"/>
      <c r="D900" s="56"/>
      <c r="E900" s="14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7"/>
      <c r="Q900" s="57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15.75" customHeight="1" x14ac:dyDescent="0.3">
      <c r="A901" s="56"/>
      <c r="B901" s="56"/>
      <c r="C901" s="56"/>
      <c r="D901" s="56"/>
      <c r="E901" s="14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7"/>
      <c r="Q901" s="57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15.75" customHeight="1" x14ac:dyDescent="0.3">
      <c r="A902" s="56"/>
      <c r="B902" s="56"/>
      <c r="C902" s="56"/>
      <c r="D902" s="56"/>
      <c r="E902" s="14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7"/>
      <c r="Q902" s="57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15.75" customHeight="1" x14ac:dyDescent="0.3">
      <c r="A903" s="56"/>
      <c r="B903" s="56"/>
      <c r="C903" s="56"/>
      <c r="D903" s="56"/>
      <c r="E903" s="14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7"/>
      <c r="Q903" s="57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15.75" customHeight="1" x14ac:dyDescent="0.3">
      <c r="A904" s="56"/>
      <c r="B904" s="56"/>
      <c r="C904" s="56"/>
      <c r="D904" s="56"/>
      <c r="E904" s="14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7"/>
      <c r="Q904" s="57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15.75" customHeight="1" x14ac:dyDescent="0.3">
      <c r="A905" s="56"/>
      <c r="B905" s="56"/>
      <c r="C905" s="56"/>
      <c r="D905" s="56"/>
      <c r="E905" s="14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7"/>
      <c r="Q905" s="57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15.75" customHeight="1" x14ac:dyDescent="0.3">
      <c r="A906" s="56"/>
      <c r="B906" s="56"/>
      <c r="C906" s="56"/>
      <c r="D906" s="56"/>
      <c r="E906" s="14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7"/>
      <c r="Q906" s="57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15.75" customHeight="1" x14ac:dyDescent="0.3">
      <c r="A907" s="56"/>
      <c r="B907" s="56"/>
      <c r="C907" s="56"/>
      <c r="D907" s="56"/>
      <c r="E907" s="14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7"/>
      <c r="Q907" s="57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15.75" customHeight="1" x14ac:dyDescent="0.3">
      <c r="A908" s="56"/>
      <c r="B908" s="56"/>
      <c r="C908" s="56"/>
      <c r="D908" s="56"/>
      <c r="E908" s="14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7"/>
      <c r="Q908" s="57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15.75" customHeight="1" x14ac:dyDescent="0.3">
      <c r="A909" s="56"/>
      <c r="B909" s="56"/>
      <c r="C909" s="56"/>
      <c r="D909" s="56"/>
      <c r="E909" s="14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7"/>
      <c r="Q909" s="57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15.75" customHeight="1" x14ac:dyDescent="0.3">
      <c r="A910" s="56"/>
      <c r="B910" s="56"/>
      <c r="C910" s="56"/>
      <c r="D910" s="56"/>
      <c r="E910" s="14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7"/>
      <c r="Q910" s="57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15.75" customHeight="1" x14ac:dyDescent="0.3">
      <c r="A911" s="56"/>
      <c r="B911" s="56"/>
      <c r="C911" s="56"/>
      <c r="D911" s="56"/>
      <c r="E911" s="14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7"/>
      <c r="Q911" s="57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15.75" customHeight="1" x14ac:dyDescent="0.3">
      <c r="A912" s="56"/>
      <c r="B912" s="56"/>
      <c r="C912" s="56"/>
      <c r="D912" s="56"/>
      <c r="E912" s="14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7"/>
      <c r="Q912" s="57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15.75" customHeight="1" x14ac:dyDescent="0.3">
      <c r="A913" s="56"/>
      <c r="B913" s="56"/>
      <c r="C913" s="56"/>
      <c r="D913" s="56"/>
      <c r="E913" s="14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7"/>
      <c r="Q913" s="57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15.75" customHeight="1" x14ac:dyDescent="0.3">
      <c r="A914" s="56"/>
      <c r="B914" s="56"/>
      <c r="C914" s="56"/>
      <c r="D914" s="56"/>
      <c r="E914" s="14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7"/>
      <c r="Q914" s="57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15.75" customHeight="1" x14ac:dyDescent="0.3">
      <c r="A915" s="56"/>
      <c r="B915" s="56"/>
      <c r="C915" s="56"/>
      <c r="D915" s="56"/>
      <c r="E915" s="14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7"/>
      <c r="Q915" s="57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15.75" customHeight="1" x14ac:dyDescent="0.3">
      <c r="A916" s="56"/>
      <c r="B916" s="56"/>
      <c r="C916" s="56"/>
      <c r="D916" s="56"/>
      <c r="E916" s="14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7"/>
      <c r="Q916" s="57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15.75" customHeight="1" x14ac:dyDescent="0.3">
      <c r="A917" s="56"/>
      <c r="B917" s="56"/>
      <c r="C917" s="56"/>
      <c r="D917" s="56"/>
      <c r="E917" s="14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7"/>
      <c r="Q917" s="57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15.75" customHeight="1" x14ac:dyDescent="0.3">
      <c r="A918" s="56"/>
      <c r="B918" s="56"/>
      <c r="C918" s="56"/>
      <c r="D918" s="56"/>
      <c r="E918" s="14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7"/>
      <c r="Q918" s="57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15.75" customHeight="1" x14ac:dyDescent="0.3">
      <c r="A919" s="56"/>
      <c r="B919" s="56"/>
      <c r="C919" s="56"/>
      <c r="D919" s="56"/>
      <c r="E919" s="14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7"/>
      <c r="Q919" s="57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15.75" customHeight="1" x14ac:dyDescent="0.3">
      <c r="A920" s="56"/>
      <c r="B920" s="56"/>
      <c r="C920" s="56"/>
      <c r="D920" s="56"/>
      <c r="E920" s="14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7"/>
      <c r="Q920" s="57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15.75" customHeight="1" x14ac:dyDescent="0.3">
      <c r="A921" s="56"/>
      <c r="B921" s="56"/>
      <c r="C921" s="56"/>
      <c r="D921" s="56"/>
      <c r="E921" s="14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7"/>
      <c r="Q921" s="57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15.75" customHeight="1" x14ac:dyDescent="0.3">
      <c r="A922" s="56"/>
      <c r="B922" s="56"/>
      <c r="C922" s="56"/>
      <c r="D922" s="56"/>
      <c r="E922" s="14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7"/>
      <c r="Q922" s="57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15.75" customHeight="1" x14ac:dyDescent="0.3">
      <c r="A923" s="56"/>
      <c r="B923" s="56"/>
      <c r="C923" s="56"/>
      <c r="D923" s="56"/>
      <c r="E923" s="14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7"/>
      <c r="Q923" s="57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15.75" customHeight="1" x14ac:dyDescent="0.3">
      <c r="A924" s="56"/>
      <c r="B924" s="56"/>
      <c r="C924" s="56"/>
      <c r="D924" s="56"/>
      <c r="E924" s="14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7"/>
      <c r="Q924" s="57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15.75" customHeight="1" x14ac:dyDescent="0.3">
      <c r="A925" s="56"/>
      <c r="B925" s="56"/>
      <c r="C925" s="56"/>
      <c r="D925" s="56"/>
      <c r="E925" s="14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7"/>
      <c r="Q925" s="57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15.75" customHeight="1" x14ac:dyDescent="0.3">
      <c r="A926" s="56"/>
      <c r="B926" s="56"/>
      <c r="C926" s="56"/>
      <c r="D926" s="56"/>
      <c r="E926" s="14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7"/>
      <c r="Q926" s="57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15.75" customHeight="1" x14ac:dyDescent="0.3">
      <c r="A927" s="56"/>
      <c r="B927" s="56"/>
      <c r="C927" s="56"/>
      <c r="D927" s="56"/>
      <c r="E927" s="14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7"/>
      <c r="Q927" s="57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15.75" customHeight="1" x14ac:dyDescent="0.3">
      <c r="A928" s="56"/>
      <c r="B928" s="56"/>
      <c r="C928" s="56"/>
      <c r="D928" s="56"/>
      <c r="E928" s="14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7"/>
      <c r="Q928" s="57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15.75" customHeight="1" x14ac:dyDescent="0.3">
      <c r="A929" s="56"/>
      <c r="B929" s="56"/>
      <c r="C929" s="56"/>
      <c r="D929" s="56"/>
      <c r="E929" s="14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7"/>
      <c r="Q929" s="57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15.75" customHeight="1" x14ac:dyDescent="0.3">
      <c r="A930" s="56"/>
      <c r="B930" s="56"/>
      <c r="C930" s="56"/>
      <c r="D930" s="56"/>
      <c r="E930" s="14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7"/>
      <c r="Q930" s="57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15.75" customHeight="1" x14ac:dyDescent="0.3">
      <c r="A931" s="56"/>
      <c r="B931" s="56"/>
      <c r="C931" s="56"/>
      <c r="D931" s="56"/>
      <c r="E931" s="14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7"/>
      <c r="Q931" s="57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15.75" customHeight="1" x14ac:dyDescent="0.3">
      <c r="A932" s="56"/>
      <c r="B932" s="56"/>
      <c r="C932" s="56"/>
      <c r="D932" s="56"/>
      <c r="E932" s="14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7"/>
      <c r="Q932" s="57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15.75" customHeight="1" x14ac:dyDescent="0.3">
      <c r="A933" s="56"/>
      <c r="B933" s="56"/>
      <c r="C933" s="56"/>
      <c r="D933" s="56"/>
      <c r="E933" s="14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7"/>
      <c r="Q933" s="57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15.75" customHeight="1" x14ac:dyDescent="0.3">
      <c r="A934" s="56"/>
      <c r="B934" s="56"/>
      <c r="C934" s="56"/>
      <c r="D934" s="56"/>
      <c r="E934" s="14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7"/>
      <c r="Q934" s="57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15.75" customHeight="1" x14ac:dyDescent="0.3">
      <c r="A935" s="56"/>
      <c r="B935" s="56"/>
      <c r="C935" s="56"/>
      <c r="D935" s="56"/>
      <c r="E935" s="14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7"/>
      <c r="Q935" s="57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15.75" customHeight="1" x14ac:dyDescent="0.3">
      <c r="A936" s="56"/>
      <c r="B936" s="56"/>
      <c r="C936" s="56"/>
      <c r="D936" s="56"/>
      <c r="E936" s="14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7"/>
      <c r="Q936" s="57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15.75" customHeight="1" x14ac:dyDescent="0.3">
      <c r="A937" s="56"/>
      <c r="B937" s="56"/>
      <c r="C937" s="56"/>
      <c r="D937" s="56"/>
      <c r="E937" s="14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7"/>
      <c r="Q937" s="57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15.75" customHeight="1" x14ac:dyDescent="0.3">
      <c r="A938" s="56"/>
      <c r="B938" s="56"/>
      <c r="C938" s="56"/>
      <c r="D938" s="56"/>
      <c r="E938" s="14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7"/>
      <c r="Q938" s="57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15.75" customHeight="1" x14ac:dyDescent="0.3">
      <c r="A939" s="56"/>
      <c r="B939" s="56"/>
      <c r="C939" s="56"/>
      <c r="D939" s="56"/>
      <c r="E939" s="14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7"/>
      <c r="Q939" s="57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15.75" customHeight="1" x14ac:dyDescent="0.3">
      <c r="A940" s="56"/>
      <c r="B940" s="56"/>
      <c r="C940" s="56"/>
      <c r="D940" s="56"/>
      <c r="E940" s="14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7"/>
      <c r="Q940" s="57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15.75" customHeight="1" x14ac:dyDescent="0.3">
      <c r="A941" s="56"/>
      <c r="B941" s="56"/>
      <c r="C941" s="56"/>
      <c r="D941" s="56"/>
      <c r="E941" s="14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7"/>
      <c r="Q941" s="57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15.75" customHeight="1" x14ac:dyDescent="0.3">
      <c r="A942" s="56"/>
      <c r="B942" s="56"/>
      <c r="C942" s="56"/>
      <c r="D942" s="56"/>
      <c r="E942" s="14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7"/>
      <c r="Q942" s="57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15.75" customHeight="1" x14ac:dyDescent="0.3">
      <c r="A943" s="56"/>
      <c r="B943" s="56"/>
      <c r="C943" s="56"/>
      <c r="D943" s="56"/>
      <c r="E943" s="14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7"/>
      <c r="Q943" s="57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15.75" customHeight="1" x14ac:dyDescent="0.3">
      <c r="A944" s="56"/>
      <c r="B944" s="56"/>
      <c r="C944" s="56"/>
      <c r="D944" s="56"/>
      <c r="E944" s="14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7"/>
      <c r="Q944" s="57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15.75" customHeight="1" x14ac:dyDescent="0.3">
      <c r="A945" s="56"/>
      <c r="B945" s="56"/>
      <c r="C945" s="56"/>
      <c r="D945" s="56"/>
      <c r="E945" s="14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7"/>
      <c r="Q945" s="57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15.75" customHeight="1" x14ac:dyDescent="0.3">
      <c r="A946" s="56"/>
      <c r="B946" s="56"/>
      <c r="C946" s="56"/>
      <c r="D946" s="56"/>
      <c r="E946" s="14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7"/>
      <c r="Q946" s="57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15.75" customHeight="1" x14ac:dyDescent="0.3">
      <c r="A947" s="56"/>
      <c r="B947" s="56"/>
      <c r="C947" s="56"/>
      <c r="D947" s="56"/>
      <c r="E947" s="14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7"/>
      <c r="Q947" s="57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15.75" customHeight="1" x14ac:dyDescent="0.3">
      <c r="A948" s="56"/>
      <c r="B948" s="56"/>
      <c r="C948" s="56"/>
      <c r="D948" s="56"/>
      <c r="E948" s="14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7"/>
      <c r="Q948" s="57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15.75" customHeight="1" x14ac:dyDescent="0.3">
      <c r="A949" s="56"/>
      <c r="B949" s="56"/>
      <c r="C949" s="56"/>
      <c r="D949" s="56"/>
      <c r="E949" s="14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7"/>
      <c r="Q949" s="57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15.75" customHeight="1" x14ac:dyDescent="0.3">
      <c r="A950" s="56"/>
      <c r="B950" s="56"/>
      <c r="C950" s="56"/>
      <c r="D950" s="56"/>
      <c r="E950" s="14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7"/>
      <c r="Q950" s="57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15.75" customHeight="1" x14ac:dyDescent="0.3">
      <c r="A951" s="56"/>
      <c r="B951" s="56"/>
      <c r="C951" s="56"/>
      <c r="D951" s="56"/>
      <c r="E951" s="14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7"/>
      <c r="Q951" s="57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15.75" customHeight="1" x14ac:dyDescent="0.3">
      <c r="A952" s="56"/>
      <c r="B952" s="56"/>
      <c r="C952" s="56"/>
      <c r="D952" s="56"/>
      <c r="E952" s="14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7"/>
      <c r="Q952" s="57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15.75" customHeight="1" x14ac:dyDescent="0.3">
      <c r="A953" s="56"/>
      <c r="B953" s="56"/>
      <c r="C953" s="56"/>
      <c r="D953" s="56"/>
      <c r="E953" s="14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7"/>
      <c r="Q953" s="57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15.75" customHeight="1" x14ac:dyDescent="0.3">
      <c r="A954" s="56"/>
      <c r="B954" s="56"/>
      <c r="C954" s="56"/>
      <c r="D954" s="56"/>
      <c r="E954" s="14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7"/>
      <c r="Q954" s="57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15.75" customHeight="1" x14ac:dyDescent="0.3">
      <c r="A955" s="56"/>
      <c r="B955" s="56"/>
      <c r="C955" s="56"/>
      <c r="D955" s="56"/>
      <c r="E955" s="14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7"/>
      <c r="Q955" s="57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15.75" customHeight="1" x14ac:dyDescent="0.3">
      <c r="A956" s="56"/>
      <c r="B956" s="56"/>
      <c r="C956" s="56"/>
      <c r="D956" s="56"/>
      <c r="E956" s="14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7"/>
      <c r="Q956" s="57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15.75" customHeight="1" x14ac:dyDescent="0.3">
      <c r="A957" s="56"/>
      <c r="B957" s="56"/>
      <c r="C957" s="56"/>
      <c r="D957" s="56"/>
      <c r="E957" s="14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7"/>
      <c r="Q957" s="57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15.75" customHeight="1" x14ac:dyDescent="0.3">
      <c r="A958" s="56"/>
      <c r="B958" s="56"/>
      <c r="C958" s="56"/>
      <c r="D958" s="56"/>
      <c r="E958" s="14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7"/>
      <c r="Q958" s="57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15.75" customHeight="1" x14ac:dyDescent="0.3">
      <c r="A959" s="56"/>
      <c r="B959" s="56"/>
      <c r="C959" s="56"/>
      <c r="D959" s="56"/>
      <c r="E959" s="14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7"/>
      <c r="Q959" s="57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15.75" customHeight="1" x14ac:dyDescent="0.3">
      <c r="A960" s="56"/>
      <c r="B960" s="56"/>
      <c r="C960" s="56"/>
      <c r="D960" s="56"/>
      <c r="E960" s="14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7"/>
      <c r="Q960" s="57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15.75" customHeight="1" x14ac:dyDescent="0.3">
      <c r="A961" s="56"/>
      <c r="B961" s="56"/>
      <c r="C961" s="56"/>
      <c r="D961" s="56"/>
      <c r="E961" s="14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7"/>
      <c r="Q961" s="57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15.75" customHeight="1" x14ac:dyDescent="0.3">
      <c r="A962" s="56"/>
      <c r="B962" s="56"/>
      <c r="C962" s="56"/>
      <c r="D962" s="56"/>
      <c r="E962" s="14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7"/>
      <c r="Q962" s="57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15.75" customHeight="1" x14ac:dyDescent="0.3">
      <c r="A963" s="56"/>
      <c r="B963" s="56"/>
      <c r="C963" s="56"/>
      <c r="D963" s="56"/>
      <c r="E963" s="14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7"/>
      <c r="Q963" s="57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15.75" customHeight="1" x14ac:dyDescent="0.3">
      <c r="A964" s="56"/>
      <c r="B964" s="56"/>
      <c r="C964" s="56"/>
      <c r="D964" s="56"/>
      <c r="E964" s="14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7"/>
      <c r="Q964" s="57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15.75" customHeight="1" x14ac:dyDescent="0.3">
      <c r="A965" s="56"/>
      <c r="B965" s="56"/>
      <c r="C965" s="56"/>
      <c r="D965" s="56"/>
      <c r="E965" s="14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7"/>
      <c r="Q965" s="57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15.75" customHeight="1" x14ac:dyDescent="0.3">
      <c r="A966" s="56"/>
      <c r="B966" s="56"/>
      <c r="C966" s="56"/>
      <c r="D966" s="56"/>
      <c r="E966" s="14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7"/>
      <c r="Q966" s="57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15.75" customHeight="1" x14ac:dyDescent="0.3">
      <c r="A967" s="56"/>
      <c r="B967" s="56"/>
      <c r="C967" s="56"/>
      <c r="D967" s="56"/>
      <c r="E967" s="14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7"/>
      <c r="Q967" s="57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15.75" customHeight="1" x14ac:dyDescent="0.3">
      <c r="A968" s="56"/>
      <c r="B968" s="56"/>
      <c r="C968" s="56"/>
      <c r="D968" s="56"/>
      <c r="E968" s="14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7"/>
      <c r="Q968" s="57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15.75" customHeight="1" x14ac:dyDescent="0.3">
      <c r="A969" s="56"/>
      <c r="B969" s="56"/>
      <c r="C969" s="56"/>
      <c r="D969" s="56"/>
      <c r="E969" s="14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7"/>
      <c r="Q969" s="57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15.75" customHeight="1" x14ac:dyDescent="0.3">
      <c r="A970" s="56"/>
      <c r="B970" s="56"/>
      <c r="C970" s="56"/>
      <c r="D970" s="56"/>
      <c r="E970" s="14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7"/>
      <c r="Q970" s="57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15.75" customHeight="1" x14ac:dyDescent="0.3">
      <c r="A971" s="56"/>
      <c r="B971" s="56"/>
      <c r="C971" s="56"/>
      <c r="D971" s="56"/>
      <c r="E971" s="14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7"/>
      <c r="Q971" s="57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15.75" customHeight="1" x14ac:dyDescent="0.3">
      <c r="A972" s="56"/>
      <c r="B972" s="56"/>
      <c r="C972" s="56"/>
      <c r="D972" s="56"/>
      <c r="E972" s="14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7"/>
      <c r="Q972" s="57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15.75" customHeight="1" x14ac:dyDescent="0.3">
      <c r="A973" s="56"/>
      <c r="B973" s="56"/>
      <c r="C973" s="56"/>
      <c r="D973" s="56"/>
      <c r="E973" s="14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7"/>
      <c r="Q973" s="57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15.75" customHeight="1" x14ac:dyDescent="0.3">
      <c r="A974" s="56"/>
      <c r="B974" s="56"/>
      <c r="C974" s="56"/>
      <c r="D974" s="56"/>
      <c r="E974" s="14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7"/>
      <c r="Q974" s="57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15.75" customHeight="1" x14ac:dyDescent="0.3">
      <c r="A975" s="56"/>
      <c r="B975" s="56"/>
      <c r="C975" s="56"/>
      <c r="D975" s="56"/>
      <c r="E975" s="14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7"/>
      <c r="Q975" s="57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15.75" customHeight="1" x14ac:dyDescent="0.3">
      <c r="A976" s="56"/>
      <c r="B976" s="56"/>
      <c r="C976" s="56"/>
      <c r="D976" s="56"/>
      <c r="E976" s="14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7"/>
      <c r="Q976" s="57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15.75" customHeight="1" x14ac:dyDescent="0.3">
      <c r="A977" s="56"/>
      <c r="B977" s="56"/>
      <c r="C977" s="56"/>
      <c r="D977" s="56"/>
      <c r="E977" s="14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7"/>
      <c r="Q977" s="57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15.75" customHeight="1" x14ac:dyDescent="0.3">
      <c r="A978" s="56"/>
      <c r="B978" s="56"/>
      <c r="C978" s="56"/>
      <c r="D978" s="56"/>
      <c r="E978" s="14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7"/>
      <c r="Q978" s="57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15.75" customHeight="1" x14ac:dyDescent="0.3">
      <c r="A979" s="56"/>
      <c r="B979" s="56"/>
      <c r="C979" s="56"/>
      <c r="D979" s="56"/>
      <c r="E979" s="14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7"/>
      <c r="Q979" s="57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15.75" customHeight="1" x14ac:dyDescent="0.3">
      <c r="A980" s="56"/>
      <c r="B980" s="56"/>
      <c r="C980" s="56"/>
      <c r="D980" s="56"/>
      <c r="E980" s="14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7"/>
      <c r="Q980" s="57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15.75" customHeight="1" x14ac:dyDescent="0.3">
      <c r="A981" s="56"/>
      <c r="B981" s="56"/>
      <c r="C981" s="56"/>
      <c r="D981" s="56"/>
      <c r="E981" s="14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7"/>
      <c r="Q981" s="57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15.75" customHeight="1" x14ac:dyDescent="0.3">
      <c r="A982" s="56"/>
      <c r="B982" s="56"/>
      <c r="C982" s="56"/>
      <c r="D982" s="56"/>
      <c r="E982" s="14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7"/>
      <c r="Q982" s="57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15.75" customHeight="1" x14ac:dyDescent="0.3">
      <c r="A983" s="56"/>
      <c r="B983" s="56"/>
      <c r="C983" s="56"/>
      <c r="D983" s="56"/>
      <c r="E983" s="14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7"/>
      <c r="Q983" s="57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15.75" customHeight="1" x14ac:dyDescent="0.3">
      <c r="A984" s="56"/>
      <c r="B984" s="56"/>
      <c r="C984" s="56"/>
      <c r="D984" s="56"/>
      <c r="E984" s="14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7"/>
      <c r="Q984" s="57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15.75" customHeight="1" x14ac:dyDescent="0.3">
      <c r="A985" s="56"/>
      <c r="B985" s="56"/>
      <c r="C985" s="56"/>
      <c r="D985" s="56"/>
      <c r="E985" s="14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7"/>
      <c r="Q985" s="57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15.75" customHeight="1" x14ac:dyDescent="0.3">
      <c r="A986" s="56"/>
      <c r="B986" s="56"/>
      <c r="C986" s="56"/>
      <c r="D986" s="56"/>
      <c r="E986" s="14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7"/>
      <c r="Q986" s="57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15.75" customHeight="1" x14ac:dyDescent="0.3">
      <c r="A987" s="56"/>
      <c r="B987" s="56"/>
      <c r="C987" s="56"/>
      <c r="D987" s="56"/>
      <c r="E987" s="14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7"/>
      <c r="Q987" s="57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15.75" customHeight="1" x14ac:dyDescent="0.3">
      <c r="A988" s="56"/>
      <c r="B988" s="56"/>
      <c r="C988" s="56"/>
      <c r="D988" s="56"/>
      <c r="E988" s="14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7"/>
      <c r="Q988" s="57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15.75" customHeight="1" x14ac:dyDescent="0.3">
      <c r="A989" s="56"/>
      <c r="B989" s="56"/>
      <c r="C989" s="56"/>
      <c r="D989" s="56"/>
      <c r="E989" s="14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7"/>
      <c r="Q989" s="57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15.75" customHeight="1" x14ac:dyDescent="0.3">
      <c r="A990" s="56"/>
      <c r="B990" s="56"/>
      <c r="C990" s="56"/>
      <c r="D990" s="56"/>
      <c r="E990" s="14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7"/>
      <c r="Q990" s="57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15.75" customHeight="1" x14ac:dyDescent="0.3">
      <c r="A991" s="56"/>
      <c r="B991" s="56"/>
      <c r="C991" s="56"/>
      <c r="D991" s="56"/>
      <c r="E991" s="14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7"/>
      <c r="Q991" s="57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15.75" customHeight="1" x14ac:dyDescent="0.3">
      <c r="A992" s="56"/>
      <c r="B992" s="56"/>
      <c r="C992" s="56"/>
      <c r="D992" s="56"/>
      <c r="E992" s="14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7"/>
      <c r="Q992" s="57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15.75" customHeight="1" x14ac:dyDescent="0.3">
      <c r="A993" s="56"/>
      <c r="B993" s="56"/>
      <c r="C993" s="56"/>
      <c r="D993" s="56"/>
      <c r="E993" s="14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7"/>
      <c r="Q993" s="57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15.75" customHeight="1" x14ac:dyDescent="0.3">
      <c r="A994" s="56"/>
      <c r="B994" s="56"/>
      <c r="C994" s="56"/>
      <c r="D994" s="56"/>
      <c r="E994" s="14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7"/>
      <c r="Q994" s="57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15.75" customHeight="1" x14ac:dyDescent="0.3">
      <c r="A995" s="56"/>
      <c r="B995" s="56"/>
      <c r="C995" s="56"/>
      <c r="D995" s="56"/>
      <c r="E995" s="14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7"/>
      <c r="Q995" s="57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15.75" customHeight="1" x14ac:dyDescent="0.3">
      <c r="A996" s="56"/>
      <c r="B996" s="56"/>
      <c r="C996" s="56"/>
      <c r="D996" s="56"/>
      <c r="E996" s="14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7"/>
      <c r="Q996" s="57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15.75" customHeight="1" x14ac:dyDescent="0.3">
      <c r="A997" s="56"/>
      <c r="B997" s="56"/>
      <c r="C997" s="56"/>
      <c r="D997" s="56"/>
      <c r="E997" s="14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7"/>
      <c r="Q997" s="57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15.75" customHeight="1" x14ac:dyDescent="0.3">
      <c r="A998" s="56"/>
      <c r="B998" s="56"/>
      <c r="C998" s="56"/>
      <c r="D998" s="56"/>
      <c r="E998" s="14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7"/>
      <c r="Q998" s="57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15.75" customHeight="1" x14ac:dyDescent="0.3">
      <c r="A999" s="56"/>
      <c r="B999" s="56"/>
      <c r="C999" s="56"/>
      <c r="D999" s="56"/>
      <c r="E999" s="14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7"/>
      <c r="Q999" s="57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15.75" customHeight="1" x14ac:dyDescent="0.3">
      <c r="A1000" s="56"/>
      <c r="B1000" s="56"/>
      <c r="C1000" s="56"/>
      <c r="D1000" s="56"/>
      <c r="E1000" s="14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7"/>
      <c r="Q1000" s="57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autoFilter ref="A7:N116" xr:uid="{00000000-0009-0000-0000-000005000000}">
    <sortState xmlns:xlrd2="http://schemas.microsoft.com/office/spreadsheetml/2017/richdata2" ref="A7:N116">
      <sortCondition ref="B7:B116"/>
    </sortState>
  </autoFilter>
  <mergeCells count="4">
    <mergeCell ref="A1:N1"/>
    <mergeCell ref="A2:N2"/>
    <mergeCell ref="A3:N3"/>
    <mergeCell ref="G5:M5"/>
  </mergeCells>
  <pageMargins left="0.7" right="0.7" top="0.75" bottom="0.75" header="0" footer="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Z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78" sqref="M78:M115"/>
    </sheetView>
  </sheetViews>
  <sheetFormatPr baseColWidth="10" defaultColWidth="14.44140625" defaultRowHeight="15" customHeight="1" x14ac:dyDescent="0.3"/>
  <cols>
    <col min="1" max="1" width="11.44140625" customWidth="1"/>
    <col min="2" max="2" width="38.44140625" customWidth="1"/>
    <col min="3" max="4" width="9.109375" customWidth="1"/>
    <col min="5" max="5" width="8.33203125" customWidth="1"/>
    <col min="6" max="7" width="11.33203125" customWidth="1"/>
    <col min="8" max="8" width="14.33203125" customWidth="1"/>
    <col min="9" max="9" width="15.109375" customWidth="1"/>
    <col min="10" max="10" width="6" customWidth="1"/>
    <col min="11" max="11" width="11.6640625" customWidth="1"/>
    <col min="12" max="12" width="6" customWidth="1"/>
    <col min="13" max="14" width="15.6640625" customWidth="1"/>
    <col min="15" max="26" width="11.44140625" customWidth="1"/>
  </cols>
  <sheetData>
    <row r="1" spans="1:26" ht="15" customHeight="1" x14ac:dyDescent="0.3">
      <c r="A1" s="357" t="s">
        <v>115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56"/>
      <c r="P1" s="57"/>
      <c r="Q1" s="57"/>
      <c r="R1" s="56"/>
      <c r="S1" s="56"/>
      <c r="T1" s="56"/>
      <c r="U1" s="56"/>
      <c r="V1" s="56"/>
      <c r="W1" s="56"/>
      <c r="X1" s="56"/>
      <c r="Y1" s="56"/>
      <c r="Z1" s="56"/>
    </row>
    <row r="2" spans="1:26" ht="15" customHeight="1" x14ac:dyDescent="0.3">
      <c r="A2" s="357" t="s">
        <v>0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56"/>
      <c r="P2" s="57"/>
      <c r="Q2" s="57"/>
      <c r="R2" s="56"/>
      <c r="S2" s="56"/>
      <c r="T2" s="56"/>
      <c r="U2" s="56"/>
      <c r="V2" s="56"/>
      <c r="W2" s="56"/>
      <c r="X2" s="56"/>
      <c r="Y2" s="56"/>
      <c r="Z2" s="56"/>
    </row>
    <row r="3" spans="1:26" ht="15" customHeight="1" x14ac:dyDescent="0.3">
      <c r="A3" s="357" t="s">
        <v>64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56"/>
      <c r="P3" s="57"/>
      <c r="Q3" s="57"/>
      <c r="R3" s="56"/>
      <c r="S3" s="56"/>
      <c r="T3" s="56"/>
      <c r="U3" s="56"/>
      <c r="V3" s="56"/>
      <c r="W3" s="56"/>
      <c r="X3" s="56"/>
      <c r="Y3" s="56"/>
      <c r="Z3" s="56"/>
    </row>
    <row r="4" spans="1:26" ht="15.75" customHeight="1" x14ac:dyDescent="0.3">
      <c r="A4" s="58"/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59"/>
      <c r="N4" s="59"/>
      <c r="O4" s="56"/>
      <c r="P4" s="57"/>
      <c r="Q4" s="57"/>
      <c r="R4" s="56"/>
      <c r="S4" s="56"/>
      <c r="T4" s="56"/>
      <c r="U4" s="56"/>
      <c r="V4" s="56"/>
      <c r="W4" s="56"/>
      <c r="X4" s="56"/>
      <c r="Y4" s="56"/>
      <c r="Z4" s="56"/>
    </row>
    <row r="5" spans="1:26" ht="18" x14ac:dyDescent="0.35">
      <c r="A5" s="56"/>
      <c r="B5" s="56"/>
      <c r="C5" s="56"/>
      <c r="D5" s="56"/>
      <c r="E5" s="14"/>
      <c r="G5" s="361" t="s">
        <v>216</v>
      </c>
      <c r="H5" s="362"/>
      <c r="I5" s="362"/>
      <c r="J5" s="362"/>
      <c r="K5" s="362"/>
      <c r="L5" s="362"/>
      <c r="M5" s="362"/>
      <c r="O5" s="56"/>
      <c r="P5" s="57"/>
      <c r="Q5" s="57"/>
      <c r="R5" s="56"/>
      <c r="S5" s="56"/>
      <c r="T5" s="56"/>
      <c r="U5" s="56"/>
      <c r="V5" s="56"/>
      <c r="W5" s="56"/>
      <c r="X5" s="56"/>
      <c r="Y5" s="56"/>
      <c r="Z5" s="56"/>
    </row>
    <row r="6" spans="1:26" ht="18" x14ac:dyDescent="0.35">
      <c r="A6" s="56"/>
      <c r="B6" s="56"/>
      <c r="C6" s="56"/>
      <c r="D6" s="56"/>
      <c r="E6" s="14"/>
      <c r="G6" s="61"/>
      <c r="H6" s="61"/>
      <c r="I6" s="61"/>
      <c r="J6" s="61"/>
      <c r="K6" s="61"/>
      <c r="L6" s="61"/>
      <c r="M6" s="61"/>
      <c r="O6" s="56"/>
      <c r="P6" s="57"/>
      <c r="Q6" s="57"/>
      <c r="R6" s="56"/>
      <c r="S6" s="56"/>
      <c r="T6" s="56"/>
      <c r="U6" s="56"/>
      <c r="V6" s="56"/>
      <c r="W6" s="56"/>
      <c r="X6" s="56"/>
      <c r="Y6" s="56"/>
      <c r="Z6" s="56"/>
    </row>
    <row r="7" spans="1:26" ht="66" customHeight="1" x14ac:dyDescent="0.3">
      <c r="A7" s="62" t="s">
        <v>117</v>
      </c>
      <c r="B7" s="63" t="s">
        <v>118</v>
      </c>
      <c r="C7" s="140" t="s">
        <v>217</v>
      </c>
      <c r="D7" s="140" t="s">
        <v>218</v>
      </c>
      <c r="E7" s="64" t="s">
        <v>121</v>
      </c>
      <c r="F7" s="65" t="s">
        <v>122</v>
      </c>
      <c r="G7" s="65" t="s">
        <v>123</v>
      </c>
      <c r="H7" s="66" t="s">
        <v>124</v>
      </c>
      <c r="I7" s="66" t="s">
        <v>125</v>
      </c>
      <c r="J7" s="67" t="s">
        <v>126</v>
      </c>
      <c r="K7" s="68" t="s">
        <v>127</v>
      </c>
      <c r="L7" s="69" t="s">
        <v>128</v>
      </c>
      <c r="M7" s="70" t="s">
        <v>129</v>
      </c>
      <c r="N7" s="71" t="s">
        <v>130</v>
      </c>
      <c r="O7" s="56"/>
      <c r="P7" s="57"/>
      <c r="Q7" s="57"/>
      <c r="R7" s="56"/>
      <c r="S7" s="56"/>
      <c r="T7" s="56"/>
      <c r="U7" s="56"/>
      <c r="V7" s="56"/>
      <c r="W7" s="56"/>
      <c r="X7" s="56"/>
      <c r="Y7" s="56"/>
      <c r="Z7" s="56"/>
    </row>
    <row r="8" spans="1:26" ht="15.6" x14ac:dyDescent="0.3">
      <c r="A8" s="72">
        <v>2220001</v>
      </c>
      <c r="B8" s="73" t="s">
        <v>12</v>
      </c>
      <c r="C8" s="73">
        <v>36.5</v>
      </c>
      <c r="D8" s="73">
        <v>36.5</v>
      </c>
      <c r="E8" s="74" t="s">
        <v>131</v>
      </c>
      <c r="F8" s="75">
        <v>22</v>
      </c>
      <c r="G8" s="75">
        <v>49</v>
      </c>
      <c r="H8" s="76">
        <v>216</v>
      </c>
      <c r="I8" s="77">
        <v>227</v>
      </c>
      <c r="J8" s="77"/>
      <c r="K8" s="78">
        <v>229</v>
      </c>
      <c r="L8" s="79"/>
      <c r="M8" s="79">
        <f t="shared" ref="M8:M115" si="0">F8+H8-K8</f>
        <v>9</v>
      </c>
      <c r="N8" s="75">
        <f t="shared" ref="N8:N115" si="1">G8+I8-K8</f>
        <v>47</v>
      </c>
      <c r="O8" s="75"/>
      <c r="P8" s="57"/>
      <c r="Q8" s="57"/>
      <c r="R8" s="56"/>
      <c r="S8" s="56"/>
      <c r="T8" s="56"/>
      <c r="U8" s="56"/>
      <c r="V8" s="56"/>
      <c r="W8" s="56"/>
      <c r="X8" s="56"/>
      <c r="Y8" s="56"/>
      <c r="Z8" s="56"/>
    </row>
    <row r="9" spans="1:26" ht="15.6" x14ac:dyDescent="0.3">
      <c r="A9" s="72">
        <v>2220044</v>
      </c>
      <c r="B9" s="73" t="s">
        <v>132</v>
      </c>
      <c r="C9" s="73">
        <v>305</v>
      </c>
      <c r="D9" s="73">
        <v>305</v>
      </c>
      <c r="E9" s="74" t="s">
        <v>133</v>
      </c>
      <c r="F9" s="75">
        <v>76</v>
      </c>
      <c r="G9" s="75">
        <v>76</v>
      </c>
      <c r="H9" s="80">
        <v>365</v>
      </c>
      <c r="I9" s="81">
        <v>365</v>
      </c>
      <c r="J9" s="81"/>
      <c r="K9" s="82">
        <v>394</v>
      </c>
      <c r="L9" s="79"/>
      <c r="M9" s="79">
        <f t="shared" si="0"/>
        <v>47</v>
      </c>
      <c r="N9" s="75">
        <f t="shared" si="1"/>
        <v>47</v>
      </c>
      <c r="O9" s="56"/>
      <c r="P9" s="57"/>
      <c r="Q9" s="57"/>
      <c r="R9" s="56"/>
      <c r="S9" s="56"/>
      <c r="T9" s="56"/>
      <c r="U9" s="56"/>
      <c r="V9" s="56"/>
      <c r="W9" s="56"/>
      <c r="X9" s="56"/>
      <c r="Y9" s="56"/>
      <c r="Z9" s="56"/>
    </row>
    <row r="10" spans="1:26" ht="15.6" x14ac:dyDescent="0.3">
      <c r="A10" s="72">
        <v>2220002</v>
      </c>
      <c r="B10" s="73" t="s">
        <v>14</v>
      </c>
      <c r="C10" s="73">
        <v>57.3</v>
      </c>
      <c r="D10" s="73">
        <v>57.3</v>
      </c>
      <c r="E10" s="74" t="s">
        <v>131</v>
      </c>
      <c r="F10" s="75">
        <v>-194</v>
      </c>
      <c r="G10" s="75">
        <v>93</v>
      </c>
      <c r="H10" s="80">
        <v>398</v>
      </c>
      <c r="I10" s="81">
        <v>406</v>
      </c>
      <c r="J10" s="81"/>
      <c r="K10" s="78">
        <v>400</v>
      </c>
      <c r="L10" s="79"/>
      <c r="M10" s="79">
        <f t="shared" si="0"/>
        <v>-196</v>
      </c>
      <c r="N10" s="75">
        <f t="shared" si="1"/>
        <v>99</v>
      </c>
      <c r="O10" s="56"/>
      <c r="P10" s="57"/>
      <c r="Q10" s="57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5.6" x14ac:dyDescent="0.3">
      <c r="A11" s="72">
        <v>2220085</v>
      </c>
      <c r="B11" s="73" t="s">
        <v>134</v>
      </c>
      <c r="C11" s="73">
        <v>2725</v>
      </c>
      <c r="D11" s="73">
        <v>2725</v>
      </c>
      <c r="E11" s="74" t="s">
        <v>135</v>
      </c>
      <c r="F11" s="75">
        <v>1</v>
      </c>
      <c r="G11" s="75">
        <v>1</v>
      </c>
      <c r="H11" s="80">
        <v>0</v>
      </c>
      <c r="I11" s="81">
        <v>0</v>
      </c>
      <c r="J11" s="81"/>
      <c r="K11" s="82">
        <v>0</v>
      </c>
      <c r="L11" s="79"/>
      <c r="M11" s="79">
        <f t="shared" si="0"/>
        <v>1</v>
      </c>
      <c r="N11" s="75">
        <f t="shared" si="1"/>
        <v>1</v>
      </c>
      <c r="O11" s="56"/>
      <c r="P11" s="57"/>
      <c r="Q11" s="57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5.6" x14ac:dyDescent="0.3">
      <c r="A12" s="72">
        <v>2220003</v>
      </c>
      <c r="B12" s="73" t="s">
        <v>136</v>
      </c>
      <c r="C12" s="73">
        <v>29.2</v>
      </c>
      <c r="D12" s="73">
        <v>29.2</v>
      </c>
      <c r="E12" s="74" t="s">
        <v>137</v>
      </c>
      <c r="F12" s="75">
        <v>-6.4999999999999982</v>
      </c>
      <c r="G12" s="75">
        <v>4.100000000000005</v>
      </c>
      <c r="H12" s="80">
        <v>8</v>
      </c>
      <c r="I12" s="81">
        <v>9.5500000000000007</v>
      </c>
      <c r="J12" s="81"/>
      <c r="K12" s="83">
        <v>11.6</v>
      </c>
      <c r="L12" s="79"/>
      <c r="M12" s="79">
        <f t="shared" si="0"/>
        <v>-10.099999999999998</v>
      </c>
      <c r="N12" s="75">
        <f t="shared" si="1"/>
        <v>2.050000000000006</v>
      </c>
      <c r="O12" s="56"/>
      <c r="P12" s="57"/>
      <c r="Q12" s="57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5.6" x14ac:dyDescent="0.3">
      <c r="A13" s="72">
        <v>2220030</v>
      </c>
      <c r="B13" s="73" t="s">
        <v>138</v>
      </c>
      <c r="C13" s="73">
        <v>62.5</v>
      </c>
      <c r="D13" s="73">
        <v>62.5</v>
      </c>
      <c r="E13" s="74" t="s">
        <v>137</v>
      </c>
      <c r="F13" s="75">
        <v>15</v>
      </c>
      <c r="G13" s="75">
        <v>15</v>
      </c>
      <c r="H13" s="80">
        <v>10</v>
      </c>
      <c r="I13" s="81">
        <v>10</v>
      </c>
      <c r="J13" s="81"/>
      <c r="K13" s="83">
        <v>4</v>
      </c>
      <c r="L13" s="79"/>
      <c r="M13" s="79">
        <f t="shared" si="0"/>
        <v>21</v>
      </c>
      <c r="N13" s="75">
        <f t="shared" si="1"/>
        <v>21</v>
      </c>
      <c r="O13" s="56"/>
      <c r="P13" s="57"/>
      <c r="Q13" s="57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5.6" x14ac:dyDescent="0.3">
      <c r="A14" s="72">
        <v>2220138</v>
      </c>
      <c r="B14" s="73" t="s">
        <v>139</v>
      </c>
      <c r="C14" s="73">
        <v>1100</v>
      </c>
      <c r="D14" s="73">
        <v>1100</v>
      </c>
      <c r="E14" s="74" t="s">
        <v>135</v>
      </c>
      <c r="F14" s="75">
        <v>3</v>
      </c>
      <c r="G14" s="75">
        <v>3</v>
      </c>
      <c r="H14" s="80">
        <v>2</v>
      </c>
      <c r="I14" s="81">
        <v>2</v>
      </c>
      <c r="J14" s="81"/>
      <c r="K14" s="82">
        <v>1</v>
      </c>
      <c r="L14" s="79"/>
      <c r="M14" s="79">
        <f t="shared" si="0"/>
        <v>4</v>
      </c>
      <c r="N14" s="75">
        <f t="shared" si="1"/>
        <v>4</v>
      </c>
      <c r="O14" s="56"/>
      <c r="P14" s="57"/>
      <c r="Q14" s="57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5.6" x14ac:dyDescent="0.3">
      <c r="A15" s="72">
        <v>2220046</v>
      </c>
      <c r="B15" s="73" t="s">
        <v>140</v>
      </c>
      <c r="C15" s="73">
        <v>1250</v>
      </c>
      <c r="D15" s="73">
        <v>1250</v>
      </c>
      <c r="E15" s="74" t="s">
        <v>135</v>
      </c>
      <c r="F15" s="75">
        <v>0</v>
      </c>
      <c r="G15" s="75">
        <v>0</v>
      </c>
      <c r="H15" s="80">
        <v>0</v>
      </c>
      <c r="I15" s="81">
        <v>0</v>
      </c>
      <c r="J15" s="81"/>
      <c r="K15" s="83">
        <v>0</v>
      </c>
      <c r="L15" s="79"/>
      <c r="M15" s="79">
        <f t="shared" si="0"/>
        <v>0</v>
      </c>
      <c r="N15" s="75">
        <f t="shared" si="1"/>
        <v>0</v>
      </c>
      <c r="O15" s="56"/>
      <c r="P15" s="57"/>
      <c r="Q15" s="57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5.6" x14ac:dyDescent="0.3">
      <c r="A16" s="72">
        <v>2220134</v>
      </c>
      <c r="B16" s="73" t="s">
        <v>141</v>
      </c>
      <c r="C16" s="73">
        <v>1197.1199999999999</v>
      </c>
      <c r="D16" s="73">
        <v>1197.1199999999999</v>
      </c>
      <c r="E16" s="74" t="s">
        <v>133</v>
      </c>
      <c r="F16" s="75">
        <v>0</v>
      </c>
      <c r="G16" s="75">
        <v>0</v>
      </c>
      <c r="H16" s="80">
        <v>0</v>
      </c>
      <c r="I16" s="81">
        <v>0</v>
      </c>
      <c r="J16" s="81"/>
      <c r="K16" s="83">
        <v>0</v>
      </c>
      <c r="L16" s="79"/>
      <c r="M16" s="79">
        <f t="shared" si="0"/>
        <v>0</v>
      </c>
      <c r="N16" s="75">
        <f t="shared" si="1"/>
        <v>0</v>
      </c>
      <c r="O16" s="56"/>
      <c r="P16" s="57"/>
      <c r="Q16" s="57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5.6" x14ac:dyDescent="0.3">
      <c r="A17" s="72">
        <v>2220094</v>
      </c>
      <c r="B17" s="73" t="s">
        <v>142</v>
      </c>
      <c r="C17" s="73">
        <v>850</v>
      </c>
      <c r="D17" s="73">
        <v>850</v>
      </c>
      <c r="E17" s="74"/>
      <c r="F17" s="75">
        <v>0</v>
      </c>
      <c r="G17" s="75">
        <v>0</v>
      </c>
      <c r="H17" s="84">
        <v>0</v>
      </c>
      <c r="I17" s="85">
        <v>0</v>
      </c>
      <c r="J17" s="85"/>
      <c r="K17" s="86">
        <v>0</v>
      </c>
      <c r="L17" s="79"/>
      <c r="M17" s="79">
        <f t="shared" si="0"/>
        <v>0</v>
      </c>
      <c r="N17" s="75">
        <f t="shared" si="1"/>
        <v>0</v>
      </c>
      <c r="O17" s="56"/>
      <c r="P17" s="57"/>
      <c r="Q17" s="57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5.6" x14ac:dyDescent="0.3">
      <c r="A18" s="72">
        <v>2220004</v>
      </c>
      <c r="B18" s="73" t="s">
        <v>16</v>
      </c>
      <c r="C18" s="73">
        <v>39.1</v>
      </c>
      <c r="D18" s="73">
        <v>39.1</v>
      </c>
      <c r="E18" s="74" t="s">
        <v>137</v>
      </c>
      <c r="F18" s="75">
        <v>16.36</v>
      </c>
      <c r="G18" s="75">
        <v>9.2999999999999972</v>
      </c>
      <c r="H18" s="80">
        <v>46</v>
      </c>
      <c r="I18" s="81">
        <v>46.15</v>
      </c>
      <c r="J18" s="81"/>
      <c r="K18" s="83">
        <v>44.95</v>
      </c>
      <c r="L18" s="79"/>
      <c r="M18" s="79">
        <f t="shared" si="0"/>
        <v>17.409999999999997</v>
      </c>
      <c r="N18" s="75">
        <f t="shared" si="1"/>
        <v>10.499999999999993</v>
      </c>
      <c r="O18" s="56"/>
      <c r="P18" s="57"/>
      <c r="Q18" s="57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5.6" x14ac:dyDescent="0.3">
      <c r="A19" s="72">
        <v>2220005</v>
      </c>
      <c r="B19" s="73" t="s">
        <v>62</v>
      </c>
      <c r="C19" s="73">
        <v>93.5</v>
      </c>
      <c r="D19" s="73">
        <v>93.5</v>
      </c>
      <c r="E19" s="74" t="s">
        <v>137</v>
      </c>
      <c r="F19" s="75">
        <v>5.1000000000000014</v>
      </c>
      <c r="G19" s="75">
        <v>5.0999999999999979</v>
      </c>
      <c r="H19" s="84">
        <v>10</v>
      </c>
      <c r="I19" s="85">
        <v>9.65</v>
      </c>
      <c r="J19" s="87"/>
      <c r="K19" s="86">
        <v>9.15</v>
      </c>
      <c r="L19" s="88"/>
      <c r="M19" s="79">
        <f t="shared" si="0"/>
        <v>5.9500000000000011</v>
      </c>
      <c r="N19" s="75">
        <f t="shared" si="1"/>
        <v>5.5999999999999979</v>
      </c>
      <c r="O19" s="56"/>
      <c r="P19" s="57"/>
      <c r="Q19" s="57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5.6" x14ac:dyDescent="0.3">
      <c r="A20" s="72">
        <v>2220006</v>
      </c>
      <c r="B20" s="73" t="s">
        <v>17</v>
      </c>
      <c r="C20" s="73">
        <v>36.5</v>
      </c>
      <c r="D20" s="73">
        <v>36.5</v>
      </c>
      <c r="E20" s="74" t="s">
        <v>137</v>
      </c>
      <c r="F20" s="75">
        <v>-0.84500000000000597</v>
      </c>
      <c r="G20" s="75">
        <v>5.9500000000000028</v>
      </c>
      <c r="H20" s="80">
        <v>30</v>
      </c>
      <c r="I20" s="76">
        <v>30.05</v>
      </c>
      <c r="J20" s="80"/>
      <c r="K20" s="83">
        <v>29.05</v>
      </c>
      <c r="L20" s="79"/>
      <c r="M20" s="79">
        <f t="shared" si="0"/>
        <v>0.10499999999999332</v>
      </c>
      <c r="N20" s="75">
        <f t="shared" si="1"/>
        <v>6.9499999999999993</v>
      </c>
      <c r="O20" s="56"/>
      <c r="P20" s="57"/>
      <c r="Q20" s="57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5.75" customHeight="1" x14ac:dyDescent="0.3">
      <c r="A21" s="72">
        <v>2220089</v>
      </c>
      <c r="B21" s="73" t="s">
        <v>143</v>
      </c>
      <c r="C21" s="73">
        <v>420</v>
      </c>
      <c r="D21" s="73">
        <v>420</v>
      </c>
      <c r="E21" s="74" t="s">
        <v>137</v>
      </c>
      <c r="F21" s="75">
        <v>0</v>
      </c>
      <c r="G21" s="75">
        <v>0</v>
      </c>
      <c r="H21" s="80">
        <v>0</v>
      </c>
      <c r="I21" s="77">
        <v>0</v>
      </c>
      <c r="J21" s="81"/>
      <c r="K21" s="83">
        <v>0</v>
      </c>
      <c r="L21" s="79"/>
      <c r="M21" s="79">
        <f t="shared" si="0"/>
        <v>0</v>
      </c>
      <c r="N21" s="75">
        <f t="shared" si="1"/>
        <v>0</v>
      </c>
      <c r="O21" s="56"/>
      <c r="P21" s="57"/>
      <c r="Q21" s="57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5.75" customHeight="1" x14ac:dyDescent="0.3">
      <c r="A22" s="72">
        <v>2220072</v>
      </c>
      <c r="B22" s="73" t="s">
        <v>144</v>
      </c>
      <c r="C22" s="73">
        <v>350</v>
      </c>
      <c r="D22" s="73">
        <v>350</v>
      </c>
      <c r="E22" s="74" t="s">
        <v>133</v>
      </c>
      <c r="F22" s="75">
        <v>1</v>
      </c>
      <c r="G22" s="75">
        <v>1</v>
      </c>
      <c r="H22" s="80">
        <v>0</v>
      </c>
      <c r="I22" s="76">
        <v>0</v>
      </c>
      <c r="J22" s="81"/>
      <c r="K22" s="83">
        <v>0</v>
      </c>
      <c r="L22" s="79"/>
      <c r="M22" s="79">
        <f t="shared" si="0"/>
        <v>1</v>
      </c>
      <c r="N22" s="75">
        <f t="shared" si="1"/>
        <v>1</v>
      </c>
      <c r="O22" s="56"/>
      <c r="P22" s="57"/>
      <c r="Q22" s="57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5.75" customHeight="1" x14ac:dyDescent="0.3">
      <c r="A23" s="72">
        <v>2220090</v>
      </c>
      <c r="B23" s="73" t="s">
        <v>145</v>
      </c>
      <c r="C23" s="73">
        <v>520</v>
      </c>
      <c r="D23" s="73">
        <v>520</v>
      </c>
      <c r="E23" s="74" t="s">
        <v>137</v>
      </c>
      <c r="F23" s="75">
        <v>0</v>
      </c>
      <c r="G23" s="75">
        <v>0</v>
      </c>
      <c r="H23" s="80">
        <v>0</v>
      </c>
      <c r="I23" s="81">
        <v>0</v>
      </c>
      <c r="J23" s="81"/>
      <c r="K23" s="83">
        <v>0</v>
      </c>
      <c r="L23" s="79"/>
      <c r="M23" s="79">
        <f t="shared" si="0"/>
        <v>0</v>
      </c>
      <c r="N23" s="75">
        <f t="shared" si="1"/>
        <v>0</v>
      </c>
      <c r="O23" s="56"/>
      <c r="P23" s="57"/>
      <c r="Q23" s="57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5.75" customHeight="1" x14ac:dyDescent="0.3">
      <c r="A24" s="72">
        <v>2220007</v>
      </c>
      <c r="B24" s="73" t="s">
        <v>37</v>
      </c>
      <c r="C24" s="73">
        <v>85.5</v>
      </c>
      <c r="D24" s="73">
        <v>85.5</v>
      </c>
      <c r="E24" s="74" t="s">
        <v>137</v>
      </c>
      <c r="F24" s="75">
        <v>-4.5500000000000007</v>
      </c>
      <c r="G24" s="75">
        <v>2.8000000000000007</v>
      </c>
      <c r="H24" s="80">
        <v>12</v>
      </c>
      <c r="I24" s="81">
        <v>11.75</v>
      </c>
      <c r="J24" s="81"/>
      <c r="K24" s="83">
        <v>11.2</v>
      </c>
      <c r="L24" s="79"/>
      <c r="M24" s="79">
        <f t="shared" si="0"/>
        <v>-3.75</v>
      </c>
      <c r="N24" s="75">
        <f t="shared" si="1"/>
        <v>3.3500000000000014</v>
      </c>
      <c r="O24" s="56"/>
      <c r="P24" s="57"/>
      <c r="Q24" s="57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30" x14ac:dyDescent="0.3">
      <c r="A25" s="72">
        <v>2220050</v>
      </c>
      <c r="B25" s="73" t="s">
        <v>146</v>
      </c>
      <c r="C25" s="73">
        <v>1392</v>
      </c>
      <c r="D25" s="73">
        <v>1392</v>
      </c>
      <c r="E25" s="74" t="s">
        <v>135</v>
      </c>
      <c r="F25" s="75">
        <v>16</v>
      </c>
      <c r="G25" s="75">
        <v>16</v>
      </c>
      <c r="H25" s="89">
        <v>6</v>
      </c>
      <c r="I25" s="90">
        <v>6</v>
      </c>
      <c r="J25" s="81"/>
      <c r="K25" s="83">
        <v>2</v>
      </c>
      <c r="L25" s="79"/>
      <c r="M25" s="79">
        <f t="shared" si="0"/>
        <v>20</v>
      </c>
      <c r="N25" s="75">
        <f t="shared" si="1"/>
        <v>20</v>
      </c>
      <c r="O25" s="56"/>
      <c r="P25" s="57"/>
      <c r="Q25" s="57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5.75" customHeight="1" x14ac:dyDescent="0.3">
      <c r="A26" s="72">
        <v>2220042</v>
      </c>
      <c r="B26" s="73" t="s">
        <v>147</v>
      </c>
      <c r="C26" s="73">
        <v>215</v>
      </c>
      <c r="D26" s="73">
        <v>215</v>
      </c>
      <c r="E26" s="74" t="s">
        <v>137</v>
      </c>
      <c r="F26" s="75">
        <v>-30.399999999999977</v>
      </c>
      <c r="G26" s="75">
        <v>128.19999999999982</v>
      </c>
      <c r="H26" s="80">
        <v>500</v>
      </c>
      <c r="I26" s="81">
        <v>543.35</v>
      </c>
      <c r="J26" s="81"/>
      <c r="K26" s="83">
        <v>657.05</v>
      </c>
      <c r="L26" s="79"/>
      <c r="M26" s="79">
        <f t="shared" si="0"/>
        <v>-187.44999999999993</v>
      </c>
      <c r="N26" s="75">
        <f t="shared" si="1"/>
        <v>14.499999999999886</v>
      </c>
      <c r="O26" s="56"/>
      <c r="P26" s="57"/>
      <c r="Q26" s="57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5.75" customHeight="1" x14ac:dyDescent="0.3">
      <c r="A27" s="72">
        <v>2220068</v>
      </c>
      <c r="B27" s="73" t="s">
        <v>148</v>
      </c>
      <c r="C27" s="73">
        <v>519.67999999999995</v>
      </c>
      <c r="D27" s="73">
        <v>519.67999999999995</v>
      </c>
      <c r="E27" s="74" t="s">
        <v>133</v>
      </c>
      <c r="F27" s="75">
        <v>5</v>
      </c>
      <c r="G27" s="75">
        <v>5</v>
      </c>
      <c r="H27" s="80">
        <v>0</v>
      </c>
      <c r="I27" s="81">
        <v>0</v>
      </c>
      <c r="J27" s="81"/>
      <c r="K27" s="83">
        <v>0</v>
      </c>
      <c r="L27" s="79"/>
      <c r="M27" s="79">
        <f t="shared" si="0"/>
        <v>5</v>
      </c>
      <c r="N27" s="75">
        <f t="shared" si="1"/>
        <v>5</v>
      </c>
      <c r="O27" s="56"/>
      <c r="P27" s="57"/>
      <c r="Q27" s="57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5.75" customHeight="1" x14ac:dyDescent="0.3">
      <c r="A28" s="72">
        <v>2220008</v>
      </c>
      <c r="B28" s="73" t="s">
        <v>18</v>
      </c>
      <c r="C28" s="73">
        <v>40</v>
      </c>
      <c r="D28" s="73">
        <v>40</v>
      </c>
      <c r="E28" s="74" t="s">
        <v>137</v>
      </c>
      <c r="F28" s="75">
        <v>-2.0499999999999901</v>
      </c>
      <c r="G28" s="75">
        <v>6.8500000000000014</v>
      </c>
      <c r="H28" s="80">
        <v>30</v>
      </c>
      <c r="I28" s="81">
        <v>30.45</v>
      </c>
      <c r="J28" s="81"/>
      <c r="K28" s="83">
        <v>29.75</v>
      </c>
      <c r="L28" s="79"/>
      <c r="M28" s="79">
        <f t="shared" si="0"/>
        <v>-1.7999999999999901</v>
      </c>
      <c r="N28" s="75">
        <f t="shared" si="1"/>
        <v>7.5499999999999972</v>
      </c>
      <c r="O28" s="56"/>
      <c r="P28" s="57"/>
      <c r="Q28" s="57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30" x14ac:dyDescent="0.3">
      <c r="A29" s="72">
        <v>2220066</v>
      </c>
      <c r="B29" s="73" t="s">
        <v>149</v>
      </c>
      <c r="C29" s="73">
        <v>510</v>
      </c>
      <c r="D29" s="73">
        <v>510</v>
      </c>
      <c r="E29" s="74" t="s">
        <v>133</v>
      </c>
      <c r="F29" s="75">
        <v>0</v>
      </c>
      <c r="G29" s="75">
        <v>0</v>
      </c>
      <c r="H29" s="80">
        <v>0</v>
      </c>
      <c r="I29" s="81">
        <v>0</v>
      </c>
      <c r="J29" s="81"/>
      <c r="K29" s="83">
        <v>0</v>
      </c>
      <c r="L29" s="79"/>
      <c r="M29" s="79">
        <f t="shared" si="0"/>
        <v>0</v>
      </c>
      <c r="N29" s="75">
        <f t="shared" si="1"/>
        <v>0</v>
      </c>
      <c r="O29" s="56"/>
      <c r="P29" s="57"/>
      <c r="Q29" s="57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5.75" customHeight="1" x14ac:dyDescent="0.3">
      <c r="A30" s="72">
        <v>2220009</v>
      </c>
      <c r="B30" s="73" t="s">
        <v>19</v>
      </c>
      <c r="C30" s="73">
        <v>41.5</v>
      </c>
      <c r="D30" s="73">
        <v>41.5</v>
      </c>
      <c r="E30" s="74" t="s">
        <v>137</v>
      </c>
      <c r="F30" s="75">
        <v>-5.1500000000000039</v>
      </c>
      <c r="G30" s="75">
        <v>1.1500000000000004</v>
      </c>
      <c r="H30" s="80">
        <v>5</v>
      </c>
      <c r="I30" s="81">
        <v>5.8</v>
      </c>
      <c r="J30" s="81"/>
      <c r="K30" s="83">
        <v>5.75</v>
      </c>
      <c r="L30" s="79"/>
      <c r="M30" s="79">
        <f t="shared" si="0"/>
        <v>-5.9000000000000039</v>
      </c>
      <c r="N30" s="75">
        <f t="shared" si="1"/>
        <v>1.2000000000000002</v>
      </c>
      <c r="O30" s="56"/>
      <c r="P30" s="57"/>
      <c r="Q30" s="57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5.75" customHeight="1" x14ac:dyDescent="0.3">
      <c r="A31" s="72">
        <v>2220010</v>
      </c>
      <c r="B31" s="73" t="s">
        <v>72</v>
      </c>
      <c r="C31" s="73">
        <v>20.7</v>
      </c>
      <c r="D31" s="73">
        <v>20.7</v>
      </c>
      <c r="E31" s="74" t="s">
        <v>131</v>
      </c>
      <c r="F31" s="75">
        <v>25</v>
      </c>
      <c r="G31" s="75">
        <v>17</v>
      </c>
      <c r="H31" s="80">
        <v>56</v>
      </c>
      <c r="I31" s="81">
        <v>54</v>
      </c>
      <c r="J31" s="81"/>
      <c r="K31" s="83">
        <v>54</v>
      </c>
      <c r="L31" s="79"/>
      <c r="M31" s="79">
        <f t="shared" si="0"/>
        <v>27</v>
      </c>
      <c r="N31" s="75">
        <f t="shared" si="1"/>
        <v>17</v>
      </c>
      <c r="O31" s="56"/>
      <c r="P31" s="57"/>
      <c r="Q31" s="57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5.75" customHeight="1" x14ac:dyDescent="0.3">
      <c r="A32" s="72">
        <v>2220011</v>
      </c>
      <c r="B32" s="73" t="s">
        <v>21</v>
      </c>
      <c r="C32" s="73">
        <v>46.9</v>
      </c>
      <c r="D32" s="73">
        <v>46.9</v>
      </c>
      <c r="E32" s="74" t="s">
        <v>133</v>
      </c>
      <c r="F32" s="75">
        <v>20</v>
      </c>
      <c r="G32" s="75">
        <v>11</v>
      </c>
      <c r="H32" s="80">
        <v>52</v>
      </c>
      <c r="I32" s="81">
        <v>52</v>
      </c>
      <c r="J32" s="81"/>
      <c r="K32" s="83">
        <v>52</v>
      </c>
      <c r="L32" s="79"/>
      <c r="M32" s="79">
        <f t="shared" si="0"/>
        <v>20</v>
      </c>
      <c r="N32" s="75">
        <f t="shared" si="1"/>
        <v>11</v>
      </c>
      <c r="O32" s="56"/>
      <c r="P32" s="57"/>
      <c r="Q32" s="57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5.75" customHeight="1" x14ac:dyDescent="0.3">
      <c r="A33" s="72">
        <v>2220070</v>
      </c>
      <c r="B33" s="73" t="s">
        <v>150</v>
      </c>
      <c r="C33" s="73">
        <v>54</v>
      </c>
      <c r="D33" s="73">
        <v>54</v>
      </c>
      <c r="E33" s="74" t="s">
        <v>133</v>
      </c>
      <c r="F33" s="75">
        <v>0</v>
      </c>
      <c r="G33" s="75">
        <v>0</v>
      </c>
      <c r="H33" s="80">
        <v>0</v>
      </c>
      <c r="I33" s="81">
        <v>0</v>
      </c>
      <c r="J33" s="81"/>
      <c r="K33" s="83">
        <v>0</v>
      </c>
      <c r="L33" s="79"/>
      <c r="M33" s="79">
        <f t="shared" si="0"/>
        <v>0</v>
      </c>
      <c r="N33" s="75">
        <f t="shared" si="1"/>
        <v>0</v>
      </c>
      <c r="O33" s="56"/>
      <c r="P33" s="57"/>
      <c r="Q33" s="57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5.75" customHeight="1" x14ac:dyDescent="0.3">
      <c r="A34" s="91">
        <v>2220139</v>
      </c>
      <c r="B34" s="73" t="s">
        <v>46</v>
      </c>
      <c r="C34" s="73">
        <v>890</v>
      </c>
      <c r="D34" s="73">
        <v>890</v>
      </c>
      <c r="E34" s="74" t="s">
        <v>135</v>
      </c>
      <c r="F34" s="75">
        <v>8</v>
      </c>
      <c r="G34" s="75">
        <v>8</v>
      </c>
      <c r="H34" s="84">
        <v>14</v>
      </c>
      <c r="I34" s="85">
        <v>14</v>
      </c>
      <c r="J34" s="85"/>
      <c r="K34" s="86">
        <v>3</v>
      </c>
      <c r="L34" s="88"/>
      <c r="M34" s="79">
        <f t="shared" si="0"/>
        <v>19</v>
      </c>
      <c r="N34" s="75">
        <f t="shared" si="1"/>
        <v>19</v>
      </c>
      <c r="O34" s="56"/>
      <c r="P34" s="57"/>
      <c r="Q34" s="57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5.75" customHeight="1" x14ac:dyDescent="0.3">
      <c r="A35" s="72">
        <v>2220047</v>
      </c>
      <c r="B35" s="73" t="s">
        <v>151</v>
      </c>
      <c r="C35" s="73">
        <v>1000</v>
      </c>
      <c r="D35" s="73">
        <v>1000</v>
      </c>
      <c r="E35" s="74" t="s">
        <v>135</v>
      </c>
      <c r="F35" s="75">
        <v>0</v>
      </c>
      <c r="G35" s="75">
        <v>0</v>
      </c>
      <c r="H35" s="84">
        <v>0</v>
      </c>
      <c r="I35" s="85">
        <v>0</v>
      </c>
      <c r="J35" s="85"/>
      <c r="K35" s="86">
        <v>0</v>
      </c>
      <c r="L35" s="88"/>
      <c r="M35" s="79">
        <f t="shared" si="0"/>
        <v>0</v>
      </c>
      <c r="N35" s="75">
        <f t="shared" si="1"/>
        <v>0</v>
      </c>
      <c r="O35" s="56"/>
      <c r="P35" s="57"/>
      <c r="Q35" s="57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5.75" customHeight="1" x14ac:dyDescent="0.3">
      <c r="A36" s="72">
        <v>2220012</v>
      </c>
      <c r="B36" s="73" t="s">
        <v>22</v>
      </c>
      <c r="C36" s="73">
        <v>13.7</v>
      </c>
      <c r="D36" s="73">
        <v>13.7</v>
      </c>
      <c r="E36" s="74" t="s">
        <v>133</v>
      </c>
      <c r="F36" s="75">
        <v>-2</v>
      </c>
      <c r="G36" s="75">
        <v>27</v>
      </c>
      <c r="H36" s="84">
        <v>130</v>
      </c>
      <c r="I36" s="85">
        <v>138</v>
      </c>
      <c r="J36" s="85"/>
      <c r="K36" s="86">
        <v>136</v>
      </c>
      <c r="L36" s="79"/>
      <c r="M36" s="79">
        <f t="shared" si="0"/>
        <v>-8</v>
      </c>
      <c r="N36" s="75">
        <f t="shared" si="1"/>
        <v>29</v>
      </c>
      <c r="O36" s="56"/>
      <c r="P36" s="57"/>
      <c r="Q36" s="57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5.75" customHeight="1" x14ac:dyDescent="0.3">
      <c r="A37" s="72">
        <v>2220135</v>
      </c>
      <c r="B37" s="73" t="s">
        <v>152</v>
      </c>
      <c r="C37" s="73">
        <v>199</v>
      </c>
      <c r="D37" s="73">
        <v>199</v>
      </c>
      <c r="E37" s="74" t="s">
        <v>133</v>
      </c>
      <c r="F37" s="75">
        <v>0</v>
      </c>
      <c r="G37" s="75">
        <v>0</v>
      </c>
      <c r="H37" s="80">
        <v>0</v>
      </c>
      <c r="I37" s="81">
        <v>0</v>
      </c>
      <c r="J37" s="81"/>
      <c r="K37" s="83">
        <v>0</v>
      </c>
      <c r="L37" s="79"/>
      <c r="M37" s="79">
        <f t="shared" si="0"/>
        <v>0</v>
      </c>
      <c r="N37" s="75">
        <f t="shared" si="1"/>
        <v>0</v>
      </c>
      <c r="O37" s="56"/>
      <c r="P37" s="57"/>
      <c r="Q37" s="57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5.75" customHeight="1" x14ac:dyDescent="0.3">
      <c r="A38" s="91">
        <v>2220140</v>
      </c>
      <c r="B38" s="73" t="s">
        <v>153</v>
      </c>
      <c r="C38" s="73">
        <v>690</v>
      </c>
      <c r="D38" s="73">
        <v>690</v>
      </c>
      <c r="E38" s="74" t="s">
        <v>135</v>
      </c>
      <c r="F38" s="75">
        <v>2</v>
      </c>
      <c r="G38" s="75">
        <v>7</v>
      </c>
      <c r="H38" s="84">
        <v>11</v>
      </c>
      <c r="I38" s="85">
        <v>11</v>
      </c>
      <c r="J38" s="85"/>
      <c r="K38" s="86">
        <v>9</v>
      </c>
      <c r="L38" s="88"/>
      <c r="M38" s="79">
        <f t="shared" si="0"/>
        <v>4</v>
      </c>
      <c r="N38" s="75">
        <f t="shared" si="1"/>
        <v>9</v>
      </c>
      <c r="O38" s="56"/>
      <c r="P38" s="57"/>
      <c r="Q38" s="57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5.75" customHeight="1" x14ac:dyDescent="0.3">
      <c r="A39" s="72">
        <v>2220048</v>
      </c>
      <c r="B39" s="73" t="s">
        <v>154</v>
      </c>
      <c r="C39" s="73">
        <v>790</v>
      </c>
      <c r="D39" s="73">
        <v>790</v>
      </c>
      <c r="E39" s="74" t="s">
        <v>135</v>
      </c>
      <c r="F39" s="75">
        <v>0</v>
      </c>
      <c r="G39" s="75">
        <v>0</v>
      </c>
      <c r="H39" s="84">
        <v>0</v>
      </c>
      <c r="I39" s="85">
        <v>0</v>
      </c>
      <c r="J39" s="85"/>
      <c r="K39" s="86">
        <v>0</v>
      </c>
      <c r="L39" s="88"/>
      <c r="M39" s="79">
        <f t="shared" si="0"/>
        <v>0</v>
      </c>
      <c r="N39" s="75">
        <f t="shared" si="1"/>
        <v>0</v>
      </c>
      <c r="O39" s="56"/>
      <c r="P39" s="57"/>
      <c r="Q39" s="57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5.75" customHeight="1" x14ac:dyDescent="0.3">
      <c r="A40" s="91">
        <v>2220137</v>
      </c>
      <c r="B40" s="73" t="s">
        <v>155</v>
      </c>
      <c r="C40" s="73">
        <v>1050</v>
      </c>
      <c r="D40" s="73">
        <v>1050</v>
      </c>
      <c r="E40" s="74" t="s">
        <v>135</v>
      </c>
      <c r="F40" s="75">
        <v>0</v>
      </c>
      <c r="G40" s="75">
        <v>0</v>
      </c>
      <c r="H40" s="84">
        <v>0</v>
      </c>
      <c r="I40" s="85">
        <v>0</v>
      </c>
      <c r="J40" s="85"/>
      <c r="K40" s="86">
        <v>0</v>
      </c>
      <c r="L40" s="88"/>
      <c r="M40" s="79">
        <f t="shared" si="0"/>
        <v>0</v>
      </c>
      <c r="N40" s="75">
        <f t="shared" si="1"/>
        <v>0</v>
      </c>
      <c r="O40" s="56"/>
      <c r="P40" s="57"/>
      <c r="Q40" s="57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5.75" customHeight="1" x14ac:dyDescent="0.3">
      <c r="A41" s="72">
        <v>2220049</v>
      </c>
      <c r="B41" s="73" t="s">
        <v>156</v>
      </c>
      <c r="C41" s="73">
        <v>1200</v>
      </c>
      <c r="D41" s="73">
        <v>1200</v>
      </c>
      <c r="E41" s="74" t="s">
        <v>135</v>
      </c>
      <c r="F41" s="75">
        <v>0</v>
      </c>
      <c r="G41" s="75">
        <v>0</v>
      </c>
      <c r="H41" s="84">
        <v>0</v>
      </c>
      <c r="I41" s="85">
        <v>0</v>
      </c>
      <c r="J41" s="85"/>
      <c r="K41" s="86">
        <v>0</v>
      </c>
      <c r="L41" s="88"/>
      <c r="M41" s="79">
        <f t="shared" si="0"/>
        <v>0</v>
      </c>
      <c r="N41" s="75">
        <f t="shared" si="1"/>
        <v>0</v>
      </c>
      <c r="O41" s="56"/>
      <c r="P41" s="57"/>
      <c r="Q41" s="57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5.75" customHeight="1" x14ac:dyDescent="0.3">
      <c r="A42" s="72">
        <v>2220013</v>
      </c>
      <c r="B42" s="73" t="s">
        <v>23</v>
      </c>
      <c r="C42" s="73">
        <v>20.8</v>
      </c>
      <c r="D42" s="73">
        <v>20.8</v>
      </c>
      <c r="E42" s="74" t="s">
        <v>131</v>
      </c>
      <c r="F42" s="75">
        <v>25</v>
      </c>
      <c r="G42" s="75">
        <v>98</v>
      </c>
      <c r="H42" s="84">
        <v>454</v>
      </c>
      <c r="I42" s="85">
        <v>464</v>
      </c>
      <c r="J42" s="85"/>
      <c r="K42" s="86">
        <v>465</v>
      </c>
      <c r="L42" s="79"/>
      <c r="M42" s="79">
        <f t="shared" si="0"/>
        <v>14</v>
      </c>
      <c r="N42" s="75">
        <f t="shared" si="1"/>
        <v>97</v>
      </c>
      <c r="O42" s="56"/>
      <c r="P42" s="57"/>
      <c r="Q42" s="57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5.75" customHeight="1" x14ac:dyDescent="0.3">
      <c r="A43" s="72">
        <v>2220081</v>
      </c>
      <c r="B43" s="73" t="s">
        <v>157</v>
      </c>
      <c r="C43" s="73">
        <v>1755</v>
      </c>
      <c r="D43" s="73">
        <v>1755</v>
      </c>
      <c r="E43" s="74" t="s">
        <v>133</v>
      </c>
      <c r="F43" s="75">
        <v>11</v>
      </c>
      <c r="G43" s="75">
        <v>11</v>
      </c>
      <c r="H43" s="80">
        <v>0</v>
      </c>
      <c r="I43" s="81">
        <v>0</v>
      </c>
      <c r="J43" s="81"/>
      <c r="K43" s="83">
        <v>0</v>
      </c>
      <c r="L43" s="79"/>
      <c r="M43" s="79">
        <f t="shared" si="0"/>
        <v>11</v>
      </c>
      <c r="N43" s="75">
        <f t="shared" si="1"/>
        <v>11</v>
      </c>
      <c r="O43" s="56"/>
      <c r="P43" s="57"/>
      <c r="Q43" s="57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5.75" customHeight="1" x14ac:dyDescent="0.3">
      <c r="A44" s="91">
        <v>2220136</v>
      </c>
      <c r="B44" s="73" t="s">
        <v>158</v>
      </c>
      <c r="C44" s="73">
        <v>558.4</v>
      </c>
      <c r="D44" s="73">
        <v>558.4</v>
      </c>
      <c r="E44" s="74" t="s">
        <v>133</v>
      </c>
      <c r="F44" s="75">
        <v>0</v>
      </c>
      <c r="G44" s="75">
        <v>0</v>
      </c>
      <c r="H44" s="80">
        <v>0</v>
      </c>
      <c r="I44" s="81">
        <v>0</v>
      </c>
      <c r="J44" s="81"/>
      <c r="K44" s="83">
        <v>0</v>
      </c>
      <c r="L44" s="79"/>
      <c r="M44" s="79">
        <f t="shared" si="0"/>
        <v>0</v>
      </c>
      <c r="N44" s="75">
        <f t="shared" si="1"/>
        <v>0</v>
      </c>
      <c r="O44" s="56"/>
      <c r="P44" s="57"/>
      <c r="Q44" s="57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15.75" customHeight="1" x14ac:dyDescent="0.3">
      <c r="A45" s="72">
        <v>2220091</v>
      </c>
      <c r="B45" s="73" t="s">
        <v>159</v>
      </c>
      <c r="C45" s="73">
        <v>190</v>
      </c>
      <c r="D45" s="73">
        <v>190</v>
      </c>
      <c r="E45" s="74" t="s">
        <v>137</v>
      </c>
      <c r="F45" s="75">
        <v>0</v>
      </c>
      <c r="G45" s="75">
        <v>0</v>
      </c>
      <c r="H45" s="80">
        <v>0</v>
      </c>
      <c r="I45" s="81">
        <v>0</v>
      </c>
      <c r="J45" s="81"/>
      <c r="K45" s="83">
        <v>0</v>
      </c>
      <c r="L45" s="79"/>
      <c r="M45" s="79">
        <f t="shared" si="0"/>
        <v>0</v>
      </c>
      <c r="N45" s="75">
        <f t="shared" si="1"/>
        <v>0</v>
      </c>
      <c r="O45" s="56"/>
      <c r="P45" s="57"/>
      <c r="Q45" s="57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30" x14ac:dyDescent="0.3">
      <c r="A46" s="72">
        <v>2220079</v>
      </c>
      <c r="B46" s="73" t="s">
        <v>160</v>
      </c>
      <c r="C46" s="73">
        <v>287.86</v>
      </c>
      <c r="D46" s="73">
        <v>287.86</v>
      </c>
      <c r="E46" s="74" t="s">
        <v>133</v>
      </c>
      <c r="F46" s="75">
        <v>0</v>
      </c>
      <c r="G46" s="75">
        <v>0</v>
      </c>
      <c r="H46" s="80">
        <v>0</v>
      </c>
      <c r="I46" s="81">
        <v>0</v>
      </c>
      <c r="J46" s="81"/>
      <c r="K46" s="83">
        <v>0</v>
      </c>
      <c r="L46" s="79"/>
      <c r="M46" s="79">
        <f t="shared" si="0"/>
        <v>0</v>
      </c>
      <c r="N46" s="75">
        <f t="shared" si="1"/>
        <v>0</v>
      </c>
      <c r="O46" s="56"/>
      <c r="P46" s="57"/>
      <c r="Q46" s="57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30" x14ac:dyDescent="0.3">
      <c r="A47" s="72">
        <v>2220076</v>
      </c>
      <c r="B47" s="73" t="s">
        <v>161</v>
      </c>
      <c r="C47" s="73">
        <v>164</v>
      </c>
      <c r="D47" s="73">
        <v>164</v>
      </c>
      <c r="E47" s="74" t="s">
        <v>133</v>
      </c>
      <c r="F47" s="75">
        <v>0</v>
      </c>
      <c r="G47" s="75">
        <v>0</v>
      </c>
      <c r="H47" s="80">
        <v>0</v>
      </c>
      <c r="I47" s="81">
        <v>0</v>
      </c>
      <c r="J47" s="81"/>
      <c r="K47" s="83">
        <v>0</v>
      </c>
      <c r="L47" s="79"/>
      <c r="M47" s="79">
        <f t="shared" si="0"/>
        <v>0</v>
      </c>
      <c r="N47" s="75">
        <f t="shared" si="1"/>
        <v>0</v>
      </c>
      <c r="O47" s="56"/>
      <c r="P47" s="57"/>
      <c r="Q47" s="57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5.75" customHeight="1" x14ac:dyDescent="0.3">
      <c r="A48" s="72">
        <v>2220014</v>
      </c>
      <c r="B48" s="73" t="s">
        <v>24</v>
      </c>
      <c r="C48" s="73">
        <v>59.9</v>
      </c>
      <c r="D48" s="73">
        <v>59.9</v>
      </c>
      <c r="E48" s="74" t="s">
        <v>137</v>
      </c>
      <c r="F48" s="75">
        <v>-2.2000000000000011</v>
      </c>
      <c r="G48" s="75">
        <v>1.6500000000000004</v>
      </c>
      <c r="H48" s="80">
        <v>7</v>
      </c>
      <c r="I48" s="81">
        <v>6.65</v>
      </c>
      <c r="J48" s="81"/>
      <c r="K48" s="83">
        <v>6.75</v>
      </c>
      <c r="L48" s="79"/>
      <c r="M48" s="79">
        <f t="shared" si="0"/>
        <v>-1.9500000000000011</v>
      </c>
      <c r="N48" s="75">
        <f t="shared" si="1"/>
        <v>1.5500000000000007</v>
      </c>
      <c r="O48" s="56"/>
      <c r="P48" s="57"/>
      <c r="Q48" s="57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5.75" customHeight="1" x14ac:dyDescent="0.3">
      <c r="A49" s="72">
        <v>2220015</v>
      </c>
      <c r="B49" s="73" t="s">
        <v>25</v>
      </c>
      <c r="C49" s="73">
        <v>98.9</v>
      </c>
      <c r="D49" s="73">
        <v>98.9</v>
      </c>
      <c r="E49" s="74" t="s">
        <v>137</v>
      </c>
      <c r="F49" s="75">
        <v>-0.14999999999999858</v>
      </c>
      <c r="G49" s="75">
        <v>4.0499999999999901</v>
      </c>
      <c r="H49" s="80">
        <v>18</v>
      </c>
      <c r="I49" s="81">
        <v>18.850000000000001</v>
      </c>
      <c r="J49" s="81"/>
      <c r="K49" s="83">
        <v>18.95</v>
      </c>
      <c r="L49" s="79"/>
      <c r="M49" s="79">
        <f t="shared" si="0"/>
        <v>-1.0999999999999979</v>
      </c>
      <c r="N49" s="75">
        <f t="shared" si="1"/>
        <v>3.9499999999999922</v>
      </c>
      <c r="O49" s="56"/>
      <c r="P49" s="57"/>
      <c r="Q49" s="57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5.75" customHeight="1" x14ac:dyDescent="0.3">
      <c r="A50" s="72">
        <v>2220052</v>
      </c>
      <c r="B50" s="73" t="s">
        <v>162</v>
      </c>
      <c r="C50" s="73">
        <v>2710</v>
      </c>
      <c r="D50" s="73">
        <v>2710</v>
      </c>
      <c r="E50" s="74" t="s">
        <v>135</v>
      </c>
      <c r="F50" s="75">
        <v>4</v>
      </c>
      <c r="G50" s="75">
        <v>4</v>
      </c>
      <c r="H50" s="80">
        <v>0</v>
      </c>
      <c r="I50" s="81">
        <v>0</v>
      </c>
      <c r="J50" s="81"/>
      <c r="K50" s="83">
        <v>1</v>
      </c>
      <c r="L50" s="79"/>
      <c r="M50" s="79">
        <f t="shared" si="0"/>
        <v>3</v>
      </c>
      <c r="N50" s="75">
        <f t="shared" si="1"/>
        <v>3</v>
      </c>
      <c r="O50" s="56"/>
      <c r="P50" s="57"/>
      <c r="Q50" s="57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15.75" customHeight="1" x14ac:dyDescent="0.3">
      <c r="A51" s="72">
        <v>2220093</v>
      </c>
      <c r="B51" s="73" t="s">
        <v>163</v>
      </c>
      <c r="C51" s="73">
        <v>1091.99</v>
      </c>
      <c r="D51" s="73">
        <v>1091.99</v>
      </c>
      <c r="E51" s="74" t="s">
        <v>133</v>
      </c>
      <c r="F51" s="75">
        <v>0</v>
      </c>
      <c r="G51" s="75">
        <v>0</v>
      </c>
      <c r="H51" s="80">
        <v>0</v>
      </c>
      <c r="I51" s="81">
        <v>0</v>
      </c>
      <c r="J51" s="81"/>
      <c r="K51" s="83">
        <v>0</v>
      </c>
      <c r="L51" s="79"/>
      <c r="M51" s="79">
        <f t="shared" si="0"/>
        <v>0</v>
      </c>
      <c r="N51" s="75">
        <f t="shared" si="1"/>
        <v>0</v>
      </c>
      <c r="O51" s="56"/>
      <c r="P51" s="57"/>
      <c r="Q51" s="57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5.75" customHeight="1" x14ac:dyDescent="0.3">
      <c r="A52" s="72">
        <v>2220092</v>
      </c>
      <c r="B52" s="73" t="s">
        <v>164</v>
      </c>
      <c r="C52" s="73">
        <v>484.4</v>
      </c>
      <c r="D52" s="73">
        <v>484.4</v>
      </c>
      <c r="E52" s="74" t="s">
        <v>133</v>
      </c>
      <c r="F52" s="75">
        <v>5</v>
      </c>
      <c r="G52" s="75">
        <v>5</v>
      </c>
      <c r="H52" s="80">
        <v>0</v>
      </c>
      <c r="I52" s="81">
        <v>0</v>
      </c>
      <c r="J52" s="81"/>
      <c r="K52" s="83">
        <v>0</v>
      </c>
      <c r="L52" s="79"/>
      <c r="M52" s="79">
        <f t="shared" si="0"/>
        <v>5</v>
      </c>
      <c r="N52" s="75">
        <f t="shared" si="1"/>
        <v>5</v>
      </c>
      <c r="O52" s="56"/>
      <c r="P52" s="57"/>
      <c r="Q52" s="57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5.75" customHeight="1" x14ac:dyDescent="0.3">
      <c r="A53" s="92">
        <v>2220144</v>
      </c>
      <c r="B53" s="93" t="s">
        <v>165</v>
      </c>
      <c r="C53" s="93">
        <v>631.04</v>
      </c>
      <c r="D53" s="93">
        <v>631.04</v>
      </c>
      <c r="E53" s="94" t="s">
        <v>133</v>
      </c>
      <c r="F53" s="95">
        <v>0</v>
      </c>
      <c r="G53" s="95">
        <v>0</v>
      </c>
      <c r="H53" s="80">
        <v>0</v>
      </c>
      <c r="I53" s="81">
        <v>0</v>
      </c>
      <c r="J53" s="96"/>
      <c r="K53" s="83">
        <v>0</v>
      </c>
      <c r="L53" s="97"/>
      <c r="M53" s="79">
        <f t="shared" si="0"/>
        <v>0</v>
      </c>
      <c r="N53" s="75">
        <f t="shared" si="1"/>
        <v>0</v>
      </c>
      <c r="O53" s="56"/>
      <c r="P53" s="57"/>
      <c r="Q53" s="57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5.75" customHeight="1" x14ac:dyDescent="0.3">
      <c r="A54" s="72">
        <v>2220016</v>
      </c>
      <c r="B54" s="73" t="s">
        <v>26</v>
      </c>
      <c r="C54" s="73">
        <v>26.1</v>
      </c>
      <c r="D54" s="73">
        <v>26.1</v>
      </c>
      <c r="E54" s="74" t="s">
        <v>133</v>
      </c>
      <c r="F54" s="75">
        <v>19</v>
      </c>
      <c r="G54" s="75">
        <v>145</v>
      </c>
      <c r="H54" s="80">
        <v>536</v>
      </c>
      <c r="I54" s="81">
        <v>523</v>
      </c>
      <c r="J54" s="81"/>
      <c r="K54" s="83">
        <v>521</v>
      </c>
      <c r="L54" s="79"/>
      <c r="M54" s="79">
        <f t="shared" si="0"/>
        <v>34</v>
      </c>
      <c r="N54" s="75">
        <f t="shared" si="1"/>
        <v>147</v>
      </c>
      <c r="O54" s="56"/>
      <c r="P54" s="57"/>
      <c r="Q54" s="57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5.75" customHeight="1" x14ac:dyDescent="0.3">
      <c r="A55" s="72">
        <v>2220131</v>
      </c>
      <c r="B55" s="73" t="s">
        <v>166</v>
      </c>
      <c r="C55" s="73">
        <v>78.2</v>
      </c>
      <c r="D55" s="73">
        <v>78.2</v>
      </c>
      <c r="E55" s="74" t="s">
        <v>137</v>
      </c>
      <c r="F55" s="75">
        <v>-5.75</v>
      </c>
      <c r="G55" s="75">
        <v>2.5500000000000007</v>
      </c>
      <c r="H55" s="80">
        <v>12</v>
      </c>
      <c r="I55" s="81">
        <v>12</v>
      </c>
      <c r="J55" s="81"/>
      <c r="K55" s="83">
        <v>12</v>
      </c>
      <c r="L55" s="79"/>
      <c r="M55" s="79">
        <f t="shared" si="0"/>
        <v>-5.75</v>
      </c>
      <c r="N55" s="75">
        <f t="shared" si="1"/>
        <v>2.5500000000000007</v>
      </c>
      <c r="O55" s="56"/>
      <c r="P55" s="57"/>
      <c r="Q55" s="57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5" customHeight="1" x14ac:dyDescent="0.3">
      <c r="A56" s="72">
        <v>2220086</v>
      </c>
      <c r="B56" s="73" t="s">
        <v>167</v>
      </c>
      <c r="C56" s="73">
        <v>440</v>
      </c>
      <c r="D56" s="73">
        <v>440</v>
      </c>
      <c r="E56" s="74" t="s">
        <v>133</v>
      </c>
      <c r="F56" s="75">
        <v>0</v>
      </c>
      <c r="G56" s="75">
        <v>0</v>
      </c>
      <c r="H56" s="80">
        <v>0</v>
      </c>
      <c r="I56" s="81">
        <v>0</v>
      </c>
      <c r="J56" s="81"/>
      <c r="K56" s="83">
        <v>0</v>
      </c>
      <c r="L56" s="79"/>
      <c r="M56" s="79">
        <f t="shared" si="0"/>
        <v>0</v>
      </c>
      <c r="N56" s="75">
        <f t="shared" si="1"/>
        <v>0</v>
      </c>
      <c r="O56" s="56"/>
      <c r="P56" s="57"/>
      <c r="Q56" s="57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5.75" customHeight="1" x14ac:dyDescent="0.3">
      <c r="A57" s="72">
        <v>2220017</v>
      </c>
      <c r="B57" s="73" t="s">
        <v>74</v>
      </c>
      <c r="C57" s="73">
        <v>135.4</v>
      </c>
      <c r="D57" s="73">
        <v>135.4</v>
      </c>
      <c r="E57" s="74" t="s">
        <v>137</v>
      </c>
      <c r="F57" s="75">
        <v>-26.060000000000059</v>
      </c>
      <c r="G57" s="75">
        <v>-22</v>
      </c>
      <c r="H57" s="84">
        <v>226</v>
      </c>
      <c r="I57" s="85">
        <v>241.2</v>
      </c>
      <c r="J57" s="81"/>
      <c r="K57" s="86">
        <v>221.95</v>
      </c>
      <c r="L57" s="79"/>
      <c r="M57" s="79">
        <f t="shared" si="0"/>
        <v>-22.010000000000048</v>
      </c>
      <c r="N57" s="75">
        <f t="shared" si="1"/>
        <v>-2.75</v>
      </c>
      <c r="O57" s="56"/>
      <c r="P57" s="57"/>
      <c r="Q57" s="57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5.75" customHeight="1" x14ac:dyDescent="0.3">
      <c r="A58" s="72">
        <v>2220062</v>
      </c>
      <c r="B58" s="73" t="s">
        <v>168</v>
      </c>
      <c r="C58" s="73">
        <v>850</v>
      </c>
      <c r="D58" s="73">
        <v>850</v>
      </c>
      <c r="E58" s="74" t="s">
        <v>135</v>
      </c>
      <c r="F58" s="75">
        <v>0</v>
      </c>
      <c r="G58" s="75">
        <v>0</v>
      </c>
      <c r="H58" s="84">
        <v>0</v>
      </c>
      <c r="I58" s="85">
        <v>0</v>
      </c>
      <c r="J58" s="81"/>
      <c r="K58" s="86">
        <v>0</v>
      </c>
      <c r="L58" s="79"/>
      <c r="M58" s="79">
        <f t="shared" si="0"/>
        <v>0</v>
      </c>
      <c r="N58" s="75">
        <f t="shared" si="1"/>
        <v>0</v>
      </c>
      <c r="O58" s="56"/>
      <c r="P58" s="57"/>
      <c r="Q58" s="57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5.75" customHeight="1" x14ac:dyDescent="0.3">
      <c r="A59" s="72">
        <v>2220082</v>
      </c>
      <c r="B59" s="73" t="s">
        <v>169</v>
      </c>
      <c r="C59" s="73">
        <v>376.36</v>
      </c>
      <c r="D59" s="73">
        <v>376.36</v>
      </c>
      <c r="E59" s="74" t="s">
        <v>135</v>
      </c>
      <c r="F59" s="75">
        <v>2</v>
      </c>
      <c r="G59" s="75">
        <v>2</v>
      </c>
      <c r="H59" s="84">
        <v>0</v>
      </c>
      <c r="I59" s="85">
        <v>0</v>
      </c>
      <c r="J59" s="81"/>
      <c r="K59" s="86">
        <v>0</v>
      </c>
      <c r="L59" s="79"/>
      <c r="M59" s="79">
        <f t="shared" si="0"/>
        <v>2</v>
      </c>
      <c r="N59" s="75">
        <f t="shared" si="1"/>
        <v>2</v>
      </c>
      <c r="O59" s="56"/>
      <c r="P59" s="57"/>
      <c r="Q59" s="57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5.75" customHeight="1" x14ac:dyDescent="0.3">
      <c r="A60" s="72">
        <v>2220061</v>
      </c>
      <c r="B60" s="73" t="s">
        <v>170</v>
      </c>
      <c r="C60" s="73">
        <v>2500</v>
      </c>
      <c r="D60" s="73">
        <v>2500</v>
      </c>
      <c r="E60" s="74" t="s">
        <v>135</v>
      </c>
      <c r="F60" s="75">
        <v>0</v>
      </c>
      <c r="G60" s="75">
        <v>0</v>
      </c>
      <c r="H60" s="84">
        <v>0</v>
      </c>
      <c r="I60" s="85">
        <v>0</v>
      </c>
      <c r="J60" s="81"/>
      <c r="K60" s="86">
        <v>0</v>
      </c>
      <c r="L60" s="79"/>
      <c r="M60" s="79">
        <f t="shared" si="0"/>
        <v>0</v>
      </c>
      <c r="N60" s="75">
        <f t="shared" si="1"/>
        <v>0</v>
      </c>
      <c r="O60" s="56"/>
      <c r="P60" s="57"/>
      <c r="Q60" s="57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5.75" customHeight="1" x14ac:dyDescent="0.3">
      <c r="A61" s="72">
        <v>2220051</v>
      </c>
      <c r="B61" s="73" t="s">
        <v>171</v>
      </c>
      <c r="C61" s="73">
        <v>2840</v>
      </c>
      <c r="D61" s="73">
        <v>2840</v>
      </c>
      <c r="E61" s="74" t="s">
        <v>135</v>
      </c>
      <c r="F61" s="75">
        <v>4</v>
      </c>
      <c r="G61" s="75">
        <v>4</v>
      </c>
      <c r="H61" s="84">
        <v>0</v>
      </c>
      <c r="I61" s="85">
        <v>0</v>
      </c>
      <c r="J61" s="81"/>
      <c r="K61" s="86">
        <v>1</v>
      </c>
      <c r="L61" s="79"/>
      <c r="M61" s="79">
        <f t="shared" si="0"/>
        <v>3</v>
      </c>
      <c r="N61" s="75">
        <f t="shared" si="1"/>
        <v>3</v>
      </c>
      <c r="O61" s="56"/>
      <c r="P61" s="57"/>
      <c r="Q61" s="57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5.75" customHeight="1" x14ac:dyDescent="0.3">
      <c r="A62" s="72">
        <v>2220064</v>
      </c>
      <c r="B62" s="73" t="s">
        <v>172</v>
      </c>
      <c r="C62" s="73">
        <v>2370</v>
      </c>
      <c r="D62" s="73">
        <v>2370</v>
      </c>
      <c r="E62" s="74" t="s">
        <v>135</v>
      </c>
      <c r="F62" s="75">
        <v>3</v>
      </c>
      <c r="G62" s="75">
        <v>3</v>
      </c>
      <c r="H62" s="84">
        <v>0</v>
      </c>
      <c r="I62" s="85">
        <v>0</v>
      </c>
      <c r="J62" s="81"/>
      <c r="K62" s="86">
        <v>0</v>
      </c>
      <c r="L62" s="79"/>
      <c r="M62" s="79">
        <f t="shared" si="0"/>
        <v>3</v>
      </c>
      <c r="N62" s="75">
        <f t="shared" si="1"/>
        <v>3</v>
      </c>
      <c r="O62" s="56"/>
      <c r="P62" s="57"/>
      <c r="Q62" s="57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5" customHeight="1" x14ac:dyDescent="0.3">
      <c r="A63" s="72">
        <v>2220063</v>
      </c>
      <c r="B63" s="73" t="s">
        <v>173</v>
      </c>
      <c r="C63" s="73">
        <v>2720</v>
      </c>
      <c r="D63" s="73">
        <v>2720</v>
      </c>
      <c r="E63" s="74" t="s">
        <v>135</v>
      </c>
      <c r="F63" s="75">
        <v>0</v>
      </c>
      <c r="G63" s="75">
        <v>0</v>
      </c>
      <c r="H63" s="84">
        <v>0</v>
      </c>
      <c r="I63" s="85">
        <v>0</v>
      </c>
      <c r="J63" s="81"/>
      <c r="K63" s="83">
        <v>0</v>
      </c>
      <c r="L63" s="79"/>
      <c r="M63" s="79">
        <f t="shared" si="0"/>
        <v>0</v>
      </c>
      <c r="N63" s="75">
        <f t="shared" si="1"/>
        <v>0</v>
      </c>
      <c r="O63" s="56"/>
      <c r="P63" s="57"/>
      <c r="Q63" s="57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5" customHeight="1" x14ac:dyDescent="0.3">
      <c r="A64" s="72">
        <v>2220018</v>
      </c>
      <c r="B64" s="73" t="s">
        <v>28</v>
      </c>
      <c r="C64" s="73">
        <v>44.8</v>
      </c>
      <c r="D64" s="73">
        <v>44.8</v>
      </c>
      <c r="E64" s="74" t="s">
        <v>137</v>
      </c>
      <c r="F64" s="75">
        <v>-14.220000000000027</v>
      </c>
      <c r="G64" s="75">
        <v>14.900000000000006</v>
      </c>
      <c r="H64" s="84">
        <v>78</v>
      </c>
      <c r="I64" s="85">
        <v>78.45</v>
      </c>
      <c r="J64" s="81"/>
      <c r="K64" s="83">
        <v>82.7</v>
      </c>
      <c r="L64" s="79"/>
      <c r="M64" s="79">
        <f t="shared" si="0"/>
        <v>-18.92000000000003</v>
      </c>
      <c r="N64" s="75">
        <f t="shared" si="1"/>
        <v>10.650000000000006</v>
      </c>
      <c r="O64" s="56"/>
      <c r="P64" s="57"/>
      <c r="Q64" s="57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5" customHeight="1" x14ac:dyDescent="0.3">
      <c r="A65" s="72">
        <v>2220037</v>
      </c>
      <c r="B65" s="73" t="s">
        <v>174</v>
      </c>
      <c r="C65" s="73">
        <v>302.10000000000002</v>
      </c>
      <c r="D65" s="73">
        <v>302.10000000000002</v>
      </c>
      <c r="E65" s="74" t="s">
        <v>175</v>
      </c>
      <c r="F65" s="75">
        <v>24</v>
      </c>
      <c r="G65" s="75">
        <v>26</v>
      </c>
      <c r="H65" s="80">
        <v>10</v>
      </c>
      <c r="I65" s="81">
        <v>10</v>
      </c>
      <c r="J65" s="81"/>
      <c r="K65" s="83">
        <v>6</v>
      </c>
      <c r="L65" s="79"/>
      <c r="M65" s="79">
        <f t="shared" si="0"/>
        <v>28</v>
      </c>
      <c r="N65" s="75">
        <f t="shared" si="1"/>
        <v>30</v>
      </c>
      <c r="O65" s="56"/>
      <c r="P65" s="57"/>
      <c r="Q65" s="57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5" customHeight="1" x14ac:dyDescent="0.3">
      <c r="A66" s="72">
        <v>2220060</v>
      </c>
      <c r="B66" s="73" t="s">
        <v>176</v>
      </c>
      <c r="C66" s="73">
        <v>1610</v>
      </c>
      <c r="D66" s="73">
        <v>1610</v>
      </c>
      <c r="E66" s="74" t="s">
        <v>135</v>
      </c>
      <c r="F66" s="75">
        <v>1</v>
      </c>
      <c r="G66" s="75">
        <v>1</v>
      </c>
      <c r="H66" s="80">
        <v>0</v>
      </c>
      <c r="I66" s="81">
        <v>0</v>
      </c>
      <c r="J66" s="81"/>
      <c r="K66" s="83">
        <v>0</v>
      </c>
      <c r="L66" s="79"/>
      <c r="M66" s="79">
        <f t="shared" si="0"/>
        <v>1</v>
      </c>
      <c r="N66" s="75">
        <f t="shared" si="1"/>
        <v>1</v>
      </c>
      <c r="O66" s="56"/>
      <c r="P66" s="57"/>
      <c r="Q66" s="57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5" customHeight="1" x14ac:dyDescent="0.3">
      <c r="A67" s="72">
        <v>2220019</v>
      </c>
      <c r="B67" s="73" t="s">
        <v>29</v>
      </c>
      <c r="C67" s="73">
        <v>36.5</v>
      </c>
      <c r="D67" s="73">
        <v>36.5</v>
      </c>
      <c r="E67" s="74" t="s">
        <v>137</v>
      </c>
      <c r="F67" s="75">
        <v>-9.9000000000000057</v>
      </c>
      <c r="G67" s="75">
        <v>17.449999999999989</v>
      </c>
      <c r="H67" s="80">
        <v>84</v>
      </c>
      <c r="I67" s="81">
        <v>83.95</v>
      </c>
      <c r="J67" s="81"/>
      <c r="K67" s="83">
        <v>83.4</v>
      </c>
      <c r="L67" s="79"/>
      <c r="M67" s="79">
        <f t="shared" si="0"/>
        <v>-9.3000000000000114</v>
      </c>
      <c r="N67" s="75">
        <f t="shared" si="1"/>
        <v>17.999999999999986</v>
      </c>
      <c r="O67" s="56"/>
      <c r="P67" s="57"/>
      <c r="Q67" s="57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5.75" customHeight="1" x14ac:dyDescent="0.3">
      <c r="A68" s="72">
        <v>2220032</v>
      </c>
      <c r="B68" s="73" t="s">
        <v>177</v>
      </c>
      <c r="C68" s="73">
        <v>93.8</v>
      </c>
      <c r="D68" s="73">
        <v>93.8</v>
      </c>
      <c r="E68" s="74" t="s">
        <v>133</v>
      </c>
      <c r="F68" s="75">
        <v>16</v>
      </c>
      <c r="G68" s="75">
        <v>16</v>
      </c>
      <c r="H68" s="80">
        <v>9</v>
      </c>
      <c r="I68" s="81">
        <v>9</v>
      </c>
      <c r="J68" s="81"/>
      <c r="K68" s="83">
        <v>2</v>
      </c>
      <c r="L68" s="79"/>
      <c r="M68" s="79">
        <f t="shared" si="0"/>
        <v>23</v>
      </c>
      <c r="N68" s="75">
        <f t="shared" si="1"/>
        <v>23</v>
      </c>
      <c r="O68" s="56"/>
      <c r="P68" s="57"/>
      <c r="Q68" s="57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5.6" x14ac:dyDescent="0.3">
      <c r="A69" s="72">
        <v>2220020</v>
      </c>
      <c r="B69" s="73" t="s">
        <v>30</v>
      </c>
      <c r="C69" s="73">
        <v>75</v>
      </c>
      <c r="D69" s="73">
        <v>75</v>
      </c>
      <c r="E69" s="74" t="s">
        <v>137</v>
      </c>
      <c r="F69" s="75">
        <v>1.0999999999999979</v>
      </c>
      <c r="G69" s="75">
        <v>1.7499999999999964</v>
      </c>
      <c r="H69" s="80">
        <v>7.4</v>
      </c>
      <c r="I69" s="81">
        <v>7.9</v>
      </c>
      <c r="J69" s="81"/>
      <c r="K69" s="83">
        <v>7.9</v>
      </c>
      <c r="L69" s="79"/>
      <c r="M69" s="79">
        <f t="shared" si="0"/>
        <v>0.59999999999999787</v>
      </c>
      <c r="N69" s="75">
        <f t="shared" si="1"/>
        <v>1.7499999999999964</v>
      </c>
      <c r="O69" s="56"/>
      <c r="P69" s="57"/>
      <c r="Q69" s="57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30" x14ac:dyDescent="0.3">
      <c r="A70" s="72">
        <v>2220055</v>
      </c>
      <c r="B70" s="73" t="s">
        <v>178</v>
      </c>
      <c r="C70" s="73">
        <v>1120</v>
      </c>
      <c r="D70" s="73">
        <v>1120</v>
      </c>
      <c r="E70" s="74" t="s">
        <v>135</v>
      </c>
      <c r="F70" s="75">
        <v>5</v>
      </c>
      <c r="G70" s="75">
        <v>5</v>
      </c>
      <c r="H70" s="80">
        <v>1</v>
      </c>
      <c r="I70" s="81">
        <v>1</v>
      </c>
      <c r="J70" s="81"/>
      <c r="K70" s="83">
        <v>1</v>
      </c>
      <c r="L70" s="79"/>
      <c r="M70" s="79">
        <f t="shared" si="0"/>
        <v>5</v>
      </c>
      <c r="N70" s="75">
        <f t="shared" si="1"/>
        <v>5</v>
      </c>
      <c r="O70" s="56"/>
      <c r="P70" s="57"/>
      <c r="Q70" s="57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5.75" customHeight="1" x14ac:dyDescent="0.3">
      <c r="A71" s="92">
        <v>2220067</v>
      </c>
      <c r="B71" s="73" t="s">
        <v>179</v>
      </c>
      <c r="C71" s="73">
        <v>565.5</v>
      </c>
      <c r="D71" s="73">
        <v>565.5</v>
      </c>
      <c r="E71" s="74" t="s">
        <v>133</v>
      </c>
      <c r="F71" s="75">
        <v>5</v>
      </c>
      <c r="G71" s="75">
        <v>5</v>
      </c>
      <c r="H71" s="80">
        <v>0</v>
      </c>
      <c r="I71" s="81">
        <v>0</v>
      </c>
      <c r="J71" s="81"/>
      <c r="K71" s="83">
        <v>0</v>
      </c>
      <c r="L71" s="79"/>
      <c r="M71" s="79">
        <f t="shared" si="0"/>
        <v>5</v>
      </c>
      <c r="N71" s="75">
        <f t="shared" si="1"/>
        <v>5</v>
      </c>
      <c r="O71" s="56"/>
      <c r="P71" s="57"/>
      <c r="Q71" s="57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5.75" customHeight="1" x14ac:dyDescent="0.3">
      <c r="A72" s="92">
        <v>2220073</v>
      </c>
      <c r="B72" s="73" t="s">
        <v>180</v>
      </c>
      <c r="C72" s="73">
        <v>306.82</v>
      </c>
      <c r="D72" s="73">
        <v>306.82</v>
      </c>
      <c r="E72" s="74" t="s">
        <v>133</v>
      </c>
      <c r="F72" s="75">
        <v>5</v>
      </c>
      <c r="G72" s="75">
        <v>5</v>
      </c>
      <c r="H72" s="84">
        <v>0</v>
      </c>
      <c r="I72" s="85">
        <v>0</v>
      </c>
      <c r="J72" s="85"/>
      <c r="K72" s="86">
        <v>0</v>
      </c>
      <c r="L72" s="79"/>
      <c r="M72" s="79">
        <f t="shared" si="0"/>
        <v>5</v>
      </c>
      <c r="N72" s="75">
        <f t="shared" si="1"/>
        <v>5</v>
      </c>
      <c r="O72" s="56"/>
      <c r="P72" s="57"/>
      <c r="Q72" s="57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5.75" customHeight="1" x14ac:dyDescent="0.3">
      <c r="A73" s="92">
        <v>2220141</v>
      </c>
      <c r="B73" s="73" t="s">
        <v>181</v>
      </c>
      <c r="C73" s="73">
        <v>700</v>
      </c>
      <c r="D73" s="73">
        <v>700</v>
      </c>
      <c r="E73" s="74" t="s">
        <v>135</v>
      </c>
      <c r="F73" s="75">
        <v>-1</v>
      </c>
      <c r="G73" s="75">
        <v>6</v>
      </c>
      <c r="H73" s="84">
        <v>13</v>
      </c>
      <c r="I73" s="85">
        <v>13</v>
      </c>
      <c r="J73" s="85"/>
      <c r="K73" s="86">
        <v>6</v>
      </c>
      <c r="L73" s="88"/>
      <c r="M73" s="79">
        <f t="shared" si="0"/>
        <v>6</v>
      </c>
      <c r="N73" s="75">
        <f t="shared" si="1"/>
        <v>13</v>
      </c>
      <c r="O73" s="56"/>
      <c r="P73" s="57"/>
      <c r="Q73" s="57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5.75" customHeight="1" x14ac:dyDescent="0.3">
      <c r="A74" s="92">
        <v>2220056</v>
      </c>
      <c r="B74" s="73" t="s">
        <v>182</v>
      </c>
      <c r="C74" s="73">
        <v>800</v>
      </c>
      <c r="D74" s="73">
        <v>800</v>
      </c>
      <c r="E74" s="74" t="s">
        <v>135</v>
      </c>
      <c r="F74" s="75">
        <v>0</v>
      </c>
      <c r="G74" s="75">
        <v>0</v>
      </c>
      <c r="H74" s="84">
        <v>0</v>
      </c>
      <c r="I74" s="85">
        <v>0</v>
      </c>
      <c r="J74" s="85"/>
      <c r="K74" s="86">
        <v>0</v>
      </c>
      <c r="L74" s="88"/>
      <c r="M74" s="79">
        <f t="shared" si="0"/>
        <v>0</v>
      </c>
      <c r="N74" s="75">
        <f t="shared" si="1"/>
        <v>0</v>
      </c>
      <c r="O74" s="56"/>
      <c r="P74" s="57"/>
      <c r="Q74" s="57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27.75" customHeight="1" x14ac:dyDescent="0.3">
      <c r="A75" s="92">
        <v>2220142</v>
      </c>
      <c r="B75" s="73" t="s">
        <v>183</v>
      </c>
      <c r="C75" s="73">
        <v>650</v>
      </c>
      <c r="D75" s="73">
        <v>650</v>
      </c>
      <c r="E75" s="74" t="s">
        <v>135</v>
      </c>
      <c r="F75" s="75">
        <v>0</v>
      </c>
      <c r="G75" s="75">
        <v>0</v>
      </c>
      <c r="H75" s="84">
        <v>0</v>
      </c>
      <c r="I75" s="85">
        <v>0</v>
      </c>
      <c r="J75" s="85"/>
      <c r="K75" s="86">
        <v>0</v>
      </c>
      <c r="L75" s="88"/>
      <c r="M75" s="79">
        <f t="shared" si="0"/>
        <v>0</v>
      </c>
      <c r="N75" s="75">
        <f t="shared" si="1"/>
        <v>0</v>
      </c>
      <c r="O75" s="56"/>
      <c r="P75" s="57"/>
      <c r="Q75" s="57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5.75" customHeight="1" x14ac:dyDescent="0.3">
      <c r="A76" s="92">
        <v>2220075</v>
      </c>
      <c r="B76" s="73" t="s">
        <v>184</v>
      </c>
      <c r="C76" s="73">
        <v>698.4</v>
      </c>
      <c r="D76" s="73">
        <v>698.4</v>
      </c>
      <c r="E76" s="74" t="s">
        <v>135</v>
      </c>
      <c r="F76" s="75">
        <v>0</v>
      </c>
      <c r="G76" s="75">
        <v>0</v>
      </c>
      <c r="H76" s="80">
        <v>0</v>
      </c>
      <c r="I76" s="81">
        <v>0</v>
      </c>
      <c r="J76" s="81"/>
      <c r="K76" s="83">
        <v>0</v>
      </c>
      <c r="L76" s="79"/>
      <c r="M76" s="79">
        <f t="shared" si="0"/>
        <v>0</v>
      </c>
      <c r="N76" s="75">
        <f t="shared" si="1"/>
        <v>0</v>
      </c>
      <c r="O76" s="56"/>
      <c r="P76" s="57"/>
      <c r="Q76" s="57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5.75" customHeight="1" x14ac:dyDescent="0.3">
      <c r="A77" s="92">
        <v>2220034</v>
      </c>
      <c r="B77" s="73" t="s">
        <v>185</v>
      </c>
      <c r="C77" s="73">
        <v>62.5</v>
      </c>
      <c r="D77" s="73">
        <v>62.5</v>
      </c>
      <c r="E77" s="74" t="s">
        <v>133</v>
      </c>
      <c r="F77" s="75">
        <v>9</v>
      </c>
      <c r="G77" s="75">
        <v>9</v>
      </c>
      <c r="H77" s="80">
        <v>14</v>
      </c>
      <c r="I77" s="81">
        <v>14</v>
      </c>
      <c r="J77" s="81"/>
      <c r="K77" s="83">
        <v>14</v>
      </c>
      <c r="L77" s="79"/>
      <c r="M77" s="79">
        <f t="shared" si="0"/>
        <v>9</v>
      </c>
      <c r="N77" s="75">
        <f t="shared" si="1"/>
        <v>9</v>
      </c>
      <c r="O77" s="56"/>
      <c r="P77" s="57"/>
      <c r="Q77" s="57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5.75" customHeight="1" x14ac:dyDescent="0.3">
      <c r="A78" s="92">
        <v>2220033</v>
      </c>
      <c r="B78" s="73" t="s">
        <v>186</v>
      </c>
      <c r="C78" s="73">
        <v>72.400000000000006</v>
      </c>
      <c r="D78" s="73">
        <v>72.400000000000006</v>
      </c>
      <c r="E78" s="74" t="s">
        <v>133</v>
      </c>
      <c r="F78" s="75">
        <v>4</v>
      </c>
      <c r="G78" s="75">
        <v>6</v>
      </c>
      <c r="H78" s="80">
        <v>14</v>
      </c>
      <c r="I78" s="81">
        <v>14</v>
      </c>
      <c r="J78" s="81"/>
      <c r="K78" s="83">
        <v>14</v>
      </c>
      <c r="L78" s="79"/>
      <c r="M78" s="79">
        <f t="shared" si="0"/>
        <v>4</v>
      </c>
      <c r="N78" s="75">
        <f t="shared" si="1"/>
        <v>6</v>
      </c>
      <c r="O78" s="56"/>
      <c r="P78" s="57"/>
      <c r="Q78" s="57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31.5" customHeight="1" x14ac:dyDescent="0.3">
      <c r="A79" s="92">
        <v>2220021</v>
      </c>
      <c r="B79" s="73" t="s">
        <v>31</v>
      </c>
      <c r="C79" s="73">
        <v>41.2</v>
      </c>
      <c r="D79" s="73">
        <v>41.2</v>
      </c>
      <c r="E79" s="74" t="s">
        <v>137</v>
      </c>
      <c r="F79" s="75">
        <v>-10.040000000000035</v>
      </c>
      <c r="G79" s="75">
        <v>11.649999999999991</v>
      </c>
      <c r="H79" s="80">
        <v>59</v>
      </c>
      <c r="I79" s="81">
        <v>56.95</v>
      </c>
      <c r="J79" s="81"/>
      <c r="K79" s="83">
        <v>57</v>
      </c>
      <c r="L79" s="79"/>
      <c r="M79" s="79">
        <f t="shared" si="0"/>
        <v>-8.0400000000000347</v>
      </c>
      <c r="N79" s="75">
        <f t="shared" si="1"/>
        <v>11.599999999999994</v>
      </c>
      <c r="O79" s="56"/>
      <c r="P79" s="57"/>
      <c r="Q79" s="57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5.75" customHeight="1" x14ac:dyDescent="0.3">
      <c r="A80" s="98">
        <v>2220147</v>
      </c>
      <c r="B80" s="99" t="s">
        <v>187</v>
      </c>
      <c r="C80" s="99">
        <v>12</v>
      </c>
      <c r="D80" s="99">
        <v>12</v>
      </c>
      <c r="E80" s="100" t="s">
        <v>133</v>
      </c>
      <c r="F80" s="101">
        <v>0</v>
      </c>
      <c r="G80" s="102">
        <v>0</v>
      </c>
      <c r="H80" s="103">
        <v>0</v>
      </c>
      <c r="I80" s="104">
        <v>0</v>
      </c>
      <c r="J80" s="104"/>
      <c r="K80" s="83">
        <v>0</v>
      </c>
      <c r="L80" s="105"/>
      <c r="M80" s="79">
        <f t="shared" si="0"/>
        <v>0</v>
      </c>
      <c r="N80" s="75">
        <f t="shared" si="1"/>
        <v>0</v>
      </c>
      <c r="O80" s="56"/>
      <c r="P80" s="57"/>
      <c r="Q80" s="57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5.75" customHeight="1" x14ac:dyDescent="0.3">
      <c r="A81" s="92">
        <v>2220022</v>
      </c>
      <c r="B81" s="73" t="s">
        <v>78</v>
      </c>
      <c r="C81" s="73">
        <v>140.69999999999999</v>
      </c>
      <c r="D81" s="73">
        <v>140.69999999999999</v>
      </c>
      <c r="E81" s="74" t="s">
        <v>137</v>
      </c>
      <c r="F81" s="75">
        <v>-1.3100000000000023</v>
      </c>
      <c r="G81" s="75">
        <v>-0.60000000000000142</v>
      </c>
      <c r="H81" s="80">
        <v>8</v>
      </c>
      <c r="I81" s="81">
        <v>8.15</v>
      </c>
      <c r="J81" s="81"/>
      <c r="K81" s="83">
        <v>5.2</v>
      </c>
      <c r="L81" s="79"/>
      <c r="M81" s="79">
        <f t="shared" si="0"/>
        <v>1.4899999999999975</v>
      </c>
      <c r="N81" s="75">
        <f t="shared" si="1"/>
        <v>2.3499999999999988</v>
      </c>
      <c r="O81" s="56"/>
      <c r="P81" s="57"/>
      <c r="Q81" s="57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5.75" customHeight="1" x14ac:dyDescent="0.3">
      <c r="A82" s="92">
        <v>2220023</v>
      </c>
      <c r="B82" s="73" t="s">
        <v>32</v>
      </c>
      <c r="C82" s="73">
        <v>18.2</v>
      </c>
      <c r="D82" s="73">
        <v>18.2</v>
      </c>
      <c r="E82" s="74" t="s">
        <v>131</v>
      </c>
      <c r="F82" s="75">
        <v>1</v>
      </c>
      <c r="G82" s="75">
        <v>3</v>
      </c>
      <c r="H82" s="80">
        <v>14</v>
      </c>
      <c r="I82" s="81">
        <v>15</v>
      </c>
      <c r="J82" s="81"/>
      <c r="K82" s="83">
        <v>15</v>
      </c>
      <c r="L82" s="79"/>
      <c r="M82" s="79">
        <f t="shared" si="0"/>
        <v>0</v>
      </c>
      <c r="N82" s="75">
        <f t="shared" si="1"/>
        <v>3</v>
      </c>
      <c r="O82" s="56"/>
      <c r="P82" s="57"/>
      <c r="Q82" s="57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5.75" customHeight="1" x14ac:dyDescent="0.3">
      <c r="A83" s="92">
        <v>2220024</v>
      </c>
      <c r="B83" s="73" t="s">
        <v>33</v>
      </c>
      <c r="C83" s="73">
        <v>31.3</v>
      </c>
      <c r="D83" s="73">
        <v>31.3</v>
      </c>
      <c r="E83" s="74" t="s">
        <v>137</v>
      </c>
      <c r="F83" s="75">
        <v>31.009999999999991</v>
      </c>
      <c r="G83" s="75">
        <v>23</v>
      </c>
      <c r="H83" s="80">
        <v>112</v>
      </c>
      <c r="I83" s="81">
        <v>111.25</v>
      </c>
      <c r="J83" s="81"/>
      <c r="K83" s="83">
        <v>110.2</v>
      </c>
      <c r="L83" s="79"/>
      <c r="M83" s="79">
        <f t="shared" si="0"/>
        <v>32.809999999999988</v>
      </c>
      <c r="N83" s="75">
        <f t="shared" si="1"/>
        <v>24.049999999999997</v>
      </c>
      <c r="O83" s="56"/>
      <c r="P83" s="57"/>
      <c r="Q83" s="57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30" x14ac:dyDescent="0.3">
      <c r="A84" s="92">
        <v>2220074</v>
      </c>
      <c r="B84" s="73" t="s">
        <v>188</v>
      </c>
      <c r="C84" s="73">
        <v>312.25</v>
      </c>
      <c r="D84" s="73">
        <v>312.25</v>
      </c>
      <c r="E84" s="74" t="s">
        <v>133</v>
      </c>
      <c r="F84" s="75">
        <v>0</v>
      </c>
      <c r="G84" s="75">
        <v>0</v>
      </c>
      <c r="H84" s="80">
        <v>0</v>
      </c>
      <c r="I84" s="81">
        <v>0</v>
      </c>
      <c r="J84" s="81"/>
      <c r="K84" s="86">
        <v>0</v>
      </c>
      <c r="L84" s="79"/>
      <c r="M84" s="79">
        <f t="shared" si="0"/>
        <v>0</v>
      </c>
      <c r="N84" s="75">
        <f t="shared" si="1"/>
        <v>0</v>
      </c>
      <c r="O84" s="56"/>
      <c r="P84" s="57"/>
      <c r="Q84" s="57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5.75" customHeight="1" x14ac:dyDescent="0.3">
      <c r="A85" s="92">
        <v>2220043</v>
      </c>
      <c r="B85" s="73" t="s">
        <v>189</v>
      </c>
      <c r="C85" s="73">
        <v>125</v>
      </c>
      <c r="D85" s="73">
        <v>125</v>
      </c>
      <c r="E85" s="74" t="s">
        <v>137</v>
      </c>
      <c r="F85" s="75">
        <v>-6.1399999999998727</v>
      </c>
      <c r="G85" s="75">
        <v>23.0300000000002</v>
      </c>
      <c r="H85" s="80">
        <v>612</v>
      </c>
      <c r="I85" s="81">
        <v>616.95000000000005</v>
      </c>
      <c r="J85" s="81"/>
      <c r="K85" s="83">
        <v>493.82</v>
      </c>
      <c r="L85" s="79"/>
      <c r="M85" s="79">
        <f t="shared" si="0"/>
        <v>112.04000000000013</v>
      </c>
      <c r="N85" s="75">
        <f t="shared" si="1"/>
        <v>146.16000000000025</v>
      </c>
      <c r="O85" s="56"/>
      <c r="P85" s="57"/>
      <c r="Q85" s="57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5.75" customHeight="1" x14ac:dyDescent="0.3">
      <c r="A86" s="92">
        <v>2220083</v>
      </c>
      <c r="B86" s="73" t="s">
        <v>190</v>
      </c>
      <c r="C86" s="73">
        <v>55</v>
      </c>
      <c r="D86" s="73">
        <v>55</v>
      </c>
      <c r="E86" s="74" t="s">
        <v>137</v>
      </c>
      <c r="F86" s="75">
        <v>0</v>
      </c>
      <c r="G86" s="75">
        <v>0</v>
      </c>
      <c r="H86" s="84">
        <v>0</v>
      </c>
      <c r="I86" s="85">
        <v>0</v>
      </c>
      <c r="J86" s="85"/>
      <c r="K86" s="86">
        <v>0</v>
      </c>
      <c r="L86" s="88"/>
      <c r="M86" s="79">
        <f t="shared" si="0"/>
        <v>0</v>
      </c>
      <c r="N86" s="75">
        <f t="shared" si="1"/>
        <v>0</v>
      </c>
      <c r="O86" s="56"/>
      <c r="P86" s="57"/>
      <c r="Q86" s="57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5.75" customHeight="1" x14ac:dyDescent="0.3">
      <c r="A87" s="92">
        <v>2220143</v>
      </c>
      <c r="B87" s="73" t="s">
        <v>191</v>
      </c>
      <c r="C87" s="73">
        <v>590</v>
      </c>
      <c r="D87" s="73">
        <v>590</v>
      </c>
      <c r="E87" s="74" t="s">
        <v>135</v>
      </c>
      <c r="F87" s="75">
        <v>1</v>
      </c>
      <c r="G87" s="75">
        <v>15</v>
      </c>
      <c r="H87" s="84">
        <v>25</v>
      </c>
      <c r="I87" s="85">
        <v>25</v>
      </c>
      <c r="J87" s="85"/>
      <c r="K87" s="86">
        <v>19</v>
      </c>
      <c r="L87" s="88"/>
      <c r="M87" s="79">
        <f t="shared" si="0"/>
        <v>7</v>
      </c>
      <c r="N87" s="75">
        <f t="shared" si="1"/>
        <v>21</v>
      </c>
      <c r="O87" s="56"/>
      <c r="P87" s="57"/>
      <c r="Q87" s="57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5.75" customHeight="1" x14ac:dyDescent="0.3">
      <c r="A88" s="72">
        <v>2220057</v>
      </c>
      <c r="B88" s="73" t="s">
        <v>192</v>
      </c>
      <c r="C88" s="73">
        <v>650</v>
      </c>
      <c r="D88" s="73">
        <v>650</v>
      </c>
      <c r="E88" s="74" t="s">
        <v>135</v>
      </c>
      <c r="F88" s="75">
        <v>0</v>
      </c>
      <c r="G88" s="75">
        <v>0</v>
      </c>
      <c r="H88" s="80">
        <v>0</v>
      </c>
      <c r="I88" s="81">
        <v>0</v>
      </c>
      <c r="J88" s="81"/>
      <c r="K88" s="83">
        <v>0</v>
      </c>
      <c r="L88" s="79"/>
      <c r="M88" s="79">
        <f t="shared" si="0"/>
        <v>0</v>
      </c>
      <c r="N88" s="75">
        <f t="shared" si="1"/>
        <v>0</v>
      </c>
      <c r="O88" s="56"/>
      <c r="P88" s="57"/>
      <c r="Q88" s="57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5" customHeight="1" x14ac:dyDescent="0.3">
      <c r="A89" s="72">
        <v>2220077</v>
      </c>
      <c r="B89" s="73" t="s">
        <v>193</v>
      </c>
      <c r="C89" s="73">
        <v>156.80000000000001</v>
      </c>
      <c r="D89" s="73">
        <v>156.80000000000001</v>
      </c>
      <c r="E89" s="74" t="s">
        <v>133</v>
      </c>
      <c r="F89" s="75">
        <v>1</v>
      </c>
      <c r="G89" s="75">
        <v>1</v>
      </c>
      <c r="H89" s="80">
        <v>0</v>
      </c>
      <c r="I89" s="81">
        <v>0</v>
      </c>
      <c r="J89" s="81"/>
      <c r="K89" s="83">
        <v>0</v>
      </c>
      <c r="L89" s="79"/>
      <c r="M89" s="79">
        <f t="shared" si="0"/>
        <v>1</v>
      </c>
      <c r="N89" s="75">
        <f t="shared" si="1"/>
        <v>1</v>
      </c>
      <c r="O89" s="56"/>
      <c r="P89" s="57"/>
      <c r="Q89" s="57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5.75" customHeight="1" x14ac:dyDescent="0.3">
      <c r="A90" s="72">
        <v>2220058</v>
      </c>
      <c r="B90" s="73" t="s">
        <v>194</v>
      </c>
      <c r="C90" s="73">
        <v>730</v>
      </c>
      <c r="D90" s="73">
        <v>730</v>
      </c>
      <c r="E90" s="74" t="s">
        <v>135</v>
      </c>
      <c r="F90" s="75">
        <v>2</v>
      </c>
      <c r="G90" s="75">
        <v>2</v>
      </c>
      <c r="H90" s="80">
        <v>2</v>
      </c>
      <c r="I90" s="81">
        <v>2</v>
      </c>
      <c r="J90" s="81"/>
      <c r="K90" s="83">
        <v>1</v>
      </c>
      <c r="L90" s="79"/>
      <c r="M90" s="79">
        <f t="shared" si="0"/>
        <v>3</v>
      </c>
      <c r="N90" s="75">
        <f t="shared" si="1"/>
        <v>3</v>
      </c>
      <c r="O90" s="56"/>
      <c r="P90" s="57"/>
      <c r="Q90" s="57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5.75" customHeight="1" x14ac:dyDescent="0.3">
      <c r="A91" s="72">
        <v>2220133</v>
      </c>
      <c r="B91" s="73" t="s">
        <v>195</v>
      </c>
      <c r="C91" s="73">
        <v>215.18</v>
      </c>
      <c r="D91" s="73">
        <v>215.18</v>
      </c>
      <c r="E91" s="74" t="s">
        <v>133</v>
      </c>
      <c r="F91" s="75">
        <v>0</v>
      </c>
      <c r="G91" s="75">
        <v>0</v>
      </c>
      <c r="H91" s="80">
        <v>0</v>
      </c>
      <c r="I91" s="81">
        <v>0</v>
      </c>
      <c r="J91" s="81"/>
      <c r="K91" s="83">
        <v>0</v>
      </c>
      <c r="L91" s="79"/>
      <c r="M91" s="79">
        <f t="shared" si="0"/>
        <v>0</v>
      </c>
      <c r="N91" s="75">
        <f t="shared" si="1"/>
        <v>0</v>
      </c>
      <c r="O91" s="56"/>
      <c r="P91" s="57"/>
      <c r="Q91" s="57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5.75" customHeight="1" x14ac:dyDescent="0.3">
      <c r="A92" s="72">
        <v>2220088</v>
      </c>
      <c r="B92" s="73" t="s">
        <v>196</v>
      </c>
      <c r="C92" s="73">
        <v>160</v>
      </c>
      <c r="D92" s="73">
        <v>160</v>
      </c>
      <c r="E92" s="74" t="s">
        <v>137</v>
      </c>
      <c r="F92" s="75">
        <v>0</v>
      </c>
      <c r="G92" s="75">
        <v>0</v>
      </c>
      <c r="H92" s="80">
        <v>0</v>
      </c>
      <c r="I92" s="81">
        <v>0</v>
      </c>
      <c r="J92" s="81"/>
      <c r="K92" s="83">
        <v>0</v>
      </c>
      <c r="L92" s="79"/>
      <c r="M92" s="79">
        <f t="shared" si="0"/>
        <v>0</v>
      </c>
      <c r="N92" s="75">
        <f t="shared" si="1"/>
        <v>0</v>
      </c>
      <c r="O92" s="56"/>
      <c r="P92" s="57"/>
      <c r="Q92" s="57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5.75" customHeight="1" x14ac:dyDescent="0.3">
      <c r="A93" s="72">
        <v>2220087</v>
      </c>
      <c r="B93" s="73" t="s">
        <v>197</v>
      </c>
      <c r="C93" s="73">
        <v>830</v>
      </c>
      <c r="D93" s="73">
        <v>830</v>
      </c>
      <c r="E93" s="74" t="s">
        <v>133</v>
      </c>
      <c r="F93" s="75">
        <v>0</v>
      </c>
      <c r="G93" s="75">
        <v>0</v>
      </c>
      <c r="H93" s="80">
        <v>0</v>
      </c>
      <c r="I93" s="81">
        <v>0</v>
      </c>
      <c r="J93" s="81"/>
      <c r="K93" s="83">
        <v>0</v>
      </c>
      <c r="L93" s="79"/>
      <c r="M93" s="79">
        <f t="shared" si="0"/>
        <v>0</v>
      </c>
      <c r="N93" s="75">
        <f t="shared" si="1"/>
        <v>0</v>
      </c>
      <c r="O93" s="56"/>
      <c r="P93" s="57"/>
      <c r="Q93" s="57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5.75" customHeight="1" x14ac:dyDescent="0.3">
      <c r="A94" s="72">
        <v>2220132</v>
      </c>
      <c r="B94" s="73" t="s">
        <v>198</v>
      </c>
      <c r="C94" s="73">
        <v>239</v>
      </c>
      <c r="D94" s="73">
        <v>239</v>
      </c>
      <c r="E94" s="74" t="s">
        <v>135</v>
      </c>
      <c r="F94" s="75">
        <v>0</v>
      </c>
      <c r="G94" s="75">
        <v>0</v>
      </c>
      <c r="H94" s="80">
        <v>0</v>
      </c>
      <c r="I94" s="81">
        <v>0</v>
      </c>
      <c r="J94" s="81"/>
      <c r="K94" s="83">
        <v>0</v>
      </c>
      <c r="L94" s="79"/>
      <c r="M94" s="79">
        <f t="shared" si="0"/>
        <v>0</v>
      </c>
      <c r="N94" s="75">
        <f t="shared" si="1"/>
        <v>0</v>
      </c>
      <c r="O94" s="56"/>
      <c r="P94" s="57"/>
      <c r="Q94" s="57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5.75" customHeight="1" x14ac:dyDescent="0.3">
      <c r="A95" s="72"/>
      <c r="B95" s="73" t="s">
        <v>199</v>
      </c>
      <c r="C95" s="73"/>
      <c r="D95" s="73"/>
      <c r="E95" s="74" t="s">
        <v>135</v>
      </c>
      <c r="F95" s="75">
        <v>0</v>
      </c>
      <c r="G95" s="75">
        <v>0</v>
      </c>
      <c r="H95" s="80">
        <v>0</v>
      </c>
      <c r="I95" s="81">
        <v>0</v>
      </c>
      <c r="J95" s="81"/>
      <c r="K95" s="83">
        <v>0</v>
      </c>
      <c r="L95" s="79"/>
      <c r="M95" s="79">
        <f t="shared" si="0"/>
        <v>0</v>
      </c>
      <c r="N95" s="75">
        <f t="shared" si="1"/>
        <v>0</v>
      </c>
      <c r="O95" s="56"/>
      <c r="P95" s="57"/>
      <c r="Q95" s="57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5.75" customHeight="1" x14ac:dyDescent="0.3">
      <c r="A96" s="72">
        <v>2220025</v>
      </c>
      <c r="B96" s="73" t="s">
        <v>34</v>
      </c>
      <c r="C96" s="73">
        <v>19.2</v>
      </c>
      <c r="D96" s="73">
        <v>19.2</v>
      </c>
      <c r="E96" s="74" t="s">
        <v>137</v>
      </c>
      <c r="F96" s="75">
        <v>-36.899999999999977</v>
      </c>
      <c r="G96" s="75">
        <v>39.350000000000023</v>
      </c>
      <c r="H96" s="80">
        <v>192</v>
      </c>
      <c r="I96" s="81">
        <v>200.35</v>
      </c>
      <c r="J96" s="81"/>
      <c r="K96" s="83">
        <v>196.45</v>
      </c>
      <c r="L96" s="79"/>
      <c r="M96" s="79">
        <f t="shared" si="0"/>
        <v>-41.349999999999966</v>
      </c>
      <c r="N96" s="75">
        <f t="shared" si="1"/>
        <v>43.250000000000028</v>
      </c>
      <c r="O96" s="56"/>
      <c r="P96" s="57"/>
      <c r="Q96" s="57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5.75" customHeight="1" x14ac:dyDescent="0.3">
      <c r="A97" s="72">
        <v>2220059</v>
      </c>
      <c r="B97" s="73" t="s">
        <v>200</v>
      </c>
      <c r="C97" s="73">
        <v>1310</v>
      </c>
      <c r="D97" s="73">
        <v>1310</v>
      </c>
      <c r="E97" s="74" t="s">
        <v>135</v>
      </c>
      <c r="F97" s="75">
        <v>3</v>
      </c>
      <c r="G97" s="75">
        <v>3</v>
      </c>
      <c r="H97" s="80">
        <v>1</v>
      </c>
      <c r="I97" s="81">
        <v>1</v>
      </c>
      <c r="J97" s="81"/>
      <c r="K97" s="83">
        <v>0</v>
      </c>
      <c r="L97" s="79"/>
      <c r="M97" s="79">
        <f t="shared" si="0"/>
        <v>4</v>
      </c>
      <c r="N97" s="75">
        <f t="shared" si="1"/>
        <v>4</v>
      </c>
      <c r="O97" s="56"/>
      <c r="P97" s="57"/>
      <c r="Q97" s="57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5.75" customHeight="1" x14ac:dyDescent="0.3">
      <c r="A98" s="72">
        <v>2220071</v>
      </c>
      <c r="B98" s="73" t="s">
        <v>201</v>
      </c>
      <c r="C98" s="73">
        <v>371</v>
      </c>
      <c r="D98" s="73">
        <v>371</v>
      </c>
      <c r="E98" s="74" t="s">
        <v>133</v>
      </c>
      <c r="F98" s="75">
        <v>0</v>
      </c>
      <c r="G98" s="75">
        <v>0</v>
      </c>
      <c r="H98" s="80">
        <v>0</v>
      </c>
      <c r="I98" s="81">
        <v>0</v>
      </c>
      <c r="J98" s="81"/>
      <c r="K98" s="83">
        <v>0</v>
      </c>
      <c r="L98" s="79"/>
      <c r="M98" s="79">
        <f t="shared" si="0"/>
        <v>0</v>
      </c>
      <c r="N98" s="75">
        <f t="shared" si="1"/>
        <v>0</v>
      </c>
      <c r="O98" s="56"/>
      <c r="P98" s="57"/>
      <c r="Q98" s="57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5.75" customHeight="1" x14ac:dyDescent="0.3">
      <c r="A99" s="72">
        <v>2220069</v>
      </c>
      <c r="B99" s="73" t="s">
        <v>113</v>
      </c>
      <c r="C99" s="73">
        <v>256</v>
      </c>
      <c r="D99" s="73">
        <v>256</v>
      </c>
      <c r="E99" s="74" t="s">
        <v>133</v>
      </c>
      <c r="F99" s="75">
        <v>8</v>
      </c>
      <c r="G99" s="75">
        <v>8</v>
      </c>
      <c r="H99" s="84">
        <v>0</v>
      </c>
      <c r="I99" s="85">
        <v>0</v>
      </c>
      <c r="J99" s="81"/>
      <c r="K99" s="83">
        <v>0</v>
      </c>
      <c r="L99" s="79"/>
      <c r="M99" s="79">
        <f t="shared" si="0"/>
        <v>8</v>
      </c>
      <c r="N99" s="75">
        <f t="shared" si="1"/>
        <v>8</v>
      </c>
      <c r="O99" s="56"/>
      <c r="P99" s="57"/>
      <c r="Q99" s="57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5.75" customHeight="1" x14ac:dyDescent="0.3">
      <c r="A100" s="72">
        <v>2220078</v>
      </c>
      <c r="B100" s="73" t="s">
        <v>202</v>
      </c>
      <c r="C100" s="73">
        <v>85</v>
      </c>
      <c r="D100" s="73">
        <v>85</v>
      </c>
      <c r="E100" s="74" t="s">
        <v>133</v>
      </c>
      <c r="F100" s="75">
        <v>0</v>
      </c>
      <c r="G100" s="75">
        <v>0</v>
      </c>
      <c r="H100" s="84">
        <v>0</v>
      </c>
      <c r="I100" s="85">
        <v>0</v>
      </c>
      <c r="J100" s="81"/>
      <c r="K100" s="83">
        <v>0</v>
      </c>
      <c r="L100" s="79"/>
      <c r="M100" s="79">
        <f t="shared" si="0"/>
        <v>0</v>
      </c>
      <c r="N100" s="75">
        <f t="shared" si="1"/>
        <v>0</v>
      </c>
      <c r="O100" s="56"/>
      <c r="P100" s="57"/>
      <c r="Q100" s="57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5.75" customHeight="1" x14ac:dyDescent="0.3">
      <c r="A101" s="72">
        <v>2220065</v>
      </c>
      <c r="B101" s="73" t="s">
        <v>203</v>
      </c>
      <c r="C101" s="73">
        <v>136.56</v>
      </c>
      <c r="D101" s="73">
        <v>136.56</v>
      </c>
      <c r="E101" s="74" t="s">
        <v>133</v>
      </c>
      <c r="F101" s="75">
        <v>0</v>
      </c>
      <c r="G101" s="75">
        <v>0</v>
      </c>
      <c r="H101" s="84">
        <v>0</v>
      </c>
      <c r="I101" s="85">
        <v>0</v>
      </c>
      <c r="J101" s="81"/>
      <c r="K101" s="83">
        <v>0</v>
      </c>
      <c r="L101" s="79"/>
      <c r="M101" s="79">
        <f t="shared" si="0"/>
        <v>0</v>
      </c>
      <c r="N101" s="75">
        <f t="shared" si="1"/>
        <v>0</v>
      </c>
      <c r="O101" s="56"/>
      <c r="P101" s="57"/>
      <c r="Q101" s="57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5.75" customHeight="1" x14ac:dyDescent="0.3">
      <c r="A102" s="72">
        <v>2220084</v>
      </c>
      <c r="B102" s="73" t="s">
        <v>204</v>
      </c>
      <c r="C102" s="73">
        <v>320</v>
      </c>
      <c r="D102" s="73">
        <v>320</v>
      </c>
      <c r="E102" s="74" t="s">
        <v>133</v>
      </c>
      <c r="F102" s="75">
        <v>0</v>
      </c>
      <c r="G102" s="75">
        <v>0</v>
      </c>
      <c r="H102" s="80">
        <v>0</v>
      </c>
      <c r="I102" s="81">
        <v>0</v>
      </c>
      <c r="J102" s="81"/>
      <c r="K102" s="83">
        <v>0</v>
      </c>
      <c r="L102" s="79"/>
      <c r="M102" s="79">
        <f t="shared" si="0"/>
        <v>0</v>
      </c>
      <c r="N102" s="75">
        <f t="shared" si="1"/>
        <v>0</v>
      </c>
      <c r="O102" s="56"/>
      <c r="P102" s="57"/>
      <c r="Q102" s="57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5.75" customHeight="1" x14ac:dyDescent="0.3">
      <c r="A103" s="92">
        <v>2220145</v>
      </c>
      <c r="B103" s="106" t="s">
        <v>205</v>
      </c>
      <c r="C103" s="106">
        <v>760</v>
      </c>
      <c r="D103" s="106">
        <v>760</v>
      </c>
      <c r="E103" s="107" t="s">
        <v>133</v>
      </c>
      <c r="F103" s="95">
        <v>0</v>
      </c>
      <c r="G103" s="95">
        <v>0</v>
      </c>
      <c r="H103" s="80">
        <v>0</v>
      </c>
      <c r="I103" s="81">
        <v>0</v>
      </c>
      <c r="J103" s="81"/>
      <c r="K103" s="83">
        <v>0</v>
      </c>
      <c r="L103" s="108"/>
      <c r="M103" s="79">
        <f t="shared" si="0"/>
        <v>0</v>
      </c>
      <c r="N103" s="75">
        <f t="shared" si="1"/>
        <v>0</v>
      </c>
      <c r="O103" s="56"/>
      <c r="P103" s="57"/>
      <c r="Q103" s="57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45" x14ac:dyDescent="0.3">
      <c r="A104" s="92">
        <v>2220146</v>
      </c>
      <c r="B104" s="73" t="s">
        <v>206</v>
      </c>
      <c r="C104" s="73">
        <v>638.4</v>
      </c>
      <c r="D104" s="73">
        <v>638.4</v>
      </c>
      <c r="E104" s="74" t="s">
        <v>133</v>
      </c>
      <c r="F104" s="95">
        <v>0</v>
      </c>
      <c r="G104" s="95">
        <v>0</v>
      </c>
      <c r="H104" s="80">
        <v>0</v>
      </c>
      <c r="I104" s="81">
        <v>0</v>
      </c>
      <c r="J104" s="81"/>
      <c r="K104" s="83">
        <v>0</v>
      </c>
      <c r="L104" s="109"/>
      <c r="M104" s="79">
        <f t="shared" si="0"/>
        <v>0</v>
      </c>
      <c r="N104" s="75">
        <f t="shared" si="1"/>
        <v>0</v>
      </c>
      <c r="O104" s="56"/>
      <c r="P104" s="57"/>
      <c r="Q104" s="57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5.75" customHeight="1" x14ac:dyDescent="0.3">
      <c r="A105" s="72">
        <v>2220026</v>
      </c>
      <c r="B105" s="73" t="s">
        <v>35</v>
      </c>
      <c r="C105" s="73">
        <v>67.7</v>
      </c>
      <c r="D105" s="73">
        <v>67.7</v>
      </c>
      <c r="E105" s="74" t="s">
        <v>137</v>
      </c>
      <c r="F105" s="75">
        <v>-9.8000000000000114</v>
      </c>
      <c r="G105" s="75">
        <v>9</v>
      </c>
      <c r="H105" s="80">
        <v>50</v>
      </c>
      <c r="I105" s="81">
        <v>49.9</v>
      </c>
      <c r="J105" s="81"/>
      <c r="K105" s="83">
        <v>48.5</v>
      </c>
      <c r="L105" s="79"/>
      <c r="M105" s="79">
        <f t="shared" si="0"/>
        <v>-8.3000000000000114</v>
      </c>
      <c r="N105" s="75">
        <f t="shared" si="1"/>
        <v>10.399999999999999</v>
      </c>
      <c r="O105" s="56"/>
      <c r="P105" s="57"/>
      <c r="Q105" s="57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5.75" customHeight="1" x14ac:dyDescent="0.3">
      <c r="A106" s="72">
        <v>2220027</v>
      </c>
      <c r="B106" s="110" t="s">
        <v>79</v>
      </c>
      <c r="C106" s="110">
        <v>166.7</v>
      </c>
      <c r="D106" s="110">
        <v>166.7</v>
      </c>
      <c r="E106" s="111" t="s">
        <v>137</v>
      </c>
      <c r="F106" s="112">
        <v>-1.399999999999999</v>
      </c>
      <c r="G106" s="112">
        <v>0.90000000000000169</v>
      </c>
      <c r="H106" s="113">
        <v>0</v>
      </c>
      <c r="I106" s="114">
        <v>0</v>
      </c>
      <c r="J106" s="76"/>
      <c r="K106" s="82">
        <v>0</v>
      </c>
      <c r="L106" s="112"/>
      <c r="M106" s="79">
        <f t="shared" si="0"/>
        <v>-1.399999999999999</v>
      </c>
      <c r="N106" s="75">
        <f t="shared" si="1"/>
        <v>0.90000000000000169</v>
      </c>
      <c r="O106" s="91"/>
      <c r="P106" s="57"/>
      <c r="Q106" s="57"/>
      <c r="R106" s="56"/>
      <c r="S106" s="56"/>
      <c r="T106" s="91"/>
      <c r="U106" s="91"/>
      <c r="V106" s="91"/>
      <c r="W106" s="91"/>
      <c r="X106" s="91"/>
      <c r="Y106" s="91"/>
      <c r="Z106" s="91"/>
    </row>
    <row r="107" spans="1:26" ht="15.75" customHeight="1" x14ac:dyDescent="0.3">
      <c r="A107" s="72">
        <v>2220080</v>
      </c>
      <c r="B107" s="73" t="s">
        <v>207</v>
      </c>
      <c r="C107" s="73">
        <v>15.85</v>
      </c>
      <c r="D107" s="73">
        <v>15.85</v>
      </c>
      <c r="E107" s="74" t="s">
        <v>133</v>
      </c>
      <c r="F107" s="75">
        <v>1</v>
      </c>
      <c r="G107" s="75">
        <v>1</v>
      </c>
      <c r="H107" s="76">
        <v>0</v>
      </c>
      <c r="I107" s="77">
        <v>0</v>
      </c>
      <c r="J107" s="77"/>
      <c r="K107" s="78">
        <v>0</v>
      </c>
      <c r="L107" s="75"/>
      <c r="M107" s="79">
        <f t="shared" si="0"/>
        <v>1</v>
      </c>
      <c r="N107" s="75">
        <f t="shared" si="1"/>
        <v>1</v>
      </c>
      <c r="O107" s="56"/>
      <c r="P107" s="57"/>
      <c r="Q107" s="57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5.75" customHeight="1" x14ac:dyDescent="0.3">
      <c r="A108" s="115">
        <v>2220035</v>
      </c>
      <c r="B108" s="110" t="s">
        <v>208</v>
      </c>
      <c r="C108" s="110">
        <v>75</v>
      </c>
      <c r="D108" s="110">
        <v>75</v>
      </c>
      <c r="E108" s="111" t="s">
        <v>133</v>
      </c>
      <c r="F108" s="112">
        <v>-2</v>
      </c>
      <c r="G108" s="112">
        <v>0</v>
      </c>
      <c r="H108" s="76">
        <v>4</v>
      </c>
      <c r="I108" s="76">
        <v>4</v>
      </c>
      <c r="J108" s="114"/>
      <c r="K108" s="116">
        <v>4</v>
      </c>
      <c r="L108" s="112"/>
      <c r="M108" s="79">
        <f t="shared" si="0"/>
        <v>-2</v>
      </c>
      <c r="N108" s="75">
        <f t="shared" si="1"/>
        <v>0</v>
      </c>
      <c r="O108" s="56" t="s">
        <v>209</v>
      </c>
      <c r="P108" s="57"/>
      <c r="Q108" s="57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6.5" customHeight="1" x14ac:dyDescent="0.3">
      <c r="A109" s="72">
        <v>2220045</v>
      </c>
      <c r="B109" s="73" t="s">
        <v>96</v>
      </c>
      <c r="C109" s="110">
        <v>86</v>
      </c>
      <c r="D109" s="110">
        <v>86</v>
      </c>
      <c r="E109" s="111" t="s">
        <v>210</v>
      </c>
      <c r="F109" s="112">
        <v>29</v>
      </c>
      <c r="G109" s="112">
        <v>29</v>
      </c>
      <c r="H109" s="117">
        <v>20</v>
      </c>
      <c r="I109" s="118">
        <v>20</v>
      </c>
      <c r="J109" s="118"/>
      <c r="K109" s="119">
        <v>2</v>
      </c>
      <c r="L109" s="75"/>
      <c r="M109" s="79">
        <f t="shared" si="0"/>
        <v>47</v>
      </c>
      <c r="N109" s="75">
        <f t="shared" si="1"/>
        <v>47</v>
      </c>
      <c r="O109" s="56"/>
      <c r="P109" s="57"/>
      <c r="Q109" s="57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5.75" customHeight="1" x14ac:dyDescent="0.3">
      <c r="A110" s="115">
        <v>2220028</v>
      </c>
      <c r="B110" s="110" t="s">
        <v>36</v>
      </c>
      <c r="C110" s="110">
        <v>29.2</v>
      </c>
      <c r="D110" s="110">
        <v>29.2</v>
      </c>
      <c r="E110" s="111" t="s">
        <v>137</v>
      </c>
      <c r="F110" s="112">
        <v>33.299999999999727</v>
      </c>
      <c r="G110" s="112">
        <v>105.9</v>
      </c>
      <c r="H110" s="117">
        <v>530</v>
      </c>
      <c r="I110" s="118">
        <v>529.70000000000005</v>
      </c>
      <c r="J110" s="118"/>
      <c r="K110" s="119">
        <v>520.79999999999995</v>
      </c>
      <c r="L110" s="112"/>
      <c r="M110" s="79">
        <f t="shared" si="0"/>
        <v>42.499999999999773</v>
      </c>
      <c r="N110" s="75">
        <f t="shared" si="1"/>
        <v>114.80000000000007</v>
      </c>
      <c r="O110" s="56"/>
      <c r="P110" s="57"/>
      <c r="Q110" s="57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5.6" x14ac:dyDescent="0.3">
      <c r="A111" s="92">
        <v>2220053</v>
      </c>
      <c r="B111" s="93" t="s">
        <v>211</v>
      </c>
      <c r="C111" s="120">
        <v>2830</v>
      </c>
      <c r="D111" s="120">
        <v>2830</v>
      </c>
      <c r="E111" s="94" t="s">
        <v>135</v>
      </c>
      <c r="F111" s="75">
        <v>1</v>
      </c>
      <c r="G111" s="75">
        <v>1</v>
      </c>
      <c r="H111" s="121">
        <v>0</v>
      </c>
      <c r="I111" s="121">
        <v>0</v>
      </c>
      <c r="J111" s="121"/>
      <c r="K111" s="122">
        <v>0</v>
      </c>
      <c r="L111" s="75"/>
      <c r="M111" s="79">
        <f t="shared" si="0"/>
        <v>1</v>
      </c>
      <c r="N111" s="75">
        <f t="shared" si="1"/>
        <v>1</v>
      </c>
      <c r="O111" s="56"/>
      <c r="P111" s="57"/>
      <c r="Q111" s="57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30" x14ac:dyDescent="0.3">
      <c r="A112" s="123"/>
      <c r="B112" s="124" t="s">
        <v>212</v>
      </c>
      <c r="C112" s="125"/>
      <c r="D112" s="125"/>
      <c r="E112" s="126"/>
      <c r="F112" s="112">
        <v>7</v>
      </c>
      <c r="G112" s="112">
        <v>7</v>
      </c>
      <c r="H112" s="127">
        <v>8</v>
      </c>
      <c r="I112" s="127">
        <v>8</v>
      </c>
      <c r="J112" s="127"/>
      <c r="K112" s="128">
        <v>12</v>
      </c>
      <c r="L112" s="112"/>
      <c r="M112" s="79">
        <f t="shared" si="0"/>
        <v>3</v>
      </c>
      <c r="N112" s="75">
        <f t="shared" si="1"/>
        <v>3</v>
      </c>
      <c r="O112" s="56"/>
      <c r="P112" s="57"/>
      <c r="Q112" s="57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30" x14ac:dyDescent="0.3">
      <c r="A113" s="92"/>
      <c r="B113" s="129" t="s">
        <v>213</v>
      </c>
      <c r="C113" s="120"/>
      <c r="D113" s="120"/>
      <c r="E113" s="94"/>
      <c r="F113" s="75">
        <v>0</v>
      </c>
      <c r="G113" s="75">
        <v>0</v>
      </c>
      <c r="H113" s="121">
        <v>4</v>
      </c>
      <c r="I113" s="121">
        <v>4</v>
      </c>
      <c r="J113" s="121"/>
      <c r="K113" s="122">
        <v>1</v>
      </c>
      <c r="L113" s="75"/>
      <c r="M113" s="79">
        <f t="shared" si="0"/>
        <v>3</v>
      </c>
      <c r="N113" s="75">
        <f t="shared" si="1"/>
        <v>3</v>
      </c>
      <c r="O113" s="56"/>
      <c r="P113" s="57"/>
      <c r="Q113" s="57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5.6" x14ac:dyDescent="0.3">
      <c r="A114" s="123"/>
      <c r="B114" s="124" t="s">
        <v>214</v>
      </c>
      <c r="C114" s="125"/>
      <c r="D114" s="125"/>
      <c r="E114" s="126"/>
      <c r="F114" s="112">
        <v>1</v>
      </c>
      <c r="G114" s="112">
        <v>1</v>
      </c>
      <c r="H114" s="127">
        <v>0</v>
      </c>
      <c r="I114" s="127">
        <v>0</v>
      </c>
      <c r="J114" s="127"/>
      <c r="K114" s="128">
        <v>0</v>
      </c>
      <c r="L114" s="112"/>
      <c r="M114" s="79">
        <f t="shared" si="0"/>
        <v>1</v>
      </c>
      <c r="N114" s="75">
        <f t="shared" si="1"/>
        <v>1</v>
      </c>
      <c r="O114" s="56"/>
      <c r="P114" s="57"/>
      <c r="Q114" s="57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5.6" x14ac:dyDescent="0.3">
      <c r="A115" s="130"/>
      <c r="B115" s="131" t="s">
        <v>215</v>
      </c>
      <c r="C115" s="132"/>
      <c r="D115" s="132"/>
      <c r="E115" s="133"/>
      <c r="F115" s="134">
        <v>1</v>
      </c>
      <c r="G115" s="134">
        <v>1</v>
      </c>
      <c r="H115" s="135">
        <v>2</v>
      </c>
      <c r="I115" s="135">
        <v>2</v>
      </c>
      <c r="J115" s="135"/>
      <c r="K115" s="136">
        <v>0</v>
      </c>
      <c r="L115" s="134"/>
      <c r="M115" s="79">
        <f t="shared" si="0"/>
        <v>3</v>
      </c>
      <c r="N115" s="75">
        <f t="shared" si="1"/>
        <v>3</v>
      </c>
      <c r="O115" s="56"/>
      <c r="P115" s="57"/>
      <c r="Q115" s="57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5.75" customHeight="1" x14ac:dyDescent="0.3">
      <c r="A116" s="137" t="s">
        <v>68</v>
      </c>
      <c r="B116" s="137"/>
      <c r="C116" s="137"/>
      <c r="D116" s="137"/>
      <c r="E116" s="138"/>
      <c r="F116" s="139">
        <f t="shared" ref="F116:J116" si="2">SUM(F8:F111)</f>
        <v>97.504999999999768</v>
      </c>
      <c r="G116" s="139">
        <f t="shared" si="2"/>
        <v>1139.03</v>
      </c>
      <c r="H116" s="139">
        <f t="shared" si="2"/>
        <v>5013.3999999999996</v>
      </c>
      <c r="I116" s="139">
        <f t="shared" si="2"/>
        <v>5108.9999999999991</v>
      </c>
      <c r="J116" s="139">
        <f t="shared" si="2"/>
        <v>0</v>
      </c>
      <c r="K116" s="139">
        <f>SUM(K8:K115)</f>
        <v>5033.119999999999</v>
      </c>
      <c r="L116" s="139">
        <f t="shared" ref="L116:N116" si="3">SUM(L8:L110)</f>
        <v>0</v>
      </c>
      <c r="M116" s="139">
        <f t="shared" si="3"/>
        <v>89.784999999999883</v>
      </c>
      <c r="N116" s="139">
        <f t="shared" si="3"/>
        <v>1226.9100000000003</v>
      </c>
      <c r="O116" s="56"/>
      <c r="P116" s="57"/>
      <c r="Q116" s="57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5.75" customHeight="1" x14ac:dyDescent="0.3">
      <c r="A117" s="56"/>
      <c r="B117" s="56"/>
      <c r="C117" s="56"/>
      <c r="D117" s="56"/>
      <c r="E117" s="14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7"/>
      <c r="Q117" s="57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5.75" customHeight="1" x14ac:dyDescent="0.3">
      <c r="A118" s="56"/>
      <c r="B118" s="56"/>
      <c r="C118" s="56"/>
      <c r="D118" s="56"/>
      <c r="E118" s="14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7"/>
      <c r="Q118" s="57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5.75" customHeight="1" x14ac:dyDescent="0.3">
      <c r="A119" s="56"/>
      <c r="B119" s="56"/>
      <c r="C119" s="56"/>
      <c r="D119" s="56"/>
      <c r="E119" s="14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7"/>
      <c r="Q119" s="57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5.75" customHeight="1" x14ac:dyDescent="0.3">
      <c r="A120" s="56"/>
      <c r="B120" s="56"/>
      <c r="C120" s="56"/>
      <c r="D120" s="56"/>
      <c r="E120" s="14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7"/>
      <c r="Q120" s="57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5.75" customHeight="1" x14ac:dyDescent="0.3">
      <c r="A121" s="56"/>
      <c r="B121" s="56"/>
      <c r="C121" s="56"/>
      <c r="D121" s="56"/>
      <c r="E121" s="14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7"/>
      <c r="Q121" s="57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5.75" customHeight="1" x14ac:dyDescent="0.3">
      <c r="A122" s="56"/>
      <c r="B122" s="56"/>
      <c r="C122" s="56"/>
      <c r="D122" s="56"/>
      <c r="E122" s="14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7"/>
      <c r="Q122" s="57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5.75" customHeight="1" x14ac:dyDescent="0.3">
      <c r="A123" s="56"/>
      <c r="B123" s="56"/>
      <c r="C123" s="56"/>
      <c r="D123" s="56"/>
      <c r="E123" s="14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7"/>
      <c r="Q123" s="57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5.75" customHeight="1" x14ac:dyDescent="0.3">
      <c r="A124" s="56"/>
      <c r="B124" s="56"/>
      <c r="C124" s="56"/>
      <c r="D124" s="56"/>
      <c r="E124" s="14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7"/>
      <c r="Q124" s="57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5.75" customHeight="1" x14ac:dyDescent="0.3">
      <c r="A125" s="56"/>
      <c r="B125" s="56"/>
      <c r="C125" s="56"/>
      <c r="D125" s="56"/>
      <c r="E125" s="14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7"/>
      <c r="Q125" s="57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5.75" customHeight="1" x14ac:dyDescent="0.3">
      <c r="A126" s="56"/>
      <c r="B126" s="56"/>
      <c r="C126" s="56"/>
      <c r="D126" s="56"/>
      <c r="E126" s="14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7"/>
      <c r="Q126" s="57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5.75" customHeight="1" x14ac:dyDescent="0.3">
      <c r="A127" s="56"/>
      <c r="B127" s="56"/>
      <c r="C127" s="56"/>
      <c r="D127" s="56"/>
      <c r="E127" s="14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7"/>
      <c r="Q127" s="57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5.75" customHeight="1" x14ac:dyDescent="0.3">
      <c r="A128" s="56"/>
      <c r="B128" s="56"/>
      <c r="C128" s="56"/>
      <c r="D128" s="56"/>
      <c r="E128" s="14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7"/>
      <c r="Q128" s="57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5.75" customHeight="1" x14ac:dyDescent="0.3">
      <c r="A129" s="56"/>
      <c r="B129" s="56"/>
      <c r="C129" s="56"/>
      <c r="D129" s="56"/>
      <c r="E129" s="14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7"/>
      <c r="Q129" s="57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5.75" customHeight="1" x14ac:dyDescent="0.3">
      <c r="A130" s="56"/>
      <c r="B130" s="56"/>
      <c r="C130" s="56"/>
      <c r="D130" s="56"/>
      <c r="E130" s="14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7"/>
      <c r="Q130" s="57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5.75" customHeight="1" x14ac:dyDescent="0.3">
      <c r="A131" s="56"/>
      <c r="B131" s="56"/>
      <c r="C131" s="56"/>
      <c r="D131" s="56"/>
      <c r="E131" s="14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7"/>
      <c r="Q131" s="57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5.75" customHeight="1" x14ac:dyDescent="0.3">
      <c r="A132" s="56"/>
      <c r="B132" s="56"/>
      <c r="C132" s="56"/>
      <c r="D132" s="56"/>
      <c r="E132" s="14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7"/>
      <c r="Q132" s="57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5.75" customHeight="1" x14ac:dyDescent="0.3">
      <c r="A133" s="56"/>
      <c r="B133" s="56"/>
      <c r="C133" s="56"/>
      <c r="D133" s="56"/>
      <c r="E133" s="14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7"/>
      <c r="Q133" s="57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5.75" customHeight="1" x14ac:dyDescent="0.3">
      <c r="A134" s="56"/>
      <c r="B134" s="56"/>
      <c r="C134" s="56"/>
      <c r="D134" s="56"/>
      <c r="E134" s="14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7"/>
      <c r="Q134" s="57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5.75" customHeight="1" x14ac:dyDescent="0.3">
      <c r="A135" s="56"/>
      <c r="B135" s="56"/>
      <c r="C135" s="56"/>
      <c r="D135" s="56"/>
      <c r="E135" s="14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7"/>
      <c r="Q135" s="57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5.75" customHeight="1" x14ac:dyDescent="0.3">
      <c r="A136" s="56"/>
      <c r="B136" s="56"/>
      <c r="C136" s="56"/>
      <c r="D136" s="56"/>
      <c r="E136" s="14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7"/>
      <c r="Q136" s="57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5.75" customHeight="1" x14ac:dyDescent="0.3">
      <c r="A137" s="56"/>
      <c r="B137" s="56"/>
      <c r="C137" s="56"/>
      <c r="D137" s="56"/>
      <c r="E137" s="14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7"/>
      <c r="Q137" s="57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5.75" customHeight="1" x14ac:dyDescent="0.3">
      <c r="A138" s="56"/>
      <c r="B138" s="56"/>
      <c r="C138" s="56"/>
      <c r="D138" s="56"/>
      <c r="E138" s="14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7"/>
      <c r="Q138" s="57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5.75" customHeight="1" x14ac:dyDescent="0.3">
      <c r="A139" s="56"/>
      <c r="B139" s="56"/>
      <c r="C139" s="56"/>
      <c r="D139" s="56"/>
      <c r="E139" s="14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7"/>
      <c r="Q139" s="57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5.75" customHeight="1" x14ac:dyDescent="0.3">
      <c r="A140" s="56"/>
      <c r="B140" s="56"/>
      <c r="C140" s="56"/>
      <c r="D140" s="56"/>
      <c r="E140" s="14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7"/>
      <c r="Q140" s="57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5.75" customHeight="1" x14ac:dyDescent="0.3">
      <c r="A141" s="56"/>
      <c r="B141" s="56"/>
      <c r="C141" s="56"/>
      <c r="D141" s="56"/>
      <c r="E141" s="14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7"/>
      <c r="Q141" s="57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5.75" customHeight="1" x14ac:dyDescent="0.3">
      <c r="A142" s="56"/>
      <c r="B142" s="56"/>
      <c r="C142" s="56"/>
      <c r="D142" s="56"/>
      <c r="E142" s="14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7"/>
      <c r="Q142" s="57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5.75" customHeight="1" x14ac:dyDescent="0.3">
      <c r="A143" s="56"/>
      <c r="B143" s="56"/>
      <c r="C143" s="56"/>
      <c r="D143" s="56"/>
      <c r="E143" s="14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7"/>
      <c r="Q143" s="57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5.75" customHeight="1" x14ac:dyDescent="0.3">
      <c r="A144" s="56"/>
      <c r="B144" s="56"/>
      <c r="C144" s="56"/>
      <c r="D144" s="56"/>
      <c r="E144" s="14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7"/>
      <c r="Q144" s="57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5.75" customHeight="1" x14ac:dyDescent="0.3">
      <c r="A145" s="56"/>
      <c r="B145" s="56"/>
      <c r="C145" s="56"/>
      <c r="D145" s="56"/>
      <c r="E145" s="14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7"/>
      <c r="Q145" s="57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5.75" customHeight="1" x14ac:dyDescent="0.3">
      <c r="A146" s="56"/>
      <c r="B146" s="56"/>
      <c r="C146" s="56"/>
      <c r="D146" s="56"/>
      <c r="E146" s="14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7"/>
      <c r="Q146" s="57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5.75" customHeight="1" x14ac:dyDescent="0.3">
      <c r="A147" s="56"/>
      <c r="B147" s="56"/>
      <c r="C147" s="56"/>
      <c r="D147" s="56"/>
      <c r="E147" s="14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7"/>
      <c r="Q147" s="57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5.75" customHeight="1" x14ac:dyDescent="0.3">
      <c r="A148" s="56"/>
      <c r="B148" s="56"/>
      <c r="C148" s="56"/>
      <c r="D148" s="56"/>
      <c r="E148" s="14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7"/>
      <c r="Q148" s="57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5.75" customHeight="1" x14ac:dyDescent="0.3">
      <c r="A149" s="56"/>
      <c r="B149" s="56"/>
      <c r="C149" s="56"/>
      <c r="D149" s="56"/>
      <c r="E149" s="14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7"/>
      <c r="Q149" s="57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5.75" customHeight="1" x14ac:dyDescent="0.3">
      <c r="A150" s="56"/>
      <c r="B150" s="56"/>
      <c r="C150" s="56"/>
      <c r="D150" s="56"/>
      <c r="E150" s="14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7"/>
      <c r="Q150" s="57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5.75" customHeight="1" x14ac:dyDescent="0.3">
      <c r="A151" s="56"/>
      <c r="B151" s="56"/>
      <c r="C151" s="56"/>
      <c r="D151" s="56"/>
      <c r="E151" s="14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7"/>
      <c r="Q151" s="57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5.75" customHeight="1" x14ac:dyDescent="0.3">
      <c r="A152" s="56"/>
      <c r="B152" s="56"/>
      <c r="C152" s="56"/>
      <c r="D152" s="56"/>
      <c r="E152" s="14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7"/>
      <c r="Q152" s="57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5.75" customHeight="1" x14ac:dyDescent="0.3">
      <c r="A153" s="56"/>
      <c r="B153" s="56"/>
      <c r="C153" s="56"/>
      <c r="D153" s="56"/>
      <c r="E153" s="14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7"/>
      <c r="Q153" s="57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5.75" customHeight="1" x14ac:dyDescent="0.3">
      <c r="A154" s="56"/>
      <c r="B154" s="56"/>
      <c r="C154" s="56"/>
      <c r="D154" s="56"/>
      <c r="E154" s="14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7"/>
      <c r="Q154" s="57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5.75" customHeight="1" x14ac:dyDescent="0.3">
      <c r="A155" s="56"/>
      <c r="B155" s="56"/>
      <c r="C155" s="56"/>
      <c r="D155" s="56"/>
      <c r="E155" s="14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7"/>
      <c r="Q155" s="57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5.75" customHeight="1" x14ac:dyDescent="0.3">
      <c r="A156" s="56"/>
      <c r="B156" s="56"/>
      <c r="C156" s="56"/>
      <c r="D156" s="56"/>
      <c r="E156" s="14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7"/>
      <c r="Q156" s="57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5.75" customHeight="1" x14ac:dyDescent="0.3">
      <c r="A157" s="56"/>
      <c r="B157" s="56"/>
      <c r="C157" s="56"/>
      <c r="D157" s="56"/>
      <c r="E157" s="14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7"/>
      <c r="Q157" s="57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5.75" customHeight="1" x14ac:dyDescent="0.3">
      <c r="A158" s="56"/>
      <c r="B158" s="56"/>
      <c r="C158" s="56"/>
      <c r="D158" s="56"/>
      <c r="E158" s="14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7"/>
      <c r="Q158" s="57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5.75" customHeight="1" x14ac:dyDescent="0.3">
      <c r="A159" s="56"/>
      <c r="B159" s="56"/>
      <c r="C159" s="56"/>
      <c r="D159" s="56"/>
      <c r="E159" s="14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7"/>
      <c r="Q159" s="57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5.75" customHeight="1" x14ac:dyDescent="0.3">
      <c r="A160" s="56"/>
      <c r="B160" s="56"/>
      <c r="C160" s="56"/>
      <c r="D160" s="56"/>
      <c r="E160" s="14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7"/>
      <c r="Q160" s="57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5.75" customHeight="1" x14ac:dyDescent="0.3">
      <c r="A161" s="56"/>
      <c r="B161" s="56"/>
      <c r="C161" s="56"/>
      <c r="D161" s="56"/>
      <c r="E161" s="14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7"/>
      <c r="Q161" s="57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5.75" customHeight="1" x14ac:dyDescent="0.3">
      <c r="A162" s="56"/>
      <c r="B162" s="56"/>
      <c r="C162" s="56"/>
      <c r="D162" s="56"/>
      <c r="E162" s="14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7"/>
      <c r="Q162" s="57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5.75" customHeight="1" x14ac:dyDescent="0.3">
      <c r="A163" s="56"/>
      <c r="B163" s="56"/>
      <c r="C163" s="56"/>
      <c r="D163" s="56"/>
      <c r="E163" s="14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7"/>
      <c r="Q163" s="57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5.75" customHeight="1" x14ac:dyDescent="0.3">
      <c r="A164" s="56"/>
      <c r="B164" s="56"/>
      <c r="C164" s="56"/>
      <c r="D164" s="56"/>
      <c r="E164" s="14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7"/>
      <c r="Q164" s="57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5.75" customHeight="1" x14ac:dyDescent="0.3">
      <c r="A165" s="56"/>
      <c r="B165" s="56"/>
      <c r="C165" s="56"/>
      <c r="D165" s="56"/>
      <c r="E165" s="14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7"/>
      <c r="Q165" s="57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5.75" customHeight="1" x14ac:dyDescent="0.3">
      <c r="A166" s="56"/>
      <c r="B166" s="56"/>
      <c r="C166" s="56"/>
      <c r="D166" s="56"/>
      <c r="E166" s="14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7"/>
      <c r="Q166" s="57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5.75" customHeight="1" x14ac:dyDescent="0.3">
      <c r="A167" s="56"/>
      <c r="B167" s="56"/>
      <c r="C167" s="56"/>
      <c r="D167" s="56"/>
      <c r="E167" s="14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7"/>
      <c r="Q167" s="57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5.75" customHeight="1" x14ac:dyDescent="0.3">
      <c r="A168" s="56"/>
      <c r="B168" s="56"/>
      <c r="C168" s="56"/>
      <c r="D168" s="56"/>
      <c r="E168" s="14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7"/>
      <c r="Q168" s="57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5.75" customHeight="1" x14ac:dyDescent="0.3">
      <c r="A169" s="56"/>
      <c r="B169" s="56"/>
      <c r="C169" s="56"/>
      <c r="D169" s="56"/>
      <c r="E169" s="14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7"/>
      <c r="Q169" s="57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5.75" customHeight="1" x14ac:dyDescent="0.3">
      <c r="A170" s="56"/>
      <c r="B170" s="56"/>
      <c r="C170" s="56"/>
      <c r="D170" s="56"/>
      <c r="E170" s="14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7"/>
      <c r="Q170" s="57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5.75" customHeight="1" x14ac:dyDescent="0.3">
      <c r="A171" s="56"/>
      <c r="B171" s="56"/>
      <c r="C171" s="56"/>
      <c r="D171" s="56"/>
      <c r="E171" s="14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7"/>
      <c r="Q171" s="57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5.75" customHeight="1" x14ac:dyDescent="0.3">
      <c r="A172" s="56"/>
      <c r="B172" s="56"/>
      <c r="C172" s="56"/>
      <c r="D172" s="56"/>
      <c r="E172" s="14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7"/>
      <c r="Q172" s="57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5.75" customHeight="1" x14ac:dyDescent="0.3">
      <c r="A173" s="56"/>
      <c r="B173" s="56"/>
      <c r="C173" s="56"/>
      <c r="D173" s="56"/>
      <c r="E173" s="14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7"/>
      <c r="Q173" s="57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5.75" customHeight="1" x14ac:dyDescent="0.3">
      <c r="A174" s="56"/>
      <c r="B174" s="56"/>
      <c r="C174" s="56"/>
      <c r="D174" s="56"/>
      <c r="E174" s="14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7"/>
      <c r="Q174" s="57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5.75" customHeight="1" x14ac:dyDescent="0.3">
      <c r="A175" s="56"/>
      <c r="B175" s="56"/>
      <c r="C175" s="56"/>
      <c r="D175" s="56"/>
      <c r="E175" s="14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7"/>
      <c r="Q175" s="57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5.75" customHeight="1" x14ac:dyDescent="0.3">
      <c r="A176" s="56"/>
      <c r="B176" s="56"/>
      <c r="C176" s="56"/>
      <c r="D176" s="56"/>
      <c r="E176" s="14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7"/>
      <c r="Q176" s="57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5.75" customHeight="1" x14ac:dyDescent="0.3">
      <c r="A177" s="56"/>
      <c r="B177" s="56"/>
      <c r="C177" s="56"/>
      <c r="D177" s="56"/>
      <c r="E177" s="14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7"/>
      <c r="Q177" s="57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5.75" customHeight="1" x14ac:dyDescent="0.3">
      <c r="A178" s="56"/>
      <c r="B178" s="56"/>
      <c r="C178" s="56"/>
      <c r="D178" s="56"/>
      <c r="E178" s="14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7"/>
      <c r="Q178" s="57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5.75" customHeight="1" x14ac:dyDescent="0.3">
      <c r="A179" s="56"/>
      <c r="B179" s="56"/>
      <c r="C179" s="56"/>
      <c r="D179" s="56"/>
      <c r="E179" s="14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7"/>
      <c r="Q179" s="57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5.75" customHeight="1" x14ac:dyDescent="0.3">
      <c r="A180" s="56"/>
      <c r="B180" s="56"/>
      <c r="C180" s="56"/>
      <c r="D180" s="56"/>
      <c r="E180" s="14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7"/>
      <c r="Q180" s="57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5.75" customHeight="1" x14ac:dyDescent="0.3">
      <c r="A181" s="56"/>
      <c r="B181" s="56"/>
      <c r="C181" s="56"/>
      <c r="D181" s="56"/>
      <c r="E181" s="14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7"/>
      <c r="Q181" s="57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5.75" customHeight="1" x14ac:dyDescent="0.3">
      <c r="A182" s="56"/>
      <c r="B182" s="56"/>
      <c r="C182" s="56"/>
      <c r="D182" s="56"/>
      <c r="E182" s="14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7"/>
      <c r="Q182" s="57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5.75" customHeight="1" x14ac:dyDescent="0.3">
      <c r="A183" s="56"/>
      <c r="B183" s="56"/>
      <c r="C183" s="56"/>
      <c r="D183" s="56"/>
      <c r="E183" s="14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7"/>
      <c r="Q183" s="57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5.75" customHeight="1" x14ac:dyDescent="0.3">
      <c r="A184" s="56"/>
      <c r="B184" s="56"/>
      <c r="C184" s="56"/>
      <c r="D184" s="56"/>
      <c r="E184" s="14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7"/>
      <c r="Q184" s="57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5.75" customHeight="1" x14ac:dyDescent="0.3">
      <c r="A185" s="56"/>
      <c r="B185" s="56"/>
      <c r="C185" s="56"/>
      <c r="D185" s="56"/>
      <c r="E185" s="14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7"/>
      <c r="Q185" s="57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5.75" customHeight="1" x14ac:dyDescent="0.3">
      <c r="A186" s="56"/>
      <c r="B186" s="56"/>
      <c r="C186" s="56"/>
      <c r="D186" s="56"/>
      <c r="E186" s="14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7"/>
      <c r="Q186" s="57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5.75" customHeight="1" x14ac:dyDescent="0.3">
      <c r="A187" s="56"/>
      <c r="B187" s="56"/>
      <c r="C187" s="56"/>
      <c r="D187" s="56"/>
      <c r="E187" s="14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7"/>
      <c r="Q187" s="57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5.75" customHeight="1" x14ac:dyDescent="0.3">
      <c r="A188" s="56"/>
      <c r="B188" s="56"/>
      <c r="C188" s="56"/>
      <c r="D188" s="56"/>
      <c r="E188" s="14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7"/>
      <c r="Q188" s="57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5.75" customHeight="1" x14ac:dyDescent="0.3">
      <c r="A189" s="56"/>
      <c r="B189" s="56"/>
      <c r="C189" s="56"/>
      <c r="D189" s="56"/>
      <c r="E189" s="14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7"/>
      <c r="Q189" s="57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5.75" customHeight="1" x14ac:dyDescent="0.3">
      <c r="A190" s="56"/>
      <c r="B190" s="56"/>
      <c r="C190" s="56"/>
      <c r="D190" s="56"/>
      <c r="E190" s="14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7"/>
      <c r="Q190" s="57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5.75" customHeight="1" x14ac:dyDescent="0.3">
      <c r="A191" s="56"/>
      <c r="B191" s="56"/>
      <c r="C191" s="56"/>
      <c r="D191" s="56"/>
      <c r="E191" s="14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7"/>
      <c r="Q191" s="57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5.75" customHeight="1" x14ac:dyDescent="0.3">
      <c r="A192" s="56"/>
      <c r="B192" s="56"/>
      <c r="C192" s="56"/>
      <c r="D192" s="56"/>
      <c r="E192" s="14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7"/>
      <c r="Q192" s="57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5.75" customHeight="1" x14ac:dyDescent="0.3">
      <c r="A193" s="56"/>
      <c r="B193" s="56"/>
      <c r="C193" s="56"/>
      <c r="D193" s="56"/>
      <c r="E193" s="14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7"/>
      <c r="Q193" s="57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5.75" customHeight="1" x14ac:dyDescent="0.3">
      <c r="A194" s="56"/>
      <c r="B194" s="56"/>
      <c r="C194" s="56"/>
      <c r="D194" s="56"/>
      <c r="E194" s="14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7"/>
      <c r="Q194" s="57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5.75" customHeight="1" x14ac:dyDescent="0.3">
      <c r="A195" s="56"/>
      <c r="B195" s="56"/>
      <c r="C195" s="56"/>
      <c r="D195" s="56"/>
      <c r="E195" s="14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7"/>
      <c r="Q195" s="57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5.75" customHeight="1" x14ac:dyDescent="0.3">
      <c r="A196" s="56"/>
      <c r="B196" s="56"/>
      <c r="C196" s="56"/>
      <c r="D196" s="56"/>
      <c r="E196" s="14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7"/>
      <c r="Q196" s="57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5.75" customHeight="1" x14ac:dyDescent="0.3">
      <c r="A197" s="56"/>
      <c r="B197" s="56"/>
      <c r="C197" s="56"/>
      <c r="D197" s="56"/>
      <c r="E197" s="14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7"/>
      <c r="Q197" s="57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5.75" customHeight="1" x14ac:dyDescent="0.3">
      <c r="A198" s="56"/>
      <c r="B198" s="56"/>
      <c r="C198" s="56"/>
      <c r="D198" s="56"/>
      <c r="E198" s="14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7"/>
      <c r="Q198" s="57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5.75" customHeight="1" x14ac:dyDescent="0.3">
      <c r="A199" s="56"/>
      <c r="B199" s="56"/>
      <c r="C199" s="56"/>
      <c r="D199" s="56"/>
      <c r="E199" s="14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7"/>
      <c r="Q199" s="57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5.75" customHeight="1" x14ac:dyDescent="0.3">
      <c r="A200" s="56"/>
      <c r="B200" s="56"/>
      <c r="C200" s="56"/>
      <c r="D200" s="56"/>
      <c r="E200" s="14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7"/>
      <c r="Q200" s="57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5.75" customHeight="1" x14ac:dyDescent="0.3">
      <c r="A201" s="56"/>
      <c r="B201" s="56"/>
      <c r="C201" s="56"/>
      <c r="D201" s="56"/>
      <c r="E201" s="14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7"/>
      <c r="Q201" s="57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5.75" customHeight="1" x14ac:dyDescent="0.3">
      <c r="A202" s="56"/>
      <c r="B202" s="56"/>
      <c r="C202" s="56"/>
      <c r="D202" s="56"/>
      <c r="E202" s="14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7"/>
      <c r="Q202" s="57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5.75" customHeight="1" x14ac:dyDescent="0.3">
      <c r="A203" s="56"/>
      <c r="B203" s="56"/>
      <c r="C203" s="56"/>
      <c r="D203" s="56"/>
      <c r="E203" s="14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7"/>
      <c r="Q203" s="57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5.75" customHeight="1" x14ac:dyDescent="0.3">
      <c r="A204" s="56"/>
      <c r="B204" s="56"/>
      <c r="C204" s="56"/>
      <c r="D204" s="56"/>
      <c r="E204" s="14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7"/>
      <c r="Q204" s="57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5.75" customHeight="1" x14ac:dyDescent="0.3">
      <c r="A205" s="56"/>
      <c r="B205" s="56"/>
      <c r="C205" s="56"/>
      <c r="D205" s="56"/>
      <c r="E205" s="14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7"/>
      <c r="Q205" s="57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5.75" customHeight="1" x14ac:dyDescent="0.3">
      <c r="A206" s="56"/>
      <c r="B206" s="56"/>
      <c r="C206" s="56"/>
      <c r="D206" s="56"/>
      <c r="E206" s="14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7"/>
      <c r="Q206" s="57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5.75" customHeight="1" x14ac:dyDescent="0.3">
      <c r="A207" s="56"/>
      <c r="B207" s="56"/>
      <c r="C207" s="56"/>
      <c r="D207" s="56"/>
      <c r="E207" s="14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7"/>
      <c r="Q207" s="57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5.75" customHeight="1" x14ac:dyDescent="0.3">
      <c r="A208" s="56"/>
      <c r="B208" s="56"/>
      <c r="C208" s="56"/>
      <c r="D208" s="56"/>
      <c r="E208" s="14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7"/>
      <c r="Q208" s="57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5.75" customHeight="1" x14ac:dyDescent="0.3">
      <c r="A209" s="56"/>
      <c r="B209" s="56"/>
      <c r="C209" s="56"/>
      <c r="D209" s="56"/>
      <c r="E209" s="14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7"/>
      <c r="Q209" s="57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5.75" customHeight="1" x14ac:dyDescent="0.3">
      <c r="A210" s="56"/>
      <c r="B210" s="56"/>
      <c r="C210" s="56"/>
      <c r="D210" s="56"/>
      <c r="E210" s="14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7"/>
      <c r="Q210" s="57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5.75" customHeight="1" x14ac:dyDescent="0.3">
      <c r="A211" s="56"/>
      <c r="B211" s="56"/>
      <c r="C211" s="56"/>
      <c r="D211" s="56"/>
      <c r="E211" s="14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7"/>
      <c r="Q211" s="57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5.75" customHeight="1" x14ac:dyDescent="0.3">
      <c r="A212" s="56"/>
      <c r="B212" s="56"/>
      <c r="C212" s="56"/>
      <c r="D212" s="56"/>
      <c r="E212" s="14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7"/>
      <c r="Q212" s="57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5.75" customHeight="1" x14ac:dyDescent="0.3">
      <c r="A213" s="56"/>
      <c r="B213" s="56"/>
      <c r="C213" s="56"/>
      <c r="D213" s="56"/>
      <c r="E213" s="14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7"/>
      <c r="Q213" s="57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5.75" customHeight="1" x14ac:dyDescent="0.3">
      <c r="A214" s="56"/>
      <c r="B214" s="56"/>
      <c r="C214" s="56"/>
      <c r="D214" s="56"/>
      <c r="E214" s="14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7"/>
      <c r="Q214" s="57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5.75" customHeight="1" x14ac:dyDescent="0.3">
      <c r="A215" s="56"/>
      <c r="B215" s="56"/>
      <c r="C215" s="56"/>
      <c r="D215" s="56"/>
      <c r="E215" s="14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7"/>
      <c r="Q215" s="57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5.75" customHeight="1" x14ac:dyDescent="0.3">
      <c r="A216" s="56"/>
      <c r="B216" s="56"/>
      <c r="C216" s="56"/>
      <c r="D216" s="56"/>
      <c r="E216" s="14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7"/>
      <c r="Q216" s="57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5.75" customHeight="1" x14ac:dyDescent="0.3">
      <c r="A217" s="56"/>
      <c r="B217" s="56"/>
      <c r="C217" s="56"/>
      <c r="D217" s="56"/>
      <c r="E217" s="14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7"/>
      <c r="Q217" s="57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5.75" customHeight="1" x14ac:dyDescent="0.3">
      <c r="A218" s="56"/>
      <c r="B218" s="56"/>
      <c r="C218" s="56"/>
      <c r="D218" s="56"/>
      <c r="E218" s="14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7"/>
      <c r="Q218" s="57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5.75" customHeight="1" x14ac:dyDescent="0.3">
      <c r="A219" s="56"/>
      <c r="B219" s="56"/>
      <c r="C219" s="56"/>
      <c r="D219" s="56"/>
      <c r="E219" s="14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7"/>
      <c r="Q219" s="57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5.75" customHeight="1" x14ac:dyDescent="0.3">
      <c r="A220" s="56"/>
      <c r="B220" s="56"/>
      <c r="C220" s="56"/>
      <c r="D220" s="56"/>
      <c r="E220" s="14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7"/>
      <c r="Q220" s="57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5.75" customHeight="1" x14ac:dyDescent="0.3">
      <c r="A221" s="56"/>
      <c r="B221" s="56"/>
      <c r="C221" s="56"/>
      <c r="D221" s="56"/>
      <c r="E221" s="14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7"/>
      <c r="Q221" s="57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5.75" customHeight="1" x14ac:dyDescent="0.3">
      <c r="A222" s="56"/>
      <c r="B222" s="56"/>
      <c r="C222" s="56"/>
      <c r="D222" s="56"/>
      <c r="E222" s="14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7"/>
      <c r="Q222" s="57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5.75" customHeight="1" x14ac:dyDescent="0.3">
      <c r="A223" s="56"/>
      <c r="B223" s="56"/>
      <c r="C223" s="56"/>
      <c r="D223" s="56"/>
      <c r="E223" s="14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7"/>
      <c r="Q223" s="57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5.75" customHeight="1" x14ac:dyDescent="0.3">
      <c r="A224" s="56"/>
      <c r="B224" s="56"/>
      <c r="C224" s="56"/>
      <c r="D224" s="56"/>
      <c r="E224" s="14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7"/>
      <c r="Q224" s="57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5.75" customHeight="1" x14ac:dyDescent="0.3">
      <c r="A225" s="56"/>
      <c r="B225" s="56"/>
      <c r="C225" s="56"/>
      <c r="D225" s="56"/>
      <c r="E225" s="14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7"/>
      <c r="Q225" s="57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5.75" customHeight="1" x14ac:dyDescent="0.3">
      <c r="A226" s="56"/>
      <c r="B226" s="56"/>
      <c r="C226" s="56"/>
      <c r="D226" s="56"/>
      <c r="E226" s="14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7"/>
      <c r="Q226" s="57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5.75" customHeight="1" x14ac:dyDescent="0.3">
      <c r="A227" s="56"/>
      <c r="B227" s="56"/>
      <c r="C227" s="56"/>
      <c r="D227" s="56"/>
      <c r="E227" s="14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7"/>
      <c r="Q227" s="57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5.75" customHeight="1" x14ac:dyDescent="0.3">
      <c r="A228" s="56"/>
      <c r="B228" s="56"/>
      <c r="C228" s="56"/>
      <c r="D228" s="56"/>
      <c r="E228" s="14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7"/>
      <c r="Q228" s="57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5.75" customHeight="1" x14ac:dyDescent="0.3">
      <c r="A229" s="56"/>
      <c r="B229" s="56"/>
      <c r="C229" s="56"/>
      <c r="D229" s="56"/>
      <c r="E229" s="14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7"/>
      <c r="Q229" s="57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5.75" customHeight="1" x14ac:dyDescent="0.3">
      <c r="A230" s="56"/>
      <c r="B230" s="56"/>
      <c r="C230" s="56"/>
      <c r="D230" s="56"/>
      <c r="E230" s="14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7"/>
      <c r="Q230" s="57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5.75" customHeight="1" x14ac:dyDescent="0.3">
      <c r="A231" s="56"/>
      <c r="B231" s="56"/>
      <c r="C231" s="56"/>
      <c r="D231" s="56"/>
      <c r="E231" s="14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7"/>
      <c r="Q231" s="57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5.75" customHeight="1" x14ac:dyDescent="0.3">
      <c r="A232" s="56"/>
      <c r="B232" s="56"/>
      <c r="C232" s="56"/>
      <c r="D232" s="56"/>
      <c r="E232" s="14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7"/>
      <c r="Q232" s="57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5.75" customHeight="1" x14ac:dyDescent="0.3">
      <c r="A233" s="56"/>
      <c r="B233" s="56"/>
      <c r="C233" s="56"/>
      <c r="D233" s="56"/>
      <c r="E233" s="14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7"/>
      <c r="Q233" s="57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5.75" customHeight="1" x14ac:dyDescent="0.3">
      <c r="A234" s="56"/>
      <c r="B234" s="56"/>
      <c r="C234" s="56"/>
      <c r="D234" s="56"/>
      <c r="E234" s="14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7"/>
      <c r="Q234" s="57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5.75" customHeight="1" x14ac:dyDescent="0.3">
      <c r="A235" s="56"/>
      <c r="B235" s="56"/>
      <c r="C235" s="56"/>
      <c r="D235" s="56"/>
      <c r="E235" s="14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7"/>
      <c r="Q235" s="57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5.75" customHeight="1" x14ac:dyDescent="0.3">
      <c r="A236" s="56"/>
      <c r="B236" s="56"/>
      <c r="C236" s="56"/>
      <c r="D236" s="56"/>
      <c r="E236" s="14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7"/>
      <c r="Q236" s="57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5.75" customHeight="1" x14ac:dyDescent="0.3">
      <c r="A237" s="56"/>
      <c r="B237" s="56"/>
      <c r="C237" s="56"/>
      <c r="D237" s="56"/>
      <c r="E237" s="14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7"/>
      <c r="Q237" s="57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5.75" customHeight="1" x14ac:dyDescent="0.3">
      <c r="A238" s="56"/>
      <c r="B238" s="56"/>
      <c r="C238" s="56"/>
      <c r="D238" s="56"/>
      <c r="E238" s="14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7"/>
      <c r="Q238" s="57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5.75" customHeight="1" x14ac:dyDescent="0.3">
      <c r="A239" s="56"/>
      <c r="B239" s="56"/>
      <c r="C239" s="56"/>
      <c r="D239" s="56"/>
      <c r="E239" s="14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7"/>
      <c r="Q239" s="57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5.75" customHeight="1" x14ac:dyDescent="0.3">
      <c r="A240" s="56"/>
      <c r="B240" s="56"/>
      <c r="C240" s="56"/>
      <c r="D240" s="56"/>
      <c r="E240" s="14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7"/>
      <c r="Q240" s="57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5.75" customHeight="1" x14ac:dyDescent="0.3">
      <c r="A241" s="56"/>
      <c r="B241" s="56"/>
      <c r="C241" s="56"/>
      <c r="D241" s="56"/>
      <c r="E241" s="14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7"/>
      <c r="Q241" s="57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5.75" customHeight="1" x14ac:dyDescent="0.3">
      <c r="A242" s="56"/>
      <c r="B242" s="56"/>
      <c r="C242" s="56"/>
      <c r="D242" s="56"/>
      <c r="E242" s="14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7"/>
      <c r="Q242" s="57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5.75" customHeight="1" x14ac:dyDescent="0.3">
      <c r="A243" s="56"/>
      <c r="B243" s="56"/>
      <c r="C243" s="56"/>
      <c r="D243" s="56"/>
      <c r="E243" s="14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7"/>
      <c r="Q243" s="57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5.75" customHeight="1" x14ac:dyDescent="0.3">
      <c r="A244" s="56"/>
      <c r="B244" s="56"/>
      <c r="C244" s="56"/>
      <c r="D244" s="56"/>
      <c r="E244" s="14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7"/>
      <c r="Q244" s="57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5.75" customHeight="1" x14ac:dyDescent="0.3">
      <c r="A245" s="56"/>
      <c r="B245" s="56"/>
      <c r="C245" s="56"/>
      <c r="D245" s="56"/>
      <c r="E245" s="14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7"/>
      <c r="Q245" s="57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5.75" customHeight="1" x14ac:dyDescent="0.3">
      <c r="A246" s="56"/>
      <c r="B246" s="56"/>
      <c r="C246" s="56"/>
      <c r="D246" s="56"/>
      <c r="E246" s="14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7"/>
      <c r="Q246" s="57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5.75" customHeight="1" x14ac:dyDescent="0.3">
      <c r="A247" s="56"/>
      <c r="B247" s="56"/>
      <c r="C247" s="56"/>
      <c r="D247" s="56"/>
      <c r="E247" s="14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7"/>
      <c r="Q247" s="57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5.75" customHeight="1" x14ac:dyDescent="0.3">
      <c r="A248" s="56"/>
      <c r="B248" s="56"/>
      <c r="C248" s="56"/>
      <c r="D248" s="56"/>
      <c r="E248" s="14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7"/>
      <c r="Q248" s="57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5.75" customHeight="1" x14ac:dyDescent="0.3">
      <c r="A249" s="56"/>
      <c r="B249" s="56"/>
      <c r="C249" s="56"/>
      <c r="D249" s="56"/>
      <c r="E249" s="14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7"/>
      <c r="Q249" s="57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5.75" customHeight="1" x14ac:dyDescent="0.3">
      <c r="A250" s="56"/>
      <c r="B250" s="56"/>
      <c r="C250" s="56"/>
      <c r="D250" s="56"/>
      <c r="E250" s="14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7"/>
      <c r="Q250" s="57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5.75" customHeight="1" x14ac:dyDescent="0.3">
      <c r="A251" s="56"/>
      <c r="B251" s="56"/>
      <c r="C251" s="56"/>
      <c r="D251" s="56"/>
      <c r="E251" s="14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7"/>
      <c r="Q251" s="57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5.75" customHeight="1" x14ac:dyDescent="0.3">
      <c r="A252" s="56"/>
      <c r="B252" s="56"/>
      <c r="C252" s="56"/>
      <c r="D252" s="56"/>
      <c r="E252" s="14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7"/>
      <c r="Q252" s="57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5.75" customHeight="1" x14ac:dyDescent="0.3">
      <c r="A253" s="56"/>
      <c r="B253" s="56"/>
      <c r="C253" s="56"/>
      <c r="D253" s="56"/>
      <c r="E253" s="14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7"/>
      <c r="Q253" s="57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5.75" customHeight="1" x14ac:dyDescent="0.3">
      <c r="A254" s="56"/>
      <c r="B254" s="56"/>
      <c r="C254" s="56"/>
      <c r="D254" s="56"/>
      <c r="E254" s="14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7"/>
      <c r="Q254" s="57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5.75" customHeight="1" x14ac:dyDescent="0.3">
      <c r="A255" s="56"/>
      <c r="B255" s="56"/>
      <c r="C255" s="56"/>
      <c r="D255" s="56"/>
      <c r="E255" s="14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7"/>
      <c r="Q255" s="57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5.75" customHeight="1" x14ac:dyDescent="0.3">
      <c r="A256" s="56"/>
      <c r="B256" s="56"/>
      <c r="C256" s="56"/>
      <c r="D256" s="56"/>
      <c r="E256" s="14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7"/>
      <c r="Q256" s="57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5.75" customHeight="1" x14ac:dyDescent="0.3">
      <c r="A257" s="56"/>
      <c r="B257" s="56"/>
      <c r="C257" s="56"/>
      <c r="D257" s="56"/>
      <c r="E257" s="14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7"/>
      <c r="Q257" s="57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5.75" customHeight="1" x14ac:dyDescent="0.3">
      <c r="A258" s="56"/>
      <c r="B258" s="56"/>
      <c r="C258" s="56"/>
      <c r="D258" s="56"/>
      <c r="E258" s="14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7"/>
      <c r="Q258" s="57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5.75" customHeight="1" x14ac:dyDescent="0.3">
      <c r="A259" s="56"/>
      <c r="B259" s="56"/>
      <c r="C259" s="56"/>
      <c r="D259" s="56"/>
      <c r="E259" s="14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7"/>
      <c r="Q259" s="57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5.75" customHeight="1" x14ac:dyDescent="0.3">
      <c r="A260" s="56"/>
      <c r="B260" s="56"/>
      <c r="C260" s="56"/>
      <c r="D260" s="56"/>
      <c r="E260" s="14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7"/>
      <c r="Q260" s="57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5.75" customHeight="1" x14ac:dyDescent="0.3">
      <c r="A261" s="56"/>
      <c r="B261" s="56"/>
      <c r="C261" s="56"/>
      <c r="D261" s="56"/>
      <c r="E261" s="14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7"/>
      <c r="Q261" s="57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5.75" customHeight="1" x14ac:dyDescent="0.3">
      <c r="A262" s="56"/>
      <c r="B262" s="56"/>
      <c r="C262" s="56"/>
      <c r="D262" s="56"/>
      <c r="E262" s="14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7"/>
      <c r="Q262" s="57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5.75" customHeight="1" x14ac:dyDescent="0.3">
      <c r="A263" s="56"/>
      <c r="B263" s="56"/>
      <c r="C263" s="56"/>
      <c r="D263" s="56"/>
      <c r="E263" s="14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7"/>
      <c r="Q263" s="57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5.75" customHeight="1" x14ac:dyDescent="0.3">
      <c r="A264" s="56"/>
      <c r="B264" s="56"/>
      <c r="C264" s="56"/>
      <c r="D264" s="56"/>
      <c r="E264" s="14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7"/>
      <c r="Q264" s="57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15.75" customHeight="1" x14ac:dyDescent="0.3">
      <c r="A265" s="56"/>
      <c r="B265" s="56"/>
      <c r="C265" s="56"/>
      <c r="D265" s="56"/>
      <c r="E265" s="14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7"/>
      <c r="Q265" s="57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15.75" customHeight="1" x14ac:dyDescent="0.3">
      <c r="A266" s="56"/>
      <c r="B266" s="56"/>
      <c r="C266" s="56"/>
      <c r="D266" s="56"/>
      <c r="E266" s="14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7"/>
      <c r="Q266" s="57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15.75" customHeight="1" x14ac:dyDescent="0.3">
      <c r="A267" s="56"/>
      <c r="B267" s="56"/>
      <c r="C267" s="56"/>
      <c r="D267" s="56"/>
      <c r="E267" s="14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7"/>
      <c r="Q267" s="57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15.75" customHeight="1" x14ac:dyDescent="0.3">
      <c r="A268" s="56"/>
      <c r="B268" s="56"/>
      <c r="C268" s="56"/>
      <c r="D268" s="56"/>
      <c r="E268" s="14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7"/>
      <c r="Q268" s="57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15.75" customHeight="1" x14ac:dyDescent="0.3">
      <c r="A269" s="56"/>
      <c r="B269" s="56"/>
      <c r="C269" s="56"/>
      <c r="D269" s="56"/>
      <c r="E269" s="14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7"/>
      <c r="Q269" s="57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15.75" customHeight="1" x14ac:dyDescent="0.3">
      <c r="A270" s="56"/>
      <c r="B270" s="56"/>
      <c r="C270" s="56"/>
      <c r="D270" s="56"/>
      <c r="E270" s="14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7"/>
      <c r="Q270" s="57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15.75" customHeight="1" x14ac:dyDescent="0.3">
      <c r="A271" s="56"/>
      <c r="B271" s="56"/>
      <c r="C271" s="56"/>
      <c r="D271" s="56"/>
      <c r="E271" s="14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7"/>
      <c r="Q271" s="57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15.75" customHeight="1" x14ac:dyDescent="0.3">
      <c r="A272" s="56"/>
      <c r="B272" s="56"/>
      <c r="C272" s="56"/>
      <c r="D272" s="56"/>
      <c r="E272" s="14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7"/>
      <c r="Q272" s="57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15.75" customHeight="1" x14ac:dyDescent="0.3">
      <c r="A273" s="56"/>
      <c r="B273" s="56"/>
      <c r="C273" s="56"/>
      <c r="D273" s="56"/>
      <c r="E273" s="14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7"/>
      <c r="Q273" s="57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15.75" customHeight="1" x14ac:dyDescent="0.3">
      <c r="A274" s="56"/>
      <c r="B274" s="56"/>
      <c r="C274" s="56"/>
      <c r="D274" s="56"/>
      <c r="E274" s="14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7"/>
      <c r="Q274" s="57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15.75" customHeight="1" x14ac:dyDescent="0.3">
      <c r="A275" s="56"/>
      <c r="B275" s="56"/>
      <c r="C275" s="56"/>
      <c r="D275" s="56"/>
      <c r="E275" s="14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7"/>
      <c r="Q275" s="57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15.75" customHeight="1" x14ac:dyDescent="0.3">
      <c r="A276" s="56"/>
      <c r="B276" s="56"/>
      <c r="C276" s="56"/>
      <c r="D276" s="56"/>
      <c r="E276" s="14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7"/>
      <c r="Q276" s="57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15.75" customHeight="1" x14ac:dyDescent="0.3">
      <c r="A277" s="56"/>
      <c r="B277" s="56"/>
      <c r="C277" s="56"/>
      <c r="D277" s="56"/>
      <c r="E277" s="14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7"/>
      <c r="Q277" s="57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15.75" customHeight="1" x14ac:dyDescent="0.3">
      <c r="A278" s="56"/>
      <c r="B278" s="56"/>
      <c r="C278" s="56"/>
      <c r="D278" s="56"/>
      <c r="E278" s="14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7"/>
      <c r="Q278" s="57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15.75" customHeight="1" x14ac:dyDescent="0.3">
      <c r="A279" s="56"/>
      <c r="B279" s="56"/>
      <c r="C279" s="56"/>
      <c r="D279" s="56"/>
      <c r="E279" s="14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7"/>
      <c r="Q279" s="57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15.75" customHeight="1" x14ac:dyDescent="0.3">
      <c r="A280" s="56"/>
      <c r="B280" s="56"/>
      <c r="C280" s="56"/>
      <c r="D280" s="56"/>
      <c r="E280" s="14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7"/>
      <c r="Q280" s="57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15.75" customHeight="1" x14ac:dyDescent="0.3">
      <c r="A281" s="56"/>
      <c r="B281" s="56"/>
      <c r="C281" s="56"/>
      <c r="D281" s="56"/>
      <c r="E281" s="14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7"/>
      <c r="Q281" s="57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15.75" customHeight="1" x14ac:dyDescent="0.3">
      <c r="A282" s="56"/>
      <c r="B282" s="56"/>
      <c r="C282" s="56"/>
      <c r="D282" s="56"/>
      <c r="E282" s="14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7"/>
      <c r="Q282" s="57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15.75" customHeight="1" x14ac:dyDescent="0.3">
      <c r="A283" s="56"/>
      <c r="B283" s="56"/>
      <c r="C283" s="56"/>
      <c r="D283" s="56"/>
      <c r="E283" s="14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7"/>
      <c r="Q283" s="57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15.75" customHeight="1" x14ac:dyDescent="0.3">
      <c r="A284" s="56"/>
      <c r="B284" s="56"/>
      <c r="C284" s="56"/>
      <c r="D284" s="56"/>
      <c r="E284" s="14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7"/>
      <c r="Q284" s="57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15.75" customHeight="1" x14ac:dyDescent="0.3">
      <c r="A285" s="56"/>
      <c r="B285" s="56"/>
      <c r="C285" s="56"/>
      <c r="D285" s="56"/>
      <c r="E285" s="14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7"/>
      <c r="Q285" s="57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15.75" customHeight="1" x14ac:dyDescent="0.3">
      <c r="A286" s="56"/>
      <c r="B286" s="56"/>
      <c r="C286" s="56"/>
      <c r="D286" s="56"/>
      <c r="E286" s="14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7"/>
      <c r="Q286" s="57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15.75" customHeight="1" x14ac:dyDescent="0.3">
      <c r="A287" s="56"/>
      <c r="B287" s="56"/>
      <c r="C287" s="56"/>
      <c r="D287" s="56"/>
      <c r="E287" s="14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7"/>
      <c r="Q287" s="57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15.75" customHeight="1" x14ac:dyDescent="0.3">
      <c r="A288" s="56"/>
      <c r="B288" s="56"/>
      <c r="C288" s="56"/>
      <c r="D288" s="56"/>
      <c r="E288" s="14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7"/>
      <c r="Q288" s="57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15.75" customHeight="1" x14ac:dyDescent="0.3">
      <c r="A289" s="56"/>
      <c r="B289" s="56"/>
      <c r="C289" s="56"/>
      <c r="D289" s="56"/>
      <c r="E289" s="14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7"/>
      <c r="Q289" s="57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15.75" customHeight="1" x14ac:dyDescent="0.3">
      <c r="A290" s="56"/>
      <c r="B290" s="56"/>
      <c r="C290" s="56"/>
      <c r="D290" s="56"/>
      <c r="E290" s="14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7"/>
      <c r="Q290" s="57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15.75" customHeight="1" x14ac:dyDescent="0.3">
      <c r="A291" s="56"/>
      <c r="B291" s="56"/>
      <c r="C291" s="56"/>
      <c r="D291" s="56"/>
      <c r="E291" s="14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7"/>
      <c r="Q291" s="57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15.75" customHeight="1" x14ac:dyDescent="0.3">
      <c r="A292" s="56"/>
      <c r="B292" s="56"/>
      <c r="C292" s="56"/>
      <c r="D292" s="56"/>
      <c r="E292" s="14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7"/>
      <c r="Q292" s="57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15.75" customHeight="1" x14ac:dyDescent="0.3">
      <c r="A293" s="56"/>
      <c r="B293" s="56"/>
      <c r="C293" s="56"/>
      <c r="D293" s="56"/>
      <c r="E293" s="14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7"/>
      <c r="Q293" s="57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15.75" customHeight="1" x14ac:dyDescent="0.3">
      <c r="A294" s="56"/>
      <c r="B294" s="56"/>
      <c r="C294" s="56"/>
      <c r="D294" s="56"/>
      <c r="E294" s="14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7"/>
      <c r="Q294" s="57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15.75" customHeight="1" x14ac:dyDescent="0.3">
      <c r="A295" s="56"/>
      <c r="B295" s="56"/>
      <c r="C295" s="56"/>
      <c r="D295" s="56"/>
      <c r="E295" s="14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7"/>
      <c r="Q295" s="57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15.75" customHeight="1" x14ac:dyDescent="0.3">
      <c r="A296" s="56"/>
      <c r="B296" s="56"/>
      <c r="C296" s="56"/>
      <c r="D296" s="56"/>
      <c r="E296" s="14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7"/>
      <c r="Q296" s="57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15.75" customHeight="1" x14ac:dyDescent="0.3">
      <c r="A297" s="56"/>
      <c r="B297" s="56"/>
      <c r="C297" s="56"/>
      <c r="D297" s="56"/>
      <c r="E297" s="14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7"/>
      <c r="Q297" s="57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15.75" customHeight="1" x14ac:dyDescent="0.3">
      <c r="A298" s="56"/>
      <c r="B298" s="56"/>
      <c r="C298" s="56"/>
      <c r="D298" s="56"/>
      <c r="E298" s="14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7"/>
      <c r="Q298" s="57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15.75" customHeight="1" x14ac:dyDescent="0.3">
      <c r="A299" s="56"/>
      <c r="B299" s="56"/>
      <c r="C299" s="56"/>
      <c r="D299" s="56"/>
      <c r="E299" s="14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7"/>
      <c r="Q299" s="57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15.75" customHeight="1" x14ac:dyDescent="0.3">
      <c r="A300" s="56"/>
      <c r="B300" s="56"/>
      <c r="C300" s="56"/>
      <c r="D300" s="56"/>
      <c r="E300" s="14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7"/>
      <c r="Q300" s="57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15.75" customHeight="1" x14ac:dyDescent="0.3">
      <c r="A301" s="56"/>
      <c r="B301" s="56"/>
      <c r="C301" s="56"/>
      <c r="D301" s="56"/>
      <c r="E301" s="14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7"/>
      <c r="Q301" s="57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15.75" customHeight="1" x14ac:dyDescent="0.3">
      <c r="A302" s="56"/>
      <c r="B302" s="56"/>
      <c r="C302" s="56"/>
      <c r="D302" s="56"/>
      <c r="E302" s="14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7"/>
      <c r="Q302" s="57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15.75" customHeight="1" x14ac:dyDescent="0.3">
      <c r="A303" s="56"/>
      <c r="B303" s="56"/>
      <c r="C303" s="56"/>
      <c r="D303" s="56"/>
      <c r="E303" s="14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7"/>
      <c r="Q303" s="57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15.75" customHeight="1" x14ac:dyDescent="0.3">
      <c r="A304" s="56"/>
      <c r="B304" s="56"/>
      <c r="C304" s="56"/>
      <c r="D304" s="56"/>
      <c r="E304" s="14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7"/>
      <c r="Q304" s="57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15.75" customHeight="1" x14ac:dyDescent="0.3">
      <c r="A305" s="56"/>
      <c r="B305" s="56"/>
      <c r="C305" s="56"/>
      <c r="D305" s="56"/>
      <c r="E305" s="14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7"/>
      <c r="Q305" s="57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15.75" customHeight="1" x14ac:dyDescent="0.3">
      <c r="A306" s="56"/>
      <c r="B306" s="56"/>
      <c r="C306" s="56"/>
      <c r="D306" s="56"/>
      <c r="E306" s="14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7"/>
      <c r="Q306" s="57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15.75" customHeight="1" x14ac:dyDescent="0.3">
      <c r="A307" s="56"/>
      <c r="B307" s="56"/>
      <c r="C307" s="56"/>
      <c r="D307" s="56"/>
      <c r="E307" s="14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7"/>
      <c r="Q307" s="57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15.75" customHeight="1" x14ac:dyDescent="0.3">
      <c r="A308" s="56"/>
      <c r="B308" s="56"/>
      <c r="C308" s="56"/>
      <c r="D308" s="56"/>
      <c r="E308" s="14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7"/>
      <c r="Q308" s="57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15.75" customHeight="1" x14ac:dyDescent="0.3">
      <c r="A309" s="56"/>
      <c r="B309" s="56"/>
      <c r="C309" s="56"/>
      <c r="D309" s="56"/>
      <c r="E309" s="14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7"/>
      <c r="Q309" s="57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15.75" customHeight="1" x14ac:dyDescent="0.3">
      <c r="A310" s="56"/>
      <c r="B310" s="56"/>
      <c r="C310" s="56"/>
      <c r="D310" s="56"/>
      <c r="E310" s="14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7"/>
      <c r="Q310" s="57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15.75" customHeight="1" x14ac:dyDescent="0.3">
      <c r="A311" s="56"/>
      <c r="B311" s="56"/>
      <c r="C311" s="56"/>
      <c r="D311" s="56"/>
      <c r="E311" s="14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7"/>
      <c r="Q311" s="57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15.75" customHeight="1" x14ac:dyDescent="0.3">
      <c r="A312" s="56"/>
      <c r="B312" s="56"/>
      <c r="C312" s="56"/>
      <c r="D312" s="56"/>
      <c r="E312" s="14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7"/>
      <c r="Q312" s="57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15.75" customHeight="1" x14ac:dyDescent="0.3">
      <c r="A313" s="56"/>
      <c r="B313" s="56"/>
      <c r="C313" s="56"/>
      <c r="D313" s="56"/>
      <c r="E313" s="14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7"/>
      <c r="Q313" s="57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15.75" customHeight="1" x14ac:dyDescent="0.3">
      <c r="A314" s="56"/>
      <c r="B314" s="56"/>
      <c r="C314" s="56"/>
      <c r="D314" s="56"/>
      <c r="E314" s="14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7"/>
      <c r="Q314" s="57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15.75" customHeight="1" x14ac:dyDescent="0.3">
      <c r="A315" s="56"/>
      <c r="B315" s="56"/>
      <c r="C315" s="56"/>
      <c r="D315" s="56"/>
      <c r="E315" s="14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7"/>
      <c r="Q315" s="57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15.75" customHeight="1" x14ac:dyDescent="0.3">
      <c r="A316" s="56"/>
      <c r="B316" s="56"/>
      <c r="C316" s="56"/>
      <c r="D316" s="56"/>
      <c r="E316" s="14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7"/>
      <c r="Q316" s="57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15.75" customHeight="1" x14ac:dyDescent="0.3">
      <c r="A317" s="56"/>
      <c r="B317" s="56"/>
      <c r="C317" s="56"/>
      <c r="D317" s="56"/>
      <c r="E317" s="14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7"/>
      <c r="Q317" s="57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15.75" customHeight="1" x14ac:dyDescent="0.3">
      <c r="A318" s="56"/>
      <c r="B318" s="56"/>
      <c r="C318" s="56"/>
      <c r="D318" s="56"/>
      <c r="E318" s="14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7"/>
      <c r="Q318" s="57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15.75" customHeight="1" x14ac:dyDescent="0.3">
      <c r="A319" s="56"/>
      <c r="B319" s="56"/>
      <c r="C319" s="56"/>
      <c r="D319" s="56"/>
      <c r="E319" s="14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7"/>
      <c r="Q319" s="57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15.75" customHeight="1" x14ac:dyDescent="0.3">
      <c r="A320" s="56"/>
      <c r="B320" s="56"/>
      <c r="C320" s="56"/>
      <c r="D320" s="56"/>
      <c r="E320" s="14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7"/>
      <c r="Q320" s="57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15.75" customHeight="1" x14ac:dyDescent="0.3">
      <c r="A321" s="56"/>
      <c r="B321" s="56"/>
      <c r="C321" s="56"/>
      <c r="D321" s="56"/>
      <c r="E321" s="14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7"/>
      <c r="Q321" s="57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15.75" customHeight="1" x14ac:dyDescent="0.3">
      <c r="A322" s="56"/>
      <c r="B322" s="56"/>
      <c r="C322" s="56"/>
      <c r="D322" s="56"/>
      <c r="E322" s="14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7"/>
      <c r="Q322" s="57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15.75" customHeight="1" x14ac:dyDescent="0.3">
      <c r="A323" s="56"/>
      <c r="B323" s="56"/>
      <c r="C323" s="56"/>
      <c r="D323" s="56"/>
      <c r="E323" s="14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7"/>
      <c r="Q323" s="57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15.75" customHeight="1" x14ac:dyDescent="0.3">
      <c r="A324" s="56"/>
      <c r="B324" s="56"/>
      <c r="C324" s="56"/>
      <c r="D324" s="56"/>
      <c r="E324" s="14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7"/>
      <c r="Q324" s="57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15.75" customHeight="1" x14ac:dyDescent="0.3">
      <c r="A325" s="56"/>
      <c r="B325" s="56"/>
      <c r="C325" s="56"/>
      <c r="D325" s="56"/>
      <c r="E325" s="14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7"/>
      <c r="Q325" s="57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15.75" customHeight="1" x14ac:dyDescent="0.3">
      <c r="A326" s="56"/>
      <c r="B326" s="56"/>
      <c r="C326" s="56"/>
      <c r="D326" s="56"/>
      <c r="E326" s="14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7"/>
      <c r="Q326" s="57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15.75" customHeight="1" x14ac:dyDescent="0.3">
      <c r="A327" s="56"/>
      <c r="B327" s="56"/>
      <c r="C327" s="56"/>
      <c r="D327" s="56"/>
      <c r="E327" s="14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7"/>
      <c r="Q327" s="57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15.75" customHeight="1" x14ac:dyDescent="0.3">
      <c r="A328" s="56"/>
      <c r="B328" s="56"/>
      <c r="C328" s="56"/>
      <c r="D328" s="56"/>
      <c r="E328" s="14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7"/>
      <c r="Q328" s="57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15.75" customHeight="1" x14ac:dyDescent="0.3">
      <c r="A329" s="56"/>
      <c r="B329" s="56"/>
      <c r="C329" s="56"/>
      <c r="D329" s="56"/>
      <c r="E329" s="14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7"/>
      <c r="Q329" s="57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15.75" customHeight="1" x14ac:dyDescent="0.3">
      <c r="A330" s="56"/>
      <c r="B330" s="56"/>
      <c r="C330" s="56"/>
      <c r="D330" s="56"/>
      <c r="E330" s="14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7"/>
      <c r="Q330" s="57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15.75" customHeight="1" x14ac:dyDescent="0.3">
      <c r="A331" s="56"/>
      <c r="B331" s="56"/>
      <c r="C331" s="56"/>
      <c r="D331" s="56"/>
      <c r="E331" s="14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7"/>
      <c r="Q331" s="57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15.75" customHeight="1" x14ac:dyDescent="0.3">
      <c r="A332" s="56"/>
      <c r="B332" s="56"/>
      <c r="C332" s="56"/>
      <c r="D332" s="56"/>
      <c r="E332" s="14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7"/>
      <c r="Q332" s="57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15.75" customHeight="1" x14ac:dyDescent="0.3">
      <c r="A333" s="56"/>
      <c r="B333" s="56"/>
      <c r="C333" s="56"/>
      <c r="D333" s="56"/>
      <c r="E333" s="14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7"/>
      <c r="Q333" s="57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15.75" customHeight="1" x14ac:dyDescent="0.3">
      <c r="A334" s="56"/>
      <c r="B334" s="56"/>
      <c r="C334" s="56"/>
      <c r="D334" s="56"/>
      <c r="E334" s="14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7"/>
      <c r="Q334" s="57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15.75" customHeight="1" x14ac:dyDescent="0.3">
      <c r="A335" s="56"/>
      <c r="B335" s="56"/>
      <c r="C335" s="56"/>
      <c r="D335" s="56"/>
      <c r="E335" s="14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7"/>
      <c r="Q335" s="57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15.75" customHeight="1" x14ac:dyDescent="0.3">
      <c r="A336" s="56"/>
      <c r="B336" s="56"/>
      <c r="C336" s="56"/>
      <c r="D336" s="56"/>
      <c r="E336" s="14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7"/>
      <c r="Q336" s="57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15.75" customHeight="1" x14ac:dyDescent="0.3">
      <c r="A337" s="56"/>
      <c r="B337" s="56"/>
      <c r="C337" s="56"/>
      <c r="D337" s="56"/>
      <c r="E337" s="14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7"/>
      <c r="Q337" s="57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15.75" customHeight="1" x14ac:dyDescent="0.3">
      <c r="A338" s="56"/>
      <c r="B338" s="56"/>
      <c r="C338" s="56"/>
      <c r="D338" s="56"/>
      <c r="E338" s="14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7"/>
      <c r="Q338" s="57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15.75" customHeight="1" x14ac:dyDescent="0.3">
      <c r="A339" s="56"/>
      <c r="B339" s="56"/>
      <c r="C339" s="56"/>
      <c r="D339" s="56"/>
      <c r="E339" s="14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7"/>
      <c r="Q339" s="57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15.75" customHeight="1" x14ac:dyDescent="0.3">
      <c r="A340" s="56"/>
      <c r="B340" s="56"/>
      <c r="C340" s="56"/>
      <c r="D340" s="56"/>
      <c r="E340" s="14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7"/>
      <c r="Q340" s="57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15.75" customHeight="1" x14ac:dyDescent="0.3">
      <c r="A341" s="56"/>
      <c r="B341" s="56"/>
      <c r="C341" s="56"/>
      <c r="D341" s="56"/>
      <c r="E341" s="14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7"/>
      <c r="Q341" s="57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15.75" customHeight="1" x14ac:dyDescent="0.3">
      <c r="A342" s="56"/>
      <c r="B342" s="56"/>
      <c r="C342" s="56"/>
      <c r="D342" s="56"/>
      <c r="E342" s="14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7"/>
      <c r="Q342" s="57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15.75" customHeight="1" x14ac:dyDescent="0.3">
      <c r="A343" s="56"/>
      <c r="B343" s="56"/>
      <c r="C343" s="56"/>
      <c r="D343" s="56"/>
      <c r="E343" s="14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7"/>
      <c r="Q343" s="57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15.75" customHeight="1" x14ac:dyDescent="0.3">
      <c r="A344" s="56"/>
      <c r="B344" s="56"/>
      <c r="C344" s="56"/>
      <c r="D344" s="56"/>
      <c r="E344" s="14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7"/>
      <c r="Q344" s="57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15.75" customHeight="1" x14ac:dyDescent="0.3">
      <c r="A345" s="56"/>
      <c r="B345" s="56"/>
      <c r="C345" s="56"/>
      <c r="D345" s="56"/>
      <c r="E345" s="14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7"/>
      <c r="Q345" s="57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15.75" customHeight="1" x14ac:dyDescent="0.3">
      <c r="A346" s="56"/>
      <c r="B346" s="56"/>
      <c r="C346" s="56"/>
      <c r="D346" s="56"/>
      <c r="E346" s="14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7"/>
      <c r="Q346" s="57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15.75" customHeight="1" x14ac:dyDescent="0.3">
      <c r="A347" s="56"/>
      <c r="B347" s="56"/>
      <c r="C347" s="56"/>
      <c r="D347" s="56"/>
      <c r="E347" s="14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7"/>
      <c r="Q347" s="57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15.75" customHeight="1" x14ac:dyDescent="0.3">
      <c r="A348" s="56"/>
      <c r="B348" s="56"/>
      <c r="C348" s="56"/>
      <c r="D348" s="56"/>
      <c r="E348" s="14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7"/>
      <c r="Q348" s="57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15.75" customHeight="1" x14ac:dyDescent="0.3">
      <c r="A349" s="56"/>
      <c r="B349" s="56"/>
      <c r="C349" s="56"/>
      <c r="D349" s="56"/>
      <c r="E349" s="14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7"/>
      <c r="Q349" s="57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15.75" customHeight="1" x14ac:dyDescent="0.3">
      <c r="A350" s="56"/>
      <c r="B350" s="56"/>
      <c r="C350" s="56"/>
      <c r="D350" s="56"/>
      <c r="E350" s="14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7"/>
      <c r="Q350" s="57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15.75" customHeight="1" x14ac:dyDescent="0.3">
      <c r="A351" s="56"/>
      <c r="B351" s="56"/>
      <c r="C351" s="56"/>
      <c r="D351" s="56"/>
      <c r="E351" s="14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7"/>
      <c r="Q351" s="57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15.75" customHeight="1" x14ac:dyDescent="0.3">
      <c r="A352" s="56"/>
      <c r="B352" s="56"/>
      <c r="C352" s="56"/>
      <c r="D352" s="56"/>
      <c r="E352" s="14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7"/>
      <c r="Q352" s="57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15.75" customHeight="1" x14ac:dyDescent="0.3">
      <c r="A353" s="56"/>
      <c r="B353" s="56"/>
      <c r="C353" s="56"/>
      <c r="D353" s="56"/>
      <c r="E353" s="14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7"/>
      <c r="Q353" s="57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15.75" customHeight="1" x14ac:dyDescent="0.3">
      <c r="A354" s="56"/>
      <c r="B354" s="56"/>
      <c r="C354" s="56"/>
      <c r="D354" s="56"/>
      <c r="E354" s="14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7"/>
      <c r="Q354" s="57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15.75" customHeight="1" x14ac:dyDescent="0.3">
      <c r="A355" s="56"/>
      <c r="B355" s="56"/>
      <c r="C355" s="56"/>
      <c r="D355" s="56"/>
      <c r="E355" s="14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7"/>
      <c r="Q355" s="57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15.75" customHeight="1" x14ac:dyDescent="0.3">
      <c r="A356" s="56"/>
      <c r="B356" s="56"/>
      <c r="C356" s="56"/>
      <c r="D356" s="56"/>
      <c r="E356" s="14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7"/>
      <c r="Q356" s="57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15.75" customHeight="1" x14ac:dyDescent="0.3">
      <c r="A357" s="56"/>
      <c r="B357" s="56"/>
      <c r="C357" s="56"/>
      <c r="D357" s="56"/>
      <c r="E357" s="14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7"/>
      <c r="Q357" s="57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15.75" customHeight="1" x14ac:dyDescent="0.3">
      <c r="A358" s="56"/>
      <c r="B358" s="56"/>
      <c r="C358" s="56"/>
      <c r="D358" s="56"/>
      <c r="E358" s="14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7"/>
      <c r="Q358" s="57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15.75" customHeight="1" x14ac:dyDescent="0.3">
      <c r="A359" s="56"/>
      <c r="B359" s="56"/>
      <c r="C359" s="56"/>
      <c r="D359" s="56"/>
      <c r="E359" s="14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7"/>
      <c r="Q359" s="57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15.75" customHeight="1" x14ac:dyDescent="0.3">
      <c r="A360" s="56"/>
      <c r="B360" s="56"/>
      <c r="C360" s="56"/>
      <c r="D360" s="56"/>
      <c r="E360" s="14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7"/>
      <c r="Q360" s="57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15.75" customHeight="1" x14ac:dyDescent="0.3">
      <c r="A361" s="56"/>
      <c r="B361" s="56"/>
      <c r="C361" s="56"/>
      <c r="D361" s="56"/>
      <c r="E361" s="14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7"/>
      <c r="Q361" s="57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15.75" customHeight="1" x14ac:dyDescent="0.3">
      <c r="A362" s="56"/>
      <c r="B362" s="56"/>
      <c r="C362" s="56"/>
      <c r="D362" s="56"/>
      <c r="E362" s="14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7"/>
      <c r="Q362" s="57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15.75" customHeight="1" x14ac:dyDescent="0.3">
      <c r="A363" s="56"/>
      <c r="B363" s="56"/>
      <c r="C363" s="56"/>
      <c r="D363" s="56"/>
      <c r="E363" s="14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7"/>
      <c r="Q363" s="57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15.75" customHeight="1" x14ac:dyDescent="0.3">
      <c r="A364" s="56"/>
      <c r="B364" s="56"/>
      <c r="C364" s="56"/>
      <c r="D364" s="56"/>
      <c r="E364" s="14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7"/>
      <c r="Q364" s="57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15.75" customHeight="1" x14ac:dyDescent="0.3">
      <c r="A365" s="56"/>
      <c r="B365" s="56"/>
      <c r="C365" s="56"/>
      <c r="D365" s="56"/>
      <c r="E365" s="14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7"/>
      <c r="Q365" s="57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15.75" customHeight="1" x14ac:dyDescent="0.3">
      <c r="A366" s="56"/>
      <c r="B366" s="56"/>
      <c r="C366" s="56"/>
      <c r="D366" s="56"/>
      <c r="E366" s="14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7"/>
      <c r="Q366" s="57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15.75" customHeight="1" x14ac:dyDescent="0.3">
      <c r="A367" s="56"/>
      <c r="B367" s="56"/>
      <c r="C367" s="56"/>
      <c r="D367" s="56"/>
      <c r="E367" s="14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7"/>
      <c r="Q367" s="57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15.75" customHeight="1" x14ac:dyDescent="0.3">
      <c r="A368" s="56"/>
      <c r="B368" s="56"/>
      <c r="C368" s="56"/>
      <c r="D368" s="56"/>
      <c r="E368" s="14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7"/>
      <c r="Q368" s="57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15.75" customHeight="1" x14ac:dyDescent="0.3">
      <c r="A369" s="56"/>
      <c r="B369" s="56"/>
      <c r="C369" s="56"/>
      <c r="D369" s="56"/>
      <c r="E369" s="14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7"/>
      <c r="Q369" s="57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15.75" customHeight="1" x14ac:dyDescent="0.3">
      <c r="A370" s="56"/>
      <c r="B370" s="56"/>
      <c r="C370" s="56"/>
      <c r="D370" s="56"/>
      <c r="E370" s="14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7"/>
      <c r="Q370" s="57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15.75" customHeight="1" x14ac:dyDescent="0.3">
      <c r="A371" s="56"/>
      <c r="B371" s="56"/>
      <c r="C371" s="56"/>
      <c r="D371" s="56"/>
      <c r="E371" s="14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7"/>
      <c r="Q371" s="57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15.75" customHeight="1" x14ac:dyDescent="0.3">
      <c r="A372" s="56"/>
      <c r="B372" s="56"/>
      <c r="C372" s="56"/>
      <c r="D372" s="56"/>
      <c r="E372" s="14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7"/>
      <c r="Q372" s="57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15.75" customHeight="1" x14ac:dyDescent="0.3">
      <c r="A373" s="56"/>
      <c r="B373" s="56"/>
      <c r="C373" s="56"/>
      <c r="D373" s="56"/>
      <c r="E373" s="14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7"/>
      <c r="Q373" s="57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15.75" customHeight="1" x14ac:dyDescent="0.3">
      <c r="A374" s="56"/>
      <c r="B374" s="56"/>
      <c r="C374" s="56"/>
      <c r="D374" s="56"/>
      <c r="E374" s="14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7"/>
      <c r="Q374" s="57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15.75" customHeight="1" x14ac:dyDescent="0.3">
      <c r="A375" s="56"/>
      <c r="B375" s="56"/>
      <c r="C375" s="56"/>
      <c r="D375" s="56"/>
      <c r="E375" s="14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7"/>
      <c r="Q375" s="57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15.75" customHeight="1" x14ac:dyDescent="0.3">
      <c r="A376" s="56"/>
      <c r="B376" s="56"/>
      <c r="C376" s="56"/>
      <c r="D376" s="56"/>
      <c r="E376" s="14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7"/>
      <c r="Q376" s="57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15.75" customHeight="1" x14ac:dyDescent="0.3">
      <c r="A377" s="56"/>
      <c r="B377" s="56"/>
      <c r="C377" s="56"/>
      <c r="D377" s="56"/>
      <c r="E377" s="14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7"/>
      <c r="Q377" s="57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15.75" customHeight="1" x14ac:dyDescent="0.3">
      <c r="A378" s="56"/>
      <c r="B378" s="56"/>
      <c r="C378" s="56"/>
      <c r="D378" s="56"/>
      <c r="E378" s="14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7"/>
      <c r="Q378" s="57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15.75" customHeight="1" x14ac:dyDescent="0.3">
      <c r="A379" s="56"/>
      <c r="B379" s="56"/>
      <c r="C379" s="56"/>
      <c r="D379" s="56"/>
      <c r="E379" s="14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7"/>
      <c r="Q379" s="57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15.75" customHeight="1" x14ac:dyDescent="0.3">
      <c r="A380" s="56"/>
      <c r="B380" s="56"/>
      <c r="C380" s="56"/>
      <c r="D380" s="56"/>
      <c r="E380" s="14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7"/>
      <c r="Q380" s="57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15.75" customHeight="1" x14ac:dyDescent="0.3">
      <c r="A381" s="56"/>
      <c r="B381" s="56"/>
      <c r="C381" s="56"/>
      <c r="D381" s="56"/>
      <c r="E381" s="14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7"/>
      <c r="Q381" s="57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15.75" customHeight="1" x14ac:dyDescent="0.3">
      <c r="A382" s="56"/>
      <c r="B382" s="56"/>
      <c r="C382" s="56"/>
      <c r="D382" s="56"/>
      <c r="E382" s="14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7"/>
      <c r="Q382" s="57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15.75" customHeight="1" x14ac:dyDescent="0.3">
      <c r="A383" s="56"/>
      <c r="B383" s="56"/>
      <c r="C383" s="56"/>
      <c r="D383" s="56"/>
      <c r="E383" s="14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7"/>
      <c r="Q383" s="57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15.75" customHeight="1" x14ac:dyDescent="0.3">
      <c r="A384" s="56"/>
      <c r="B384" s="56"/>
      <c r="C384" s="56"/>
      <c r="D384" s="56"/>
      <c r="E384" s="14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7"/>
      <c r="Q384" s="57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15.75" customHeight="1" x14ac:dyDescent="0.3">
      <c r="A385" s="56"/>
      <c r="B385" s="56"/>
      <c r="C385" s="56"/>
      <c r="D385" s="56"/>
      <c r="E385" s="14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7"/>
      <c r="Q385" s="57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15.75" customHeight="1" x14ac:dyDescent="0.3">
      <c r="A386" s="56"/>
      <c r="B386" s="56"/>
      <c r="C386" s="56"/>
      <c r="D386" s="56"/>
      <c r="E386" s="14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7"/>
      <c r="Q386" s="57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15.75" customHeight="1" x14ac:dyDescent="0.3">
      <c r="A387" s="56"/>
      <c r="B387" s="56"/>
      <c r="C387" s="56"/>
      <c r="D387" s="56"/>
      <c r="E387" s="14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7"/>
      <c r="Q387" s="57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15.75" customHeight="1" x14ac:dyDescent="0.3">
      <c r="A388" s="56"/>
      <c r="B388" s="56"/>
      <c r="C388" s="56"/>
      <c r="D388" s="56"/>
      <c r="E388" s="14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7"/>
      <c r="Q388" s="57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15.75" customHeight="1" x14ac:dyDescent="0.3">
      <c r="A389" s="56"/>
      <c r="B389" s="56"/>
      <c r="C389" s="56"/>
      <c r="D389" s="56"/>
      <c r="E389" s="14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7"/>
      <c r="Q389" s="57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15.75" customHeight="1" x14ac:dyDescent="0.3">
      <c r="A390" s="56"/>
      <c r="B390" s="56"/>
      <c r="C390" s="56"/>
      <c r="D390" s="56"/>
      <c r="E390" s="14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7"/>
      <c r="Q390" s="57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15.75" customHeight="1" x14ac:dyDescent="0.3">
      <c r="A391" s="56"/>
      <c r="B391" s="56"/>
      <c r="C391" s="56"/>
      <c r="D391" s="56"/>
      <c r="E391" s="14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7"/>
      <c r="Q391" s="57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15.75" customHeight="1" x14ac:dyDescent="0.3">
      <c r="A392" s="56"/>
      <c r="B392" s="56"/>
      <c r="C392" s="56"/>
      <c r="D392" s="56"/>
      <c r="E392" s="14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7"/>
      <c r="Q392" s="57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15.75" customHeight="1" x14ac:dyDescent="0.3">
      <c r="A393" s="56"/>
      <c r="B393" s="56"/>
      <c r="C393" s="56"/>
      <c r="D393" s="56"/>
      <c r="E393" s="14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7"/>
      <c r="Q393" s="57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15.75" customHeight="1" x14ac:dyDescent="0.3">
      <c r="A394" s="56"/>
      <c r="B394" s="56"/>
      <c r="C394" s="56"/>
      <c r="D394" s="56"/>
      <c r="E394" s="14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7"/>
      <c r="Q394" s="57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15.75" customHeight="1" x14ac:dyDescent="0.3">
      <c r="A395" s="56"/>
      <c r="B395" s="56"/>
      <c r="C395" s="56"/>
      <c r="D395" s="56"/>
      <c r="E395" s="14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7"/>
      <c r="Q395" s="57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15.75" customHeight="1" x14ac:dyDescent="0.3">
      <c r="A396" s="56"/>
      <c r="B396" s="56"/>
      <c r="C396" s="56"/>
      <c r="D396" s="56"/>
      <c r="E396" s="14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7"/>
      <c r="Q396" s="57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15.75" customHeight="1" x14ac:dyDescent="0.3">
      <c r="A397" s="56"/>
      <c r="B397" s="56"/>
      <c r="C397" s="56"/>
      <c r="D397" s="56"/>
      <c r="E397" s="14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7"/>
      <c r="Q397" s="57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15.75" customHeight="1" x14ac:dyDescent="0.3">
      <c r="A398" s="56"/>
      <c r="B398" s="56"/>
      <c r="C398" s="56"/>
      <c r="D398" s="56"/>
      <c r="E398" s="14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7"/>
      <c r="Q398" s="57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15.75" customHeight="1" x14ac:dyDescent="0.3">
      <c r="A399" s="56"/>
      <c r="B399" s="56"/>
      <c r="C399" s="56"/>
      <c r="D399" s="56"/>
      <c r="E399" s="14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7"/>
      <c r="Q399" s="57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15.75" customHeight="1" x14ac:dyDescent="0.3">
      <c r="A400" s="56"/>
      <c r="B400" s="56"/>
      <c r="C400" s="56"/>
      <c r="D400" s="56"/>
      <c r="E400" s="14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7"/>
      <c r="Q400" s="57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15.75" customHeight="1" x14ac:dyDescent="0.3">
      <c r="A401" s="56"/>
      <c r="B401" s="56"/>
      <c r="C401" s="56"/>
      <c r="D401" s="56"/>
      <c r="E401" s="14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7"/>
      <c r="Q401" s="57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15.75" customHeight="1" x14ac:dyDescent="0.3">
      <c r="A402" s="56"/>
      <c r="B402" s="56"/>
      <c r="C402" s="56"/>
      <c r="D402" s="56"/>
      <c r="E402" s="14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7"/>
      <c r="Q402" s="57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15.75" customHeight="1" x14ac:dyDescent="0.3">
      <c r="A403" s="56"/>
      <c r="B403" s="56"/>
      <c r="C403" s="56"/>
      <c r="D403" s="56"/>
      <c r="E403" s="14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7"/>
      <c r="Q403" s="57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15.75" customHeight="1" x14ac:dyDescent="0.3">
      <c r="A404" s="56"/>
      <c r="B404" s="56"/>
      <c r="C404" s="56"/>
      <c r="D404" s="56"/>
      <c r="E404" s="14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7"/>
      <c r="Q404" s="57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15.75" customHeight="1" x14ac:dyDescent="0.3">
      <c r="A405" s="56"/>
      <c r="B405" s="56"/>
      <c r="C405" s="56"/>
      <c r="D405" s="56"/>
      <c r="E405" s="14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7"/>
      <c r="Q405" s="57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15.75" customHeight="1" x14ac:dyDescent="0.3">
      <c r="A406" s="56"/>
      <c r="B406" s="56"/>
      <c r="C406" s="56"/>
      <c r="D406" s="56"/>
      <c r="E406" s="14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7"/>
      <c r="Q406" s="57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15.75" customHeight="1" x14ac:dyDescent="0.3">
      <c r="A407" s="56"/>
      <c r="B407" s="56"/>
      <c r="C407" s="56"/>
      <c r="D407" s="56"/>
      <c r="E407" s="14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7"/>
      <c r="Q407" s="57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15.75" customHeight="1" x14ac:dyDescent="0.3">
      <c r="A408" s="56"/>
      <c r="B408" s="56"/>
      <c r="C408" s="56"/>
      <c r="D408" s="56"/>
      <c r="E408" s="14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7"/>
      <c r="Q408" s="57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15.75" customHeight="1" x14ac:dyDescent="0.3">
      <c r="A409" s="56"/>
      <c r="B409" s="56"/>
      <c r="C409" s="56"/>
      <c r="D409" s="56"/>
      <c r="E409" s="14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7"/>
      <c r="Q409" s="57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15.75" customHeight="1" x14ac:dyDescent="0.3">
      <c r="A410" s="56"/>
      <c r="B410" s="56"/>
      <c r="C410" s="56"/>
      <c r="D410" s="56"/>
      <c r="E410" s="14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7"/>
      <c r="Q410" s="57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15.75" customHeight="1" x14ac:dyDescent="0.3">
      <c r="A411" s="56"/>
      <c r="B411" s="56"/>
      <c r="C411" s="56"/>
      <c r="D411" s="56"/>
      <c r="E411" s="14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7"/>
      <c r="Q411" s="57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15.75" customHeight="1" x14ac:dyDescent="0.3">
      <c r="A412" s="56"/>
      <c r="B412" s="56"/>
      <c r="C412" s="56"/>
      <c r="D412" s="56"/>
      <c r="E412" s="14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7"/>
      <c r="Q412" s="57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15.75" customHeight="1" x14ac:dyDescent="0.3">
      <c r="A413" s="56"/>
      <c r="B413" s="56"/>
      <c r="C413" s="56"/>
      <c r="D413" s="56"/>
      <c r="E413" s="14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7"/>
      <c r="Q413" s="57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15.75" customHeight="1" x14ac:dyDescent="0.3">
      <c r="A414" s="56"/>
      <c r="B414" s="56"/>
      <c r="C414" s="56"/>
      <c r="D414" s="56"/>
      <c r="E414" s="14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7"/>
      <c r="Q414" s="57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15.75" customHeight="1" x14ac:dyDescent="0.3">
      <c r="A415" s="56"/>
      <c r="B415" s="56"/>
      <c r="C415" s="56"/>
      <c r="D415" s="56"/>
      <c r="E415" s="14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7"/>
      <c r="Q415" s="57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15.75" customHeight="1" x14ac:dyDescent="0.3">
      <c r="A416" s="56"/>
      <c r="B416" s="56"/>
      <c r="C416" s="56"/>
      <c r="D416" s="56"/>
      <c r="E416" s="14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7"/>
      <c r="Q416" s="57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15.75" customHeight="1" x14ac:dyDescent="0.3">
      <c r="A417" s="56"/>
      <c r="B417" s="56"/>
      <c r="C417" s="56"/>
      <c r="D417" s="56"/>
      <c r="E417" s="14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7"/>
      <c r="Q417" s="57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15.75" customHeight="1" x14ac:dyDescent="0.3">
      <c r="A418" s="56"/>
      <c r="B418" s="56"/>
      <c r="C418" s="56"/>
      <c r="D418" s="56"/>
      <c r="E418" s="14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7"/>
      <c r="Q418" s="57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15.75" customHeight="1" x14ac:dyDescent="0.3">
      <c r="A419" s="56"/>
      <c r="B419" s="56"/>
      <c r="C419" s="56"/>
      <c r="D419" s="56"/>
      <c r="E419" s="14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7"/>
      <c r="Q419" s="57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15.75" customHeight="1" x14ac:dyDescent="0.3">
      <c r="A420" s="56"/>
      <c r="B420" s="56"/>
      <c r="C420" s="56"/>
      <c r="D420" s="56"/>
      <c r="E420" s="14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7"/>
      <c r="Q420" s="57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15.75" customHeight="1" x14ac:dyDescent="0.3">
      <c r="A421" s="56"/>
      <c r="B421" s="56"/>
      <c r="C421" s="56"/>
      <c r="D421" s="56"/>
      <c r="E421" s="14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7"/>
      <c r="Q421" s="57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15.75" customHeight="1" x14ac:dyDescent="0.3">
      <c r="A422" s="56"/>
      <c r="B422" s="56"/>
      <c r="C422" s="56"/>
      <c r="D422" s="56"/>
      <c r="E422" s="14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7"/>
      <c r="Q422" s="57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15.75" customHeight="1" x14ac:dyDescent="0.3">
      <c r="A423" s="56"/>
      <c r="B423" s="56"/>
      <c r="C423" s="56"/>
      <c r="D423" s="56"/>
      <c r="E423" s="14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7"/>
      <c r="Q423" s="57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15.75" customHeight="1" x14ac:dyDescent="0.3">
      <c r="A424" s="56"/>
      <c r="B424" s="56"/>
      <c r="C424" s="56"/>
      <c r="D424" s="56"/>
      <c r="E424" s="14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7"/>
      <c r="Q424" s="57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15.75" customHeight="1" x14ac:dyDescent="0.3">
      <c r="A425" s="56"/>
      <c r="B425" s="56"/>
      <c r="C425" s="56"/>
      <c r="D425" s="56"/>
      <c r="E425" s="14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7"/>
      <c r="Q425" s="57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15.75" customHeight="1" x14ac:dyDescent="0.3">
      <c r="A426" s="56"/>
      <c r="B426" s="56"/>
      <c r="C426" s="56"/>
      <c r="D426" s="56"/>
      <c r="E426" s="14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7"/>
      <c r="Q426" s="57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15.75" customHeight="1" x14ac:dyDescent="0.3">
      <c r="A427" s="56"/>
      <c r="B427" s="56"/>
      <c r="C427" s="56"/>
      <c r="D427" s="56"/>
      <c r="E427" s="14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7"/>
      <c r="Q427" s="57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15.75" customHeight="1" x14ac:dyDescent="0.3">
      <c r="A428" s="56"/>
      <c r="B428" s="56"/>
      <c r="C428" s="56"/>
      <c r="D428" s="56"/>
      <c r="E428" s="14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7"/>
      <c r="Q428" s="57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15.75" customHeight="1" x14ac:dyDescent="0.3">
      <c r="A429" s="56"/>
      <c r="B429" s="56"/>
      <c r="C429" s="56"/>
      <c r="D429" s="56"/>
      <c r="E429" s="14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7"/>
      <c r="Q429" s="57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15.75" customHeight="1" x14ac:dyDescent="0.3">
      <c r="A430" s="56"/>
      <c r="B430" s="56"/>
      <c r="C430" s="56"/>
      <c r="D430" s="56"/>
      <c r="E430" s="14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7"/>
      <c r="Q430" s="57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15.75" customHeight="1" x14ac:dyDescent="0.3">
      <c r="A431" s="56"/>
      <c r="B431" s="56"/>
      <c r="C431" s="56"/>
      <c r="D431" s="56"/>
      <c r="E431" s="14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7"/>
      <c r="Q431" s="57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15.75" customHeight="1" x14ac:dyDescent="0.3">
      <c r="A432" s="56"/>
      <c r="B432" s="56"/>
      <c r="C432" s="56"/>
      <c r="D432" s="56"/>
      <c r="E432" s="14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7"/>
      <c r="Q432" s="57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15.75" customHeight="1" x14ac:dyDescent="0.3">
      <c r="A433" s="56"/>
      <c r="B433" s="56"/>
      <c r="C433" s="56"/>
      <c r="D433" s="56"/>
      <c r="E433" s="14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7"/>
      <c r="Q433" s="57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15.75" customHeight="1" x14ac:dyDescent="0.3">
      <c r="A434" s="56"/>
      <c r="B434" s="56"/>
      <c r="C434" s="56"/>
      <c r="D434" s="56"/>
      <c r="E434" s="14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7"/>
      <c r="Q434" s="57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15.75" customHeight="1" x14ac:dyDescent="0.3">
      <c r="A435" s="56"/>
      <c r="B435" s="56"/>
      <c r="C435" s="56"/>
      <c r="D435" s="56"/>
      <c r="E435" s="14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7"/>
      <c r="Q435" s="57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15.75" customHeight="1" x14ac:dyDescent="0.3">
      <c r="A436" s="56"/>
      <c r="B436" s="56"/>
      <c r="C436" s="56"/>
      <c r="D436" s="56"/>
      <c r="E436" s="14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7"/>
      <c r="Q436" s="57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15.75" customHeight="1" x14ac:dyDescent="0.3">
      <c r="A437" s="56"/>
      <c r="B437" s="56"/>
      <c r="C437" s="56"/>
      <c r="D437" s="56"/>
      <c r="E437" s="14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7"/>
      <c r="Q437" s="57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15.75" customHeight="1" x14ac:dyDescent="0.3">
      <c r="A438" s="56"/>
      <c r="B438" s="56"/>
      <c r="C438" s="56"/>
      <c r="D438" s="56"/>
      <c r="E438" s="14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7"/>
      <c r="Q438" s="57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15.75" customHeight="1" x14ac:dyDescent="0.3">
      <c r="A439" s="56"/>
      <c r="B439" s="56"/>
      <c r="C439" s="56"/>
      <c r="D439" s="56"/>
      <c r="E439" s="14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7"/>
      <c r="Q439" s="57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15.75" customHeight="1" x14ac:dyDescent="0.3">
      <c r="A440" s="56"/>
      <c r="B440" s="56"/>
      <c r="C440" s="56"/>
      <c r="D440" s="56"/>
      <c r="E440" s="14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7"/>
      <c r="Q440" s="57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15.75" customHeight="1" x14ac:dyDescent="0.3">
      <c r="A441" s="56"/>
      <c r="B441" s="56"/>
      <c r="C441" s="56"/>
      <c r="D441" s="56"/>
      <c r="E441" s="14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7"/>
      <c r="Q441" s="57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15.75" customHeight="1" x14ac:dyDescent="0.3">
      <c r="A442" s="56"/>
      <c r="B442" s="56"/>
      <c r="C442" s="56"/>
      <c r="D442" s="56"/>
      <c r="E442" s="14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7"/>
      <c r="Q442" s="57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15.75" customHeight="1" x14ac:dyDescent="0.3">
      <c r="A443" s="56"/>
      <c r="B443" s="56"/>
      <c r="C443" s="56"/>
      <c r="D443" s="56"/>
      <c r="E443" s="14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7"/>
      <c r="Q443" s="57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15.75" customHeight="1" x14ac:dyDescent="0.3">
      <c r="A444" s="56"/>
      <c r="B444" s="56"/>
      <c r="C444" s="56"/>
      <c r="D444" s="56"/>
      <c r="E444" s="14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7"/>
      <c r="Q444" s="57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15.75" customHeight="1" x14ac:dyDescent="0.3">
      <c r="A445" s="56"/>
      <c r="B445" s="56"/>
      <c r="C445" s="56"/>
      <c r="D445" s="56"/>
      <c r="E445" s="14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7"/>
      <c r="Q445" s="57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15.75" customHeight="1" x14ac:dyDescent="0.3">
      <c r="A446" s="56"/>
      <c r="B446" s="56"/>
      <c r="C446" s="56"/>
      <c r="D446" s="56"/>
      <c r="E446" s="14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7"/>
      <c r="Q446" s="57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15.75" customHeight="1" x14ac:dyDescent="0.3">
      <c r="A447" s="56"/>
      <c r="B447" s="56"/>
      <c r="C447" s="56"/>
      <c r="D447" s="56"/>
      <c r="E447" s="14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7"/>
      <c r="Q447" s="57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15.75" customHeight="1" x14ac:dyDescent="0.3">
      <c r="A448" s="56"/>
      <c r="B448" s="56"/>
      <c r="C448" s="56"/>
      <c r="D448" s="56"/>
      <c r="E448" s="14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7"/>
      <c r="Q448" s="57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15.75" customHeight="1" x14ac:dyDescent="0.3">
      <c r="A449" s="56"/>
      <c r="B449" s="56"/>
      <c r="C449" s="56"/>
      <c r="D449" s="56"/>
      <c r="E449" s="14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7"/>
      <c r="Q449" s="57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15.75" customHeight="1" x14ac:dyDescent="0.3">
      <c r="A450" s="56"/>
      <c r="B450" s="56"/>
      <c r="C450" s="56"/>
      <c r="D450" s="56"/>
      <c r="E450" s="14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7"/>
      <c r="Q450" s="57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15.75" customHeight="1" x14ac:dyDescent="0.3">
      <c r="A451" s="56"/>
      <c r="B451" s="56"/>
      <c r="C451" s="56"/>
      <c r="D451" s="56"/>
      <c r="E451" s="14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7"/>
      <c r="Q451" s="57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15.75" customHeight="1" x14ac:dyDescent="0.3">
      <c r="A452" s="56"/>
      <c r="B452" s="56"/>
      <c r="C452" s="56"/>
      <c r="D452" s="56"/>
      <c r="E452" s="14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7"/>
      <c r="Q452" s="57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15.75" customHeight="1" x14ac:dyDescent="0.3">
      <c r="A453" s="56"/>
      <c r="B453" s="56"/>
      <c r="C453" s="56"/>
      <c r="D453" s="56"/>
      <c r="E453" s="14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7"/>
      <c r="Q453" s="57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15.75" customHeight="1" x14ac:dyDescent="0.3">
      <c r="A454" s="56"/>
      <c r="B454" s="56"/>
      <c r="C454" s="56"/>
      <c r="D454" s="56"/>
      <c r="E454" s="14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7"/>
      <c r="Q454" s="57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15.75" customHeight="1" x14ac:dyDescent="0.3">
      <c r="A455" s="56"/>
      <c r="B455" s="56"/>
      <c r="C455" s="56"/>
      <c r="D455" s="56"/>
      <c r="E455" s="14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7"/>
      <c r="Q455" s="57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15.75" customHeight="1" x14ac:dyDescent="0.3">
      <c r="A456" s="56"/>
      <c r="B456" s="56"/>
      <c r="C456" s="56"/>
      <c r="D456" s="56"/>
      <c r="E456" s="14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7"/>
      <c r="Q456" s="57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15.75" customHeight="1" x14ac:dyDescent="0.3">
      <c r="A457" s="56"/>
      <c r="B457" s="56"/>
      <c r="C457" s="56"/>
      <c r="D457" s="56"/>
      <c r="E457" s="14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7"/>
      <c r="Q457" s="57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15.75" customHeight="1" x14ac:dyDescent="0.3">
      <c r="A458" s="56"/>
      <c r="B458" s="56"/>
      <c r="C458" s="56"/>
      <c r="D458" s="56"/>
      <c r="E458" s="14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7"/>
      <c r="Q458" s="57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15.75" customHeight="1" x14ac:dyDescent="0.3">
      <c r="A459" s="56"/>
      <c r="B459" s="56"/>
      <c r="C459" s="56"/>
      <c r="D459" s="56"/>
      <c r="E459" s="14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7"/>
      <c r="Q459" s="57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15.75" customHeight="1" x14ac:dyDescent="0.3">
      <c r="A460" s="56"/>
      <c r="B460" s="56"/>
      <c r="C460" s="56"/>
      <c r="D460" s="56"/>
      <c r="E460" s="14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7"/>
      <c r="Q460" s="57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15.75" customHeight="1" x14ac:dyDescent="0.3">
      <c r="A461" s="56"/>
      <c r="B461" s="56"/>
      <c r="C461" s="56"/>
      <c r="D461" s="56"/>
      <c r="E461" s="14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7"/>
      <c r="Q461" s="57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15.75" customHeight="1" x14ac:dyDescent="0.3">
      <c r="A462" s="56"/>
      <c r="B462" s="56"/>
      <c r="C462" s="56"/>
      <c r="D462" s="56"/>
      <c r="E462" s="14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7"/>
      <c r="Q462" s="57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15.75" customHeight="1" x14ac:dyDescent="0.3">
      <c r="A463" s="56"/>
      <c r="B463" s="56"/>
      <c r="C463" s="56"/>
      <c r="D463" s="56"/>
      <c r="E463" s="14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7"/>
      <c r="Q463" s="57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15.75" customHeight="1" x14ac:dyDescent="0.3">
      <c r="A464" s="56"/>
      <c r="B464" s="56"/>
      <c r="C464" s="56"/>
      <c r="D464" s="56"/>
      <c r="E464" s="14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7"/>
      <c r="Q464" s="57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15.75" customHeight="1" x14ac:dyDescent="0.3">
      <c r="A465" s="56"/>
      <c r="B465" s="56"/>
      <c r="C465" s="56"/>
      <c r="D465" s="56"/>
      <c r="E465" s="14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7"/>
      <c r="Q465" s="57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15.75" customHeight="1" x14ac:dyDescent="0.3">
      <c r="A466" s="56"/>
      <c r="B466" s="56"/>
      <c r="C466" s="56"/>
      <c r="D466" s="56"/>
      <c r="E466" s="14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7"/>
      <c r="Q466" s="57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15.75" customHeight="1" x14ac:dyDescent="0.3">
      <c r="A467" s="56"/>
      <c r="B467" s="56"/>
      <c r="C467" s="56"/>
      <c r="D467" s="56"/>
      <c r="E467" s="14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7"/>
      <c r="Q467" s="57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15.75" customHeight="1" x14ac:dyDescent="0.3">
      <c r="A468" s="56"/>
      <c r="B468" s="56"/>
      <c r="C468" s="56"/>
      <c r="D468" s="56"/>
      <c r="E468" s="14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7"/>
      <c r="Q468" s="57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15.75" customHeight="1" x14ac:dyDescent="0.3">
      <c r="A469" s="56"/>
      <c r="B469" s="56"/>
      <c r="C469" s="56"/>
      <c r="D469" s="56"/>
      <c r="E469" s="14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7"/>
      <c r="Q469" s="57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15.75" customHeight="1" x14ac:dyDescent="0.3">
      <c r="A470" s="56"/>
      <c r="B470" s="56"/>
      <c r="C470" s="56"/>
      <c r="D470" s="56"/>
      <c r="E470" s="14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7"/>
      <c r="Q470" s="57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15.75" customHeight="1" x14ac:dyDescent="0.3">
      <c r="A471" s="56"/>
      <c r="B471" s="56"/>
      <c r="C471" s="56"/>
      <c r="D471" s="56"/>
      <c r="E471" s="14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7"/>
      <c r="Q471" s="57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15.75" customHeight="1" x14ac:dyDescent="0.3">
      <c r="A472" s="56"/>
      <c r="B472" s="56"/>
      <c r="C472" s="56"/>
      <c r="D472" s="56"/>
      <c r="E472" s="14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7"/>
      <c r="Q472" s="57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15.75" customHeight="1" x14ac:dyDescent="0.3">
      <c r="A473" s="56"/>
      <c r="B473" s="56"/>
      <c r="C473" s="56"/>
      <c r="D473" s="56"/>
      <c r="E473" s="14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7"/>
      <c r="Q473" s="57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15.75" customHeight="1" x14ac:dyDescent="0.3">
      <c r="A474" s="56"/>
      <c r="B474" s="56"/>
      <c r="C474" s="56"/>
      <c r="D474" s="56"/>
      <c r="E474" s="14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7"/>
      <c r="Q474" s="57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15.75" customHeight="1" x14ac:dyDescent="0.3">
      <c r="A475" s="56"/>
      <c r="B475" s="56"/>
      <c r="C475" s="56"/>
      <c r="D475" s="56"/>
      <c r="E475" s="14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7"/>
      <c r="Q475" s="57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15.75" customHeight="1" x14ac:dyDescent="0.3">
      <c r="A476" s="56"/>
      <c r="B476" s="56"/>
      <c r="C476" s="56"/>
      <c r="D476" s="56"/>
      <c r="E476" s="14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7"/>
      <c r="Q476" s="57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15.75" customHeight="1" x14ac:dyDescent="0.3">
      <c r="A477" s="56"/>
      <c r="B477" s="56"/>
      <c r="C477" s="56"/>
      <c r="D477" s="56"/>
      <c r="E477" s="14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7"/>
      <c r="Q477" s="57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15.75" customHeight="1" x14ac:dyDescent="0.3">
      <c r="A478" s="56"/>
      <c r="B478" s="56"/>
      <c r="C478" s="56"/>
      <c r="D478" s="56"/>
      <c r="E478" s="14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7"/>
      <c r="Q478" s="57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15.75" customHeight="1" x14ac:dyDescent="0.3">
      <c r="A479" s="56"/>
      <c r="B479" s="56"/>
      <c r="C479" s="56"/>
      <c r="D479" s="56"/>
      <c r="E479" s="14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7"/>
      <c r="Q479" s="57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15.75" customHeight="1" x14ac:dyDescent="0.3">
      <c r="A480" s="56"/>
      <c r="B480" s="56"/>
      <c r="C480" s="56"/>
      <c r="D480" s="56"/>
      <c r="E480" s="14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7"/>
      <c r="Q480" s="57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15.75" customHeight="1" x14ac:dyDescent="0.3">
      <c r="A481" s="56"/>
      <c r="B481" s="56"/>
      <c r="C481" s="56"/>
      <c r="D481" s="56"/>
      <c r="E481" s="14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7"/>
      <c r="Q481" s="57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15.75" customHeight="1" x14ac:dyDescent="0.3">
      <c r="A482" s="56"/>
      <c r="B482" s="56"/>
      <c r="C482" s="56"/>
      <c r="D482" s="56"/>
      <c r="E482" s="14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7"/>
      <c r="Q482" s="57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15.75" customHeight="1" x14ac:dyDescent="0.3">
      <c r="A483" s="56"/>
      <c r="B483" s="56"/>
      <c r="C483" s="56"/>
      <c r="D483" s="56"/>
      <c r="E483" s="14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7"/>
      <c r="Q483" s="57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15.75" customHeight="1" x14ac:dyDescent="0.3">
      <c r="A484" s="56"/>
      <c r="B484" s="56"/>
      <c r="C484" s="56"/>
      <c r="D484" s="56"/>
      <c r="E484" s="14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7"/>
      <c r="Q484" s="57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15.75" customHeight="1" x14ac:dyDescent="0.3">
      <c r="A485" s="56"/>
      <c r="B485" s="56"/>
      <c r="C485" s="56"/>
      <c r="D485" s="56"/>
      <c r="E485" s="14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7"/>
      <c r="Q485" s="57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15.75" customHeight="1" x14ac:dyDescent="0.3">
      <c r="A486" s="56"/>
      <c r="B486" s="56"/>
      <c r="C486" s="56"/>
      <c r="D486" s="56"/>
      <c r="E486" s="14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7"/>
      <c r="Q486" s="57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15.75" customHeight="1" x14ac:dyDescent="0.3">
      <c r="A487" s="56"/>
      <c r="B487" s="56"/>
      <c r="C487" s="56"/>
      <c r="D487" s="56"/>
      <c r="E487" s="14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7"/>
      <c r="Q487" s="57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15.75" customHeight="1" x14ac:dyDescent="0.3">
      <c r="A488" s="56"/>
      <c r="B488" s="56"/>
      <c r="C488" s="56"/>
      <c r="D488" s="56"/>
      <c r="E488" s="14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7"/>
      <c r="Q488" s="57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15.75" customHeight="1" x14ac:dyDescent="0.3">
      <c r="A489" s="56"/>
      <c r="B489" s="56"/>
      <c r="C489" s="56"/>
      <c r="D489" s="56"/>
      <c r="E489" s="14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7"/>
      <c r="Q489" s="57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15.75" customHeight="1" x14ac:dyDescent="0.3">
      <c r="A490" s="56"/>
      <c r="B490" s="56"/>
      <c r="C490" s="56"/>
      <c r="D490" s="56"/>
      <c r="E490" s="14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7"/>
      <c r="Q490" s="57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15.75" customHeight="1" x14ac:dyDescent="0.3">
      <c r="A491" s="56"/>
      <c r="B491" s="56"/>
      <c r="C491" s="56"/>
      <c r="D491" s="56"/>
      <c r="E491" s="14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7"/>
      <c r="Q491" s="57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15.75" customHeight="1" x14ac:dyDescent="0.3">
      <c r="A492" s="56"/>
      <c r="B492" s="56"/>
      <c r="C492" s="56"/>
      <c r="D492" s="56"/>
      <c r="E492" s="14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7"/>
      <c r="Q492" s="57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15.75" customHeight="1" x14ac:dyDescent="0.3">
      <c r="A493" s="56"/>
      <c r="B493" s="56"/>
      <c r="C493" s="56"/>
      <c r="D493" s="56"/>
      <c r="E493" s="14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7"/>
      <c r="Q493" s="57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15.75" customHeight="1" x14ac:dyDescent="0.3">
      <c r="A494" s="56"/>
      <c r="B494" s="56"/>
      <c r="C494" s="56"/>
      <c r="D494" s="56"/>
      <c r="E494" s="14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7"/>
      <c r="Q494" s="57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15.75" customHeight="1" x14ac:dyDescent="0.3">
      <c r="A495" s="56"/>
      <c r="B495" s="56"/>
      <c r="C495" s="56"/>
      <c r="D495" s="56"/>
      <c r="E495" s="14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7"/>
      <c r="Q495" s="57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15.75" customHeight="1" x14ac:dyDescent="0.3">
      <c r="A496" s="56"/>
      <c r="B496" s="56"/>
      <c r="C496" s="56"/>
      <c r="D496" s="56"/>
      <c r="E496" s="14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7"/>
      <c r="Q496" s="57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15.75" customHeight="1" x14ac:dyDescent="0.3">
      <c r="A497" s="56"/>
      <c r="B497" s="56"/>
      <c r="C497" s="56"/>
      <c r="D497" s="56"/>
      <c r="E497" s="14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7"/>
      <c r="Q497" s="57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15.75" customHeight="1" x14ac:dyDescent="0.3">
      <c r="A498" s="56"/>
      <c r="B498" s="56"/>
      <c r="C498" s="56"/>
      <c r="D498" s="56"/>
      <c r="E498" s="14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7"/>
      <c r="Q498" s="57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15.75" customHeight="1" x14ac:dyDescent="0.3">
      <c r="A499" s="56"/>
      <c r="B499" s="56"/>
      <c r="C499" s="56"/>
      <c r="D499" s="56"/>
      <c r="E499" s="14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7"/>
      <c r="Q499" s="57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15.75" customHeight="1" x14ac:dyDescent="0.3">
      <c r="A500" s="56"/>
      <c r="B500" s="56"/>
      <c r="C500" s="56"/>
      <c r="D500" s="56"/>
      <c r="E500" s="14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7"/>
      <c r="Q500" s="57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15.75" customHeight="1" x14ac:dyDescent="0.3">
      <c r="A501" s="56"/>
      <c r="B501" s="56"/>
      <c r="C501" s="56"/>
      <c r="D501" s="56"/>
      <c r="E501" s="14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7"/>
      <c r="Q501" s="57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15.75" customHeight="1" x14ac:dyDescent="0.3">
      <c r="A502" s="56"/>
      <c r="B502" s="56"/>
      <c r="C502" s="56"/>
      <c r="D502" s="56"/>
      <c r="E502" s="14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7"/>
      <c r="Q502" s="57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15.75" customHeight="1" x14ac:dyDescent="0.3">
      <c r="A503" s="56"/>
      <c r="B503" s="56"/>
      <c r="C503" s="56"/>
      <c r="D503" s="56"/>
      <c r="E503" s="14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7"/>
      <c r="Q503" s="57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15.75" customHeight="1" x14ac:dyDescent="0.3">
      <c r="A504" s="56"/>
      <c r="B504" s="56"/>
      <c r="C504" s="56"/>
      <c r="D504" s="56"/>
      <c r="E504" s="14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7"/>
      <c r="Q504" s="57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15.75" customHeight="1" x14ac:dyDescent="0.3">
      <c r="A505" s="56"/>
      <c r="B505" s="56"/>
      <c r="C505" s="56"/>
      <c r="D505" s="56"/>
      <c r="E505" s="14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7"/>
      <c r="Q505" s="57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15.75" customHeight="1" x14ac:dyDescent="0.3">
      <c r="A506" s="56"/>
      <c r="B506" s="56"/>
      <c r="C506" s="56"/>
      <c r="D506" s="56"/>
      <c r="E506" s="14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7"/>
      <c r="Q506" s="57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15.75" customHeight="1" x14ac:dyDescent="0.3">
      <c r="A507" s="56"/>
      <c r="B507" s="56"/>
      <c r="C507" s="56"/>
      <c r="D507" s="56"/>
      <c r="E507" s="14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7"/>
      <c r="Q507" s="57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15.75" customHeight="1" x14ac:dyDescent="0.3">
      <c r="A508" s="56"/>
      <c r="B508" s="56"/>
      <c r="C508" s="56"/>
      <c r="D508" s="56"/>
      <c r="E508" s="14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7"/>
      <c r="Q508" s="57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15.75" customHeight="1" x14ac:dyDescent="0.3">
      <c r="A509" s="56"/>
      <c r="B509" s="56"/>
      <c r="C509" s="56"/>
      <c r="D509" s="56"/>
      <c r="E509" s="14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7"/>
      <c r="Q509" s="57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15.75" customHeight="1" x14ac:dyDescent="0.3">
      <c r="A510" s="56"/>
      <c r="B510" s="56"/>
      <c r="C510" s="56"/>
      <c r="D510" s="56"/>
      <c r="E510" s="14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7"/>
      <c r="Q510" s="57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15.75" customHeight="1" x14ac:dyDescent="0.3">
      <c r="A511" s="56"/>
      <c r="B511" s="56"/>
      <c r="C511" s="56"/>
      <c r="D511" s="56"/>
      <c r="E511" s="14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7"/>
      <c r="Q511" s="57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15.75" customHeight="1" x14ac:dyDescent="0.3">
      <c r="A512" s="56"/>
      <c r="B512" s="56"/>
      <c r="C512" s="56"/>
      <c r="D512" s="56"/>
      <c r="E512" s="14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7"/>
      <c r="Q512" s="57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15.75" customHeight="1" x14ac:dyDescent="0.3">
      <c r="A513" s="56"/>
      <c r="B513" s="56"/>
      <c r="C513" s="56"/>
      <c r="D513" s="56"/>
      <c r="E513" s="14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7"/>
      <c r="Q513" s="57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15.75" customHeight="1" x14ac:dyDescent="0.3">
      <c r="A514" s="56"/>
      <c r="B514" s="56"/>
      <c r="C514" s="56"/>
      <c r="D514" s="56"/>
      <c r="E514" s="14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7"/>
      <c r="Q514" s="57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15.75" customHeight="1" x14ac:dyDescent="0.3">
      <c r="A515" s="56"/>
      <c r="B515" s="56"/>
      <c r="C515" s="56"/>
      <c r="D515" s="56"/>
      <c r="E515" s="14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7"/>
      <c r="Q515" s="57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15.75" customHeight="1" x14ac:dyDescent="0.3">
      <c r="A516" s="56"/>
      <c r="B516" s="56"/>
      <c r="C516" s="56"/>
      <c r="D516" s="56"/>
      <c r="E516" s="14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7"/>
      <c r="Q516" s="57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15.75" customHeight="1" x14ac:dyDescent="0.3">
      <c r="A517" s="56"/>
      <c r="B517" s="56"/>
      <c r="C517" s="56"/>
      <c r="D517" s="56"/>
      <c r="E517" s="14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7"/>
      <c r="Q517" s="57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15.75" customHeight="1" x14ac:dyDescent="0.3">
      <c r="A518" s="56"/>
      <c r="B518" s="56"/>
      <c r="C518" s="56"/>
      <c r="D518" s="56"/>
      <c r="E518" s="14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7"/>
      <c r="Q518" s="57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15.75" customHeight="1" x14ac:dyDescent="0.3">
      <c r="A519" s="56"/>
      <c r="B519" s="56"/>
      <c r="C519" s="56"/>
      <c r="D519" s="56"/>
      <c r="E519" s="14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7"/>
      <c r="Q519" s="57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15.75" customHeight="1" x14ac:dyDescent="0.3">
      <c r="A520" s="56"/>
      <c r="B520" s="56"/>
      <c r="C520" s="56"/>
      <c r="D520" s="56"/>
      <c r="E520" s="14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7"/>
      <c r="Q520" s="57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15.75" customHeight="1" x14ac:dyDescent="0.3">
      <c r="A521" s="56"/>
      <c r="B521" s="56"/>
      <c r="C521" s="56"/>
      <c r="D521" s="56"/>
      <c r="E521" s="14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7"/>
      <c r="Q521" s="57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5.75" customHeight="1" x14ac:dyDescent="0.3">
      <c r="A522" s="56"/>
      <c r="B522" s="56"/>
      <c r="C522" s="56"/>
      <c r="D522" s="56"/>
      <c r="E522" s="14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7"/>
      <c r="Q522" s="57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15.75" customHeight="1" x14ac:dyDescent="0.3">
      <c r="A523" s="56"/>
      <c r="B523" s="56"/>
      <c r="C523" s="56"/>
      <c r="D523" s="56"/>
      <c r="E523" s="14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7"/>
      <c r="Q523" s="57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15.75" customHeight="1" x14ac:dyDescent="0.3">
      <c r="A524" s="56"/>
      <c r="B524" s="56"/>
      <c r="C524" s="56"/>
      <c r="D524" s="56"/>
      <c r="E524" s="14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7"/>
      <c r="Q524" s="57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15.75" customHeight="1" x14ac:dyDescent="0.3">
      <c r="A525" s="56"/>
      <c r="B525" s="56"/>
      <c r="C525" s="56"/>
      <c r="D525" s="56"/>
      <c r="E525" s="14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7"/>
      <c r="Q525" s="57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15.75" customHeight="1" x14ac:dyDescent="0.3">
      <c r="A526" s="56"/>
      <c r="B526" s="56"/>
      <c r="C526" s="56"/>
      <c r="D526" s="56"/>
      <c r="E526" s="14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7"/>
      <c r="Q526" s="57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15.75" customHeight="1" x14ac:dyDescent="0.3">
      <c r="A527" s="56"/>
      <c r="B527" s="56"/>
      <c r="C527" s="56"/>
      <c r="D527" s="56"/>
      <c r="E527" s="14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7"/>
      <c r="Q527" s="57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15.75" customHeight="1" x14ac:dyDescent="0.3">
      <c r="A528" s="56"/>
      <c r="B528" s="56"/>
      <c r="C528" s="56"/>
      <c r="D528" s="56"/>
      <c r="E528" s="14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7"/>
      <c r="Q528" s="57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15.75" customHeight="1" x14ac:dyDescent="0.3">
      <c r="A529" s="56"/>
      <c r="B529" s="56"/>
      <c r="C529" s="56"/>
      <c r="D529" s="56"/>
      <c r="E529" s="14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7"/>
      <c r="Q529" s="57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15.75" customHeight="1" x14ac:dyDescent="0.3">
      <c r="A530" s="56"/>
      <c r="B530" s="56"/>
      <c r="C530" s="56"/>
      <c r="D530" s="56"/>
      <c r="E530" s="14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7"/>
      <c r="Q530" s="57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15.75" customHeight="1" x14ac:dyDescent="0.3">
      <c r="A531" s="56"/>
      <c r="B531" s="56"/>
      <c r="C531" s="56"/>
      <c r="D531" s="56"/>
      <c r="E531" s="14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7"/>
      <c r="Q531" s="57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15.75" customHeight="1" x14ac:dyDescent="0.3">
      <c r="A532" s="56"/>
      <c r="B532" s="56"/>
      <c r="C532" s="56"/>
      <c r="D532" s="56"/>
      <c r="E532" s="14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7"/>
      <c r="Q532" s="57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15.75" customHeight="1" x14ac:dyDescent="0.3">
      <c r="A533" s="56"/>
      <c r="B533" s="56"/>
      <c r="C533" s="56"/>
      <c r="D533" s="56"/>
      <c r="E533" s="14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7"/>
      <c r="Q533" s="57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15.75" customHeight="1" x14ac:dyDescent="0.3">
      <c r="A534" s="56"/>
      <c r="B534" s="56"/>
      <c r="C534" s="56"/>
      <c r="D534" s="56"/>
      <c r="E534" s="14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7"/>
      <c r="Q534" s="57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15.75" customHeight="1" x14ac:dyDescent="0.3">
      <c r="A535" s="56"/>
      <c r="B535" s="56"/>
      <c r="C535" s="56"/>
      <c r="D535" s="56"/>
      <c r="E535" s="14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7"/>
      <c r="Q535" s="57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15.75" customHeight="1" x14ac:dyDescent="0.3">
      <c r="A536" s="56"/>
      <c r="B536" s="56"/>
      <c r="C536" s="56"/>
      <c r="D536" s="56"/>
      <c r="E536" s="14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7"/>
      <c r="Q536" s="57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15.75" customHeight="1" x14ac:dyDescent="0.3">
      <c r="A537" s="56"/>
      <c r="B537" s="56"/>
      <c r="C537" s="56"/>
      <c r="D537" s="56"/>
      <c r="E537" s="14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7"/>
      <c r="Q537" s="57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15.75" customHeight="1" x14ac:dyDescent="0.3">
      <c r="A538" s="56"/>
      <c r="B538" s="56"/>
      <c r="C538" s="56"/>
      <c r="D538" s="56"/>
      <c r="E538" s="14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7"/>
      <c r="Q538" s="57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15.75" customHeight="1" x14ac:dyDescent="0.3">
      <c r="A539" s="56"/>
      <c r="B539" s="56"/>
      <c r="C539" s="56"/>
      <c r="D539" s="56"/>
      <c r="E539" s="14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7"/>
      <c r="Q539" s="57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15.75" customHeight="1" x14ac:dyDescent="0.3">
      <c r="A540" s="56"/>
      <c r="B540" s="56"/>
      <c r="C540" s="56"/>
      <c r="D540" s="56"/>
      <c r="E540" s="14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7"/>
      <c r="Q540" s="57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15.75" customHeight="1" x14ac:dyDescent="0.3">
      <c r="A541" s="56"/>
      <c r="B541" s="56"/>
      <c r="C541" s="56"/>
      <c r="D541" s="56"/>
      <c r="E541" s="14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7"/>
      <c r="Q541" s="57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15.75" customHeight="1" x14ac:dyDescent="0.3">
      <c r="A542" s="56"/>
      <c r="B542" s="56"/>
      <c r="C542" s="56"/>
      <c r="D542" s="56"/>
      <c r="E542" s="14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7"/>
      <c r="Q542" s="57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15.75" customHeight="1" x14ac:dyDescent="0.3">
      <c r="A543" s="56"/>
      <c r="B543" s="56"/>
      <c r="C543" s="56"/>
      <c r="D543" s="56"/>
      <c r="E543" s="14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7"/>
      <c r="Q543" s="57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15.75" customHeight="1" x14ac:dyDescent="0.3">
      <c r="A544" s="56"/>
      <c r="B544" s="56"/>
      <c r="C544" s="56"/>
      <c r="D544" s="56"/>
      <c r="E544" s="14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7"/>
      <c r="Q544" s="57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15.75" customHeight="1" x14ac:dyDescent="0.3">
      <c r="A545" s="56"/>
      <c r="B545" s="56"/>
      <c r="C545" s="56"/>
      <c r="D545" s="56"/>
      <c r="E545" s="14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7"/>
      <c r="Q545" s="57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15.75" customHeight="1" x14ac:dyDescent="0.3">
      <c r="A546" s="56"/>
      <c r="B546" s="56"/>
      <c r="C546" s="56"/>
      <c r="D546" s="56"/>
      <c r="E546" s="14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7"/>
      <c r="Q546" s="57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15.75" customHeight="1" x14ac:dyDescent="0.3">
      <c r="A547" s="56"/>
      <c r="B547" s="56"/>
      <c r="C547" s="56"/>
      <c r="D547" s="56"/>
      <c r="E547" s="14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7"/>
      <c r="Q547" s="57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15.75" customHeight="1" x14ac:dyDescent="0.3">
      <c r="A548" s="56"/>
      <c r="B548" s="56"/>
      <c r="C548" s="56"/>
      <c r="D548" s="56"/>
      <c r="E548" s="14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7"/>
      <c r="Q548" s="57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15.75" customHeight="1" x14ac:dyDescent="0.3">
      <c r="A549" s="56"/>
      <c r="B549" s="56"/>
      <c r="C549" s="56"/>
      <c r="D549" s="56"/>
      <c r="E549" s="14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7"/>
      <c r="Q549" s="57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15.75" customHeight="1" x14ac:dyDescent="0.3">
      <c r="A550" s="56"/>
      <c r="B550" s="56"/>
      <c r="C550" s="56"/>
      <c r="D550" s="56"/>
      <c r="E550" s="14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7"/>
      <c r="Q550" s="57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15.75" customHeight="1" x14ac:dyDescent="0.3">
      <c r="A551" s="56"/>
      <c r="B551" s="56"/>
      <c r="C551" s="56"/>
      <c r="D551" s="56"/>
      <c r="E551" s="14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7"/>
      <c r="Q551" s="57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15.75" customHeight="1" x14ac:dyDescent="0.3">
      <c r="A552" s="56"/>
      <c r="B552" s="56"/>
      <c r="C552" s="56"/>
      <c r="D552" s="56"/>
      <c r="E552" s="14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7"/>
      <c r="Q552" s="57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15.75" customHeight="1" x14ac:dyDescent="0.3">
      <c r="A553" s="56"/>
      <c r="B553" s="56"/>
      <c r="C553" s="56"/>
      <c r="D553" s="56"/>
      <c r="E553" s="14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7"/>
      <c r="Q553" s="57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15.75" customHeight="1" x14ac:dyDescent="0.3">
      <c r="A554" s="56"/>
      <c r="B554" s="56"/>
      <c r="C554" s="56"/>
      <c r="D554" s="56"/>
      <c r="E554" s="14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7"/>
      <c r="Q554" s="57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15.75" customHeight="1" x14ac:dyDescent="0.3">
      <c r="A555" s="56"/>
      <c r="B555" s="56"/>
      <c r="C555" s="56"/>
      <c r="D555" s="56"/>
      <c r="E555" s="14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7"/>
      <c r="Q555" s="57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15.75" customHeight="1" x14ac:dyDescent="0.3">
      <c r="A556" s="56"/>
      <c r="B556" s="56"/>
      <c r="C556" s="56"/>
      <c r="D556" s="56"/>
      <c r="E556" s="14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7"/>
      <c r="Q556" s="57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15.75" customHeight="1" x14ac:dyDescent="0.3">
      <c r="A557" s="56"/>
      <c r="B557" s="56"/>
      <c r="C557" s="56"/>
      <c r="D557" s="56"/>
      <c r="E557" s="14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7"/>
      <c r="Q557" s="57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15.75" customHeight="1" x14ac:dyDescent="0.3">
      <c r="A558" s="56"/>
      <c r="B558" s="56"/>
      <c r="C558" s="56"/>
      <c r="D558" s="56"/>
      <c r="E558" s="14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7"/>
      <c r="Q558" s="57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15.75" customHeight="1" x14ac:dyDescent="0.3">
      <c r="A559" s="56"/>
      <c r="B559" s="56"/>
      <c r="C559" s="56"/>
      <c r="D559" s="56"/>
      <c r="E559" s="14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7"/>
      <c r="Q559" s="57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15.75" customHeight="1" x14ac:dyDescent="0.3">
      <c r="A560" s="56"/>
      <c r="B560" s="56"/>
      <c r="C560" s="56"/>
      <c r="D560" s="56"/>
      <c r="E560" s="14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7"/>
      <c r="Q560" s="57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15.75" customHeight="1" x14ac:dyDescent="0.3">
      <c r="A561" s="56"/>
      <c r="B561" s="56"/>
      <c r="C561" s="56"/>
      <c r="D561" s="56"/>
      <c r="E561" s="14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7"/>
      <c r="Q561" s="57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15.75" customHeight="1" x14ac:dyDescent="0.3">
      <c r="A562" s="56"/>
      <c r="B562" s="56"/>
      <c r="C562" s="56"/>
      <c r="D562" s="56"/>
      <c r="E562" s="14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7"/>
      <c r="Q562" s="57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15.75" customHeight="1" x14ac:dyDescent="0.3">
      <c r="A563" s="56"/>
      <c r="B563" s="56"/>
      <c r="C563" s="56"/>
      <c r="D563" s="56"/>
      <c r="E563" s="14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7"/>
      <c r="Q563" s="57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15.75" customHeight="1" x14ac:dyDescent="0.3">
      <c r="A564" s="56"/>
      <c r="B564" s="56"/>
      <c r="C564" s="56"/>
      <c r="D564" s="56"/>
      <c r="E564" s="14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7"/>
      <c r="Q564" s="57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15.75" customHeight="1" x14ac:dyDescent="0.3">
      <c r="A565" s="56"/>
      <c r="B565" s="56"/>
      <c r="C565" s="56"/>
      <c r="D565" s="56"/>
      <c r="E565" s="14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7"/>
      <c r="Q565" s="57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15.75" customHeight="1" x14ac:dyDescent="0.3">
      <c r="A566" s="56"/>
      <c r="B566" s="56"/>
      <c r="C566" s="56"/>
      <c r="D566" s="56"/>
      <c r="E566" s="14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7"/>
      <c r="Q566" s="57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15.75" customHeight="1" x14ac:dyDescent="0.3">
      <c r="A567" s="56"/>
      <c r="B567" s="56"/>
      <c r="C567" s="56"/>
      <c r="D567" s="56"/>
      <c r="E567" s="14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7"/>
      <c r="Q567" s="57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15.75" customHeight="1" x14ac:dyDescent="0.3">
      <c r="A568" s="56"/>
      <c r="B568" s="56"/>
      <c r="C568" s="56"/>
      <c r="D568" s="56"/>
      <c r="E568" s="14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7"/>
      <c r="Q568" s="57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15.75" customHeight="1" x14ac:dyDescent="0.3">
      <c r="A569" s="56"/>
      <c r="B569" s="56"/>
      <c r="C569" s="56"/>
      <c r="D569" s="56"/>
      <c r="E569" s="14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7"/>
      <c r="Q569" s="57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15.75" customHeight="1" x14ac:dyDescent="0.3">
      <c r="A570" s="56"/>
      <c r="B570" s="56"/>
      <c r="C570" s="56"/>
      <c r="D570" s="56"/>
      <c r="E570" s="14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7"/>
      <c r="Q570" s="57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15.75" customHeight="1" x14ac:dyDescent="0.3">
      <c r="A571" s="56"/>
      <c r="B571" s="56"/>
      <c r="C571" s="56"/>
      <c r="D571" s="56"/>
      <c r="E571" s="14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7"/>
      <c r="Q571" s="57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15.75" customHeight="1" x14ac:dyDescent="0.3">
      <c r="A572" s="56"/>
      <c r="B572" s="56"/>
      <c r="C572" s="56"/>
      <c r="D572" s="56"/>
      <c r="E572" s="14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7"/>
      <c r="Q572" s="57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15.75" customHeight="1" x14ac:dyDescent="0.3">
      <c r="A573" s="56"/>
      <c r="B573" s="56"/>
      <c r="C573" s="56"/>
      <c r="D573" s="56"/>
      <c r="E573" s="14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7"/>
      <c r="Q573" s="57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15.75" customHeight="1" x14ac:dyDescent="0.3">
      <c r="A574" s="56"/>
      <c r="B574" s="56"/>
      <c r="C574" s="56"/>
      <c r="D574" s="56"/>
      <c r="E574" s="14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7"/>
      <c r="Q574" s="57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15.75" customHeight="1" x14ac:dyDescent="0.3">
      <c r="A575" s="56"/>
      <c r="B575" s="56"/>
      <c r="C575" s="56"/>
      <c r="D575" s="56"/>
      <c r="E575" s="14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7"/>
      <c r="Q575" s="57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15.75" customHeight="1" x14ac:dyDescent="0.3">
      <c r="A576" s="56"/>
      <c r="B576" s="56"/>
      <c r="C576" s="56"/>
      <c r="D576" s="56"/>
      <c r="E576" s="14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7"/>
      <c r="Q576" s="57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15.75" customHeight="1" x14ac:dyDescent="0.3">
      <c r="A577" s="56"/>
      <c r="B577" s="56"/>
      <c r="C577" s="56"/>
      <c r="D577" s="56"/>
      <c r="E577" s="14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7"/>
      <c r="Q577" s="57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15.75" customHeight="1" x14ac:dyDescent="0.3">
      <c r="A578" s="56"/>
      <c r="B578" s="56"/>
      <c r="C578" s="56"/>
      <c r="D578" s="56"/>
      <c r="E578" s="14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7"/>
      <c r="Q578" s="57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15.75" customHeight="1" x14ac:dyDescent="0.3">
      <c r="A579" s="56"/>
      <c r="B579" s="56"/>
      <c r="C579" s="56"/>
      <c r="D579" s="56"/>
      <c r="E579" s="14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7"/>
      <c r="Q579" s="57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15.75" customHeight="1" x14ac:dyDescent="0.3">
      <c r="A580" s="56"/>
      <c r="B580" s="56"/>
      <c r="C580" s="56"/>
      <c r="D580" s="56"/>
      <c r="E580" s="14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7"/>
      <c r="Q580" s="57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15.75" customHeight="1" x14ac:dyDescent="0.3">
      <c r="A581" s="56"/>
      <c r="B581" s="56"/>
      <c r="C581" s="56"/>
      <c r="D581" s="56"/>
      <c r="E581" s="14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7"/>
      <c r="Q581" s="57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15.75" customHeight="1" x14ac:dyDescent="0.3">
      <c r="A582" s="56"/>
      <c r="B582" s="56"/>
      <c r="C582" s="56"/>
      <c r="D582" s="56"/>
      <c r="E582" s="14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7"/>
      <c r="Q582" s="57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15.75" customHeight="1" x14ac:dyDescent="0.3">
      <c r="A583" s="56"/>
      <c r="B583" s="56"/>
      <c r="C583" s="56"/>
      <c r="D583" s="56"/>
      <c r="E583" s="14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7"/>
      <c r="Q583" s="57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15.75" customHeight="1" x14ac:dyDescent="0.3">
      <c r="A584" s="56"/>
      <c r="B584" s="56"/>
      <c r="C584" s="56"/>
      <c r="D584" s="56"/>
      <c r="E584" s="14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7"/>
      <c r="Q584" s="57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15.75" customHeight="1" x14ac:dyDescent="0.3">
      <c r="A585" s="56"/>
      <c r="B585" s="56"/>
      <c r="C585" s="56"/>
      <c r="D585" s="56"/>
      <c r="E585" s="14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7"/>
      <c r="Q585" s="57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15.75" customHeight="1" x14ac:dyDescent="0.3">
      <c r="A586" s="56"/>
      <c r="B586" s="56"/>
      <c r="C586" s="56"/>
      <c r="D586" s="56"/>
      <c r="E586" s="14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7"/>
      <c r="Q586" s="57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15.75" customHeight="1" x14ac:dyDescent="0.3">
      <c r="A587" s="56"/>
      <c r="B587" s="56"/>
      <c r="C587" s="56"/>
      <c r="D587" s="56"/>
      <c r="E587" s="14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7"/>
      <c r="Q587" s="57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15.75" customHeight="1" x14ac:dyDescent="0.3">
      <c r="A588" s="56"/>
      <c r="B588" s="56"/>
      <c r="C588" s="56"/>
      <c r="D588" s="56"/>
      <c r="E588" s="14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7"/>
      <c r="Q588" s="57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15.75" customHeight="1" x14ac:dyDescent="0.3">
      <c r="A589" s="56"/>
      <c r="B589" s="56"/>
      <c r="C589" s="56"/>
      <c r="D589" s="56"/>
      <c r="E589" s="14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7"/>
      <c r="Q589" s="57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15.75" customHeight="1" x14ac:dyDescent="0.3">
      <c r="A590" s="56"/>
      <c r="B590" s="56"/>
      <c r="C590" s="56"/>
      <c r="D590" s="56"/>
      <c r="E590" s="14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7"/>
      <c r="Q590" s="57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15.75" customHeight="1" x14ac:dyDescent="0.3">
      <c r="A591" s="56"/>
      <c r="B591" s="56"/>
      <c r="C591" s="56"/>
      <c r="D591" s="56"/>
      <c r="E591" s="14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7"/>
      <c r="Q591" s="57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15.75" customHeight="1" x14ac:dyDescent="0.3">
      <c r="A592" s="56"/>
      <c r="B592" s="56"/>
      <c r="C592" s="56"/>
      <c r="D592" s="56"/>
      <c r="E592" s="14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7"/>
      <c r="Q592" s="57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15.75" customHeight="1" x14ac:dyDescent="0.3">
      <c r="A593" s="56"/>
      <c r="B593" s="56"/>
      <c r="C593" s="56"/>
      <c r="D593" s="56"/>
      <c r="E593" s="14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7"/>
      <c r="Q593" s="57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15.75" customHeight="1" x14ac:dyDescent="0.3">
      <c r="A594" s="56"/>
      <c r="B594" s="56"/>
      <c r="C594" s="56"/>
      <c r="D594" s="56"/>
      <c r="E594" s="14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7"/>
      <c r="Q594" s="57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15.75" customHeight="1" x14ac:dyDescent="0.3">
      <c r="A595" s="56"/>
      <c r="B595" s="56"/>
      <c r="C595" s="56"/>
      <c r="D595" s="56"/>
      <c r="E595" s="14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7"/>
      <c r="Q595" s="57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15.75" customHeight="1" x14ac:dyDescent="0.3">
      <c r="A596" s="56"/>
      <c r="B596" s="56"/>
      <c r="C596" s="56"/>
      <c r="D596" s="56"/>
      <c r="E596" s="14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7"/>
      <c r="Q596" s="57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15.75" customHeight="1" x14ac:dyDescent="0.3">
      <c r="A597" s="56"/>
      <c r="B597" s="56"/>
      <c r="C597" s="56"/>
      <c r="D597" s="56"/>
      <c r="E597" s="14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7"/>
      <c r="Q597" s="57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15.75" customHeight="1" x14ac:dyDescent="0.3">
      <c r="A598" s="56"/>
      <c r="B598" s="56"/>
      <c r="C598" s="56"/>
      <c r="D598" s="56"/>
      <c r="E598" s="14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7"/>
      <c r="Q598" s="57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15.75" customHeight="1" x14ac:dyDescent="0.3">
      <c r="A599" s="56"/>
      <c r="B599" s="56"/>
      <c r="C599" s="56"/>
      <c r="D599" s="56"/>
      <c r="E599" s="14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7"/>
      <c r="Q599" s="57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15.75" customHeight="1" x14ac:dyDescent="0.3">
      <c r="A600" s="56"/>
      <c r="B600" s="56"/>
      <c r="C600" s="56"/>
      <c r="D600" s="56"/>
      <c r="E600" s="14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7"/>
      <c r="Q600" s="57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15.75" customHeight="1" x14ac:dyDescent="0.3">
      <c r="A601" s="56"/>
      <c r="B601" s="56"/>
      <c r="C601" s="56"/>
      <c r="D601" s="56"/>
      <c r="E601" s="14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7"/>
      <c r="Q601" s="57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15.75" customHeight="1" x14ac:dyDescent="0.3">
      <c r="A602" s="56"/>
      <c r="B602" s="56"/>
      <c r="C602" s="56"/>
      <c r="D602" s="56"/>
      <c r="E602" s="14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7"/>
      <c r="Q602" s="57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15.75" customHeight="1" x14ac:dyDescent="0.3">
      <c r="A603" s="56"/>
      <c r="B603" s="56"/>
      <c r="C603" s="56"/>
      <c r="D603" s="56"/>
      <c r="E603" s="14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7"/>
      <c r="Q603" s="57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15.75" customHeight="1" x14ac:dyDescent="0.3">
      <c r="A604" s="56"/>
      <c r="B604" s="56"/>
      <c r="C604" s="56"/>
      <c r="D604" s="56"/>
      <c r="E604" s="14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7"/>
      <c r="Q604" s="57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15.75" customHeight="1" x14ac:dyDescent="0.3">
      <c r="A605" s="56"/>
      <c r="B605" s="56"/>
      <c r="C605" s="56"/>
      <c r="D605" s="56"/>
      <c r="E605" s="14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7"/>
      <c r="Q605" s="57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15.75" customHeight="1" x14ac:dyDescent="0.3">
      <c r="A606" s="56"/>
      <c r="B606" s="56"/>
      <c r="C606" s="56"/>
      <c r="D606" s="56"/>
      <c r="E606" s="14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7"/>
      <c r="Q606" s="57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15.75" customHeight="1" x14ac:dyDescent="0.3">
      <c r="A607" s="56"/>
      <c r="B607" s="56"/>
      <c r="C607" s="56"/>
      <c r="D607" s="56"/>
      <c r="E607" s="14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7"/>
      <c r="Q607" s="57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15.75" customHeight="1" x14ac:dyDescent="0.3">
      <c r="A608" s="56"/>
      <c r="B608" s="56"/>
      <c r="C608" s="56"/>
      <c r="D608" s="56"/>
      <c r="E608" s="14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7"/>
      <c r="Q608" s="57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15.75" customHeight="1" x14ac:dyDescent="0.3">
      <c r="A609" s="56"/>
      <c r="B609" s="56"/>
      <c r="C609" s="56"/>
      <c r="D609" s="56"/>
      <c r="E609" s="14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7"/>
      <c r="Q609" s="57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15.75" customHeight="1" x14ac:dyDescent="0.3">
      <c r="A610" s="56"/>
      <c r="B610" s="56"/>
      <c r="C610" s="56"/>
      <c r="D610" s="56"/>
      <c r="E610" s="14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7"/>
      <c r="Q610" s="57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15.75" customHeight="1" x14ac:dyDescent="0.3">
      <c r="A611" s="56"/>
      <c r="B611" s="56"/>
      <c r="C611" s="56"/>
      <c r="D611" s="56"/>
      <c r="E611" s="14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7"/>
      <c r="Q611" s="57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15.75" customHeight="1" x14ac:dyDescent="0.3">
      <c r="A612" s="56"/>
      <c r="B612" s="56"/>
      <c r="C612" s="56"/>
      <c r="D612" s="56"/>
      <c r="E612" s="14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7"/>
      <c r="Q612" s="57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15.75" customHeight="1" x14ac:dyDescent="0.3">
      <c r="A613" s="56"/>
      <c r="B613" s="56"/>
      <c r="C613" s="56"/>
      <c r="D613" s="56"/>
      <c r="E613" s="14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7"/>
      <c r="Q613" s="57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15.75" customHeight="1" x14ac:dyDescent="0.3">
      <c r="A614" s="56"/>
      <c r="B614" s="56"/>
      <c r="C614" s="56"/>
      <c r="D614" s="56"/>
      <c r="E614" s="14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7"/>
      <c r="Q614" s="57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15.75" customHeight="1" x14ac:dyDescent="0.3">
      <c r="A615" s="56"/>
      <c r="B615" s="56"/>
      <c r="C615" s="56"/>
      <c r="D615" s="56"/>
      <c r="E615" s="14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7"/>
      <c r="Q615" s="57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15.75" customHeight="1" x14ac:dyDescent="0.3">
      <c r="A616" s="56"/>
      <c r="B616" s="56"/>
      <c r="C616" s="56"/>
      <c r="D616" s="56"/>
      <c r="E616" s="14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7"/>
      <c r="Q616" s="57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15.75" customHeight="1" x14ac:dyDescent="0.3">
      <c r="A617" s="56"/>
      <c r="B617" s="56"/>
      <c r="C617" s="56"/>
      <c r="D617" s="56"/>
      <c r="E617" s="14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7"/>
      <c r="Q617" s="57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15.75" customHeight="1" x14ac:dyDescent="0.3">
      <c r="A618" s="56"/>
      <c r="B618" s="56"/>
      <c r="C618" s="56"/>
      <c r="D618" s="56"/>
      <c r="E618" s="14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7"/>
      <c r="Q618" s="57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15.75" customHeight="1" x14ac:dyDescent="0.3">
      <c r="A619" s="56"/>
      <c r="B619" s="56"/>
      <c r="C619" s="56"/>
      <c r="D619" s="56"/>
      <c r="E619" s="14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7"/>
      <c r="Q619" s="57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15.75" customHeight="1" x14ac:dyDescent="0.3">
      <c r="A620" s="56"/>
      <c r="B620" s="56"/>
      <c r="C620" s="56"/>
      <c r="D620" s="56"/>
      <c r="E620" s="14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7"/>
      <c r="Q620" s="57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15.75" customHeight="1" x14ac:dyDescent="0.3">
      <c r="A621" s="56"/>
      <c r="B621" s="56"/>
      <c r="C621" s="56"/>
      <c r="D621" s="56"/>
      <c r="E621" s="14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7"/>
      <c r="Q621" s="57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15.75" customHeight="1" x14ac:dyDescent="0.3">
      <c r="A622" s="56"/>
      <c r="B622" s="56"/>
      <c r="C622" s="56"/>
      <c r="D622" s="56"/>
      <c r="E622" s="14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7"/>
      <c r="Q622" s="57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15.75" customHeight="1" x14ac:dyDescent="0.3">
      <c r="A623" s="56"/>
      <c r="B623" s="56"/>
      <c r="C623" s="56"/>
      <c r="D623" s="56"/>
      <c r="E623" s="14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7"/>
      <c r="Q623" s="57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15.75" customHeight="1" x14ac:dyDescent="0.3">
      <c r="A624" s="56"/>
      <c r="B624" s="56"/>
      <c r="C624" s="56"/>
      <c r="D624" s="56"/>
      <c r="E624" s="14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7"/>
      <c r="Q624" s="57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15.75" customHeight="1" x14ac:dyDescent="0.3">
      <c r="A625" s="56"/>
      <c r="B625" s="56"/>
      <c r="C625" s="56"/>
      <c r="D625" s="56"/>
      <c r="E625" s="14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7"/>
      <c r="Q625" s="57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15.75" customHeight="1" x14ac:dyDescent="0.3">
      <c r="A626" s="56"/>
      <c r="B626" s="56"/>
      <c r="C626" s="56"/>
      <c r="D626" s="56"/>
      <c r="E626" s="14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7"/>
      <c r="Q626" s="57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15.75" customHeight="1" x14ac:dyDescent="0.3">
      <c r="A627" s="56"/>
      <c r="B627" s="56"/>
      <c r="C627" s="56"/>
      <c r="D627" s="56"/>
      <c r="E627" s="14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7"/>
      <c r="Q627" s="57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15.75" customHeight="1" x14ac:dyDescent="0.3">
      <c r="A628" s="56"/>
      <c r="B628" s="56"/>
      <c r="C628" s="56"/>
      <c r="D628" s="56"/>
      <c r="E628" s="14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7"/>
      <c r="Q628" s="57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15.75" customHeight="1" x14ac:dyDescent="0.3">
      <c r="A629" s="56"/>
      <c r="B629" s="56"/>
      <c r="C629" s="56"/>
      <c r="D629" s="56"/>
      <c r="E629" s="14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7"/>
      <c r="Q629" s="57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15.75" customHeight="1" x14ac:dyDescent="0.3">
      <c r="A630" s="56"/>
      <c r="B630" s="56"/>
      <c r="C630" s="56"/>
      <c r="D630" s="56"/>
      <c r="E630" s="14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7"/>
      <c r="Q630" s="57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15.75" customHeight="1" x14ac:dyDescent="0.3">
      <c r="A631" s="56"/>
      <c r="B631" s="56"/>
      <c r="C631" s="56"/>
      <c r="D631" s="56"/>
      <c r="E631" s="14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7"/>
      <c r="Q631" s="57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15.75" customHeight="1" x14ac:dyDescent="0.3">
      <c r="A632" s="56"/>
      <c r="B632" s="56"/>
      <c r="C632" s="56"/>
      <c r="D632" s="56"/>
      <c r="E632" s="14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7"/>
      <c r="Q632" s="57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15.75" customHeight="1" x14ac:dyDescent="0.3">
      <c r="A633" s="56"/>
      <c r="B633" s="56"/>
      <c r="C633" s="56"/>
      <c r="D633" s="56"/>
      <c r="E633" s="14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7"/>
      <c r="Q633" s="57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15.75" customHeight="1" x14ac:dyDescent="0.3">
      <c r="A634" s="56"/>
      <c r="B634" s="56"/>
      <c r="C634" s="56"/>
      <c r="D634" s="56"/>
      <c r="E634" s="14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7"/>
      <c r="Q634" s="57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15.75" customHeight="1" x14ac:dyDescent="0.3">
      <c r="A635" s="56"/>
      <c r="B635" s="56"/>
      <c r="C635" s="56"/>
      <c r="D635" s="56"/>
      <c r="E635" s="14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7"/>
      <c r="Q635" s="57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15.75" customHeight="1" x14ac:dyDescent="0.3">
      <c r="A636" s="56"/>
      <c r="B636" s="56"/>
      <c r="C636" s="56"/>
      <c r="D636" s="56"/>
      <c r="E636" s="14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7"/>
      <c r="Q636" s="57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15.75" customHeight="1" x14ac:dyDescent="0.3">
      <c r="A637" s="56"/>
      <c r="B637" s="56"/>
      <c r="C637" s="56"/>
      <c r="D637" s="56"/>
      <c r="E637" s="14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7"/>
      <c r="Q637" s="57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15.75" customHeight="1" x14ac:dyDescent="0.3">
      <c r="A638" s="56"/>
      <c r="B638" s="56"/>
      <c r="C638" s="56"/>
      <c r="D638" s="56"/>
      <c r="E638" s="14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7"/>
      <c r="Q638" s="57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15.75" customHeight="1" x14ac:dyDescent="0.3">
      <c r="A639" s="56"/>
      <c r="B639" s="56"/>
      <c r="C639" s="56"/>
      <c r="D639" s="56"/>
      <c r="E639" s="14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7"/>
      <c r="Q639" s="57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15.75" customHeight="1" x14ac:dyDescent="0.3">
      <c r="A640" s="56"/>
      <c r="B640" s="56"/>
      <c r="C640" s="56"/>
      <c r="D640" s="56"/>
      <c r="E640" s="14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7"/>
      <c r="Q640" s="57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15.75" customHeight="1" x14ac:dyDescent="0.3">
      <c r="A641" s="56"/>
      <c r="B641" s="56"/>
      <c r="C641" s="56"/>
      <c r="D641" s="56"/>
      <c r="E641" s="14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7"/>
      <c r="Q641" s="57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15.75" customHeight="1" x14ac:dyDescent="0.3">
      <c r="A642" s="56"/>
      <c r="B642" s="56"/>
      <c r="C642" s="56"/>
      <c r="D642" s="56"/>
      <c r="E642" s="14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7"/>
      <c r="Q642" s="57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15.75" customHeight="1" x14ac:dyDescent="0.3">
      <c r="A643" s="56"/>
      <c r="B643" s="56"/>
      <c r="C643" s="56"/>
      <c r="D643" s="56"/>
      <c r="E643" s="14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7"/>
      <c r="Q643" s="57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15.75" customHeight="1" x14ac:dyDescent="0.3">
      <c r="A644" s="56"/>
      <c r="B644" s="56"/>
      <c r="C644" s="56"/>
      <c r="D644" s="56"/>
      <c r="E644" s="14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7"/>
      <c r="Q644" s="57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15.75" customHeight="1" x14ac:dyDescent="0.3">
      <c r="A645" s="56"/>
      <c r="B645" s="56"/>
      <c r="C645" s="56"/>
      <c r="D645" s="56"/>
      <c r="E645" s="14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7"/>
      <c r="Q645" s="57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15.75" customHeight="1" x14ac:dyDescent="0.3">
      <c r="A646" s="56"/>
      <c r="B646" s="56"/>
      <c r="C646" s="56"/>
      <c r="D646" s="56"/>
      <c r="E646" s="14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7"/>
      <c r="Q646" s="57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15.75" customHeight="1" x14ac:dyDescent="0.3">
      <c r="A647" s="56"/>
      <c r="B647" s="56"/>
      <c r="C647" s="56"/>
      <c r="D647" s="56"/>
      <c r="E647" s="14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7"/>
      <c r="Q647" s="57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15.75" customHeight="1" x14ac:dyDescent="0.3">
      <c r="A648" s="56"/>
      <c r="B648" s="56"/>
      <c r="C648" s="56"/>
      <c r="D648" s="56"/>
      <c r="E648" s="14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7"/>
      <c r="Q648" s="57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15.75" customHeight="1" x14ac:dyDescent="0.3">
      <c r="A649" s="56"/>
      <c r="B649" s="56"/>
      <c r="C649" s="56"/>
      <c r="D649" s="56"/>
      <c r="E649" s="14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7"/>
      <c r="Q649" s="57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15.75" customHeight="1" x14ac:dyDescent="0.3">
      <c r="A650" s="56"/>
      <c r="B650" s="56"/>
      <c r="C650" s="56"/>
      <c r="D650" s="56"/>
      <c r="E650" s="14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7"/>
      <c r="Q650" s="57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15.75" customHeight="1" x14ac:dyDescent="0.3">
      <c r="A651" s="56"/>
      <c r="B651" s="56"/>
      <c r="C651" s="56"/>
      <c r="D651" s="56"/>
      <c r="E651" s="14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7"/>
      <c r="Q651" s="57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15.75" customHeight="1" x14ac:dyDescent="0.3">
      <c r="A652" s="56"/>
      <c r="B652" s="56"/>
      <c r="C652" s="56"/>
      <c r="D652" s="56"/>
      <c r="E652" s="14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7"/>
      <c r="Q652" s="57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15.75" customHeight="1" x14ac:dyDescent="0.3">
      <c r="A653" s="56"/>
      <c r="B653" s="56"/>
      <c r="C653" s="56"/>
      <c r="D653" s="56"/>
      <c r="E653" s="14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7"/>
      <c r="Q653" s="57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15.75" customHeight="1" x14ac:dyDescent="0.3">
      <c r="A654" s="56"/>
      <c r="B654" s="56"/>
      <c r="C654" s="56"/>
      <c r="D654" s="56"/>
      <c r="E654" s="14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7"/>
      <c r="Q654" s="57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15.75" customHeight="1" x14ac:dyDescent="0.3">
      <c r="A655" s="56"/>
      <c r="B655" s="56"/>
      <c r="C655" s="56"/>
      <c r="D655" s="56"/>
      <c r="E655" s="14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7"/>
      <c r="Q655" s="57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15.75" customHeight="1" x14ac:dyDescent="0.3">
      <c r="A656" s="56"/>
      <c r="B656" s="56"/>
      <c r="C656" s="56"/>
      <c r="D656" s="56"/>
      <c r="E656" s="14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7"/>
      <c r="Q656" s="57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15.75" customHeight="1" x14ac:dyDescent="0.3">
      <c r="A657" s="56"/>
      <c r="B657" s="56"/>
      <c r="C657" s="56"/>
      <c r="D657" s="56"/>
      <c r="E657" s="14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7"/>
      <c r="Q657" s="57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15.75" customHeight="1" x14ac:dyDescent="0.3">
      <c r="A658" s="56"/>
      <c r="B658" s="56"/>
      <c r="C658" s="56"/>
      <c r="D658" s="56"/>
      <c r="E658" s="14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7"/>
      <c r="Q658" s="57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15.75" customHeight="1" x14ac:dyDescent="0.3">
      <c r="A659" s="56"/>
      <c r="B659" s="56"/>
      <c r="C659" s="56"/>
      <c r="D659" s="56"/>
      <c r="E659" s="14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7"/>
      <c r="Q659" s="57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15.75" customHeight="1" x14ac:dyDescent="0.3">
      <c r="A660" s="56"/>
      <c r="B660" s="56"/>
      <c r="C660" s="56"/>
      <c r="D660" s="56"/>
      <c r="E660" s="14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7"/>
      <c r="Q660" s="57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15.75" customHeight="1" x14ac:dyDescent="0.3">
      <c r="A661" s="56"/>
      <c r="B661" s="56"/>
      <c r="C661" s="56"/>
      <c r="D661" s="56"/>
      <c r="E661" s="14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7"/>
      <c r="Q661" s="57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15.75" customHeight="1" x14ac:dyDescent="0.3">
      <c r="A662" s="56"/>
      <c r="B662" s="56"/>
      <c r="C662" s="56"/>
      <c r="D662" s="56"/>
      <c r="E662" s="14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7"/>
      <c r="Q662" s="57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15.75" customHeight="1" x14ac:dyDescent="0.3">
      <c r="A663" s="56"/>
      <c r="B663" s="56"/>
      <c r="C663" s="56"/>
      <c r="D663" s="56"/>
      <c r="E663" s="14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7"/>
      <c r="Q663" s="57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15.75" customHeight="1" x14ac:dyDescent="0.3">
      <c r="A664" s="56"/>
      <c r="B664" s="56"/>
      <c r="C664" s="56"/>
      <c r="D664" s="56"/>
      <c r="E664" s="14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7"/>
      <c r="Q664" s="57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15.75" customHeight="1" x14ac:dyDescent="0.3">
      <c r="A665" s="56"/>
      <c r="B665" s="56"/>
      <c r="C665" s="56"/>
      <c r="D665" s="56"/>
      <c r="E665" s="14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7"/>
      <c r="Q665" s="57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15.75" customHeight="1" x14ac:dyDescent="0.3">
      <c r="A666" s="56"/>
      <c r="B666" s="56"/>
      <c r="C666" s="56"/>
      <c r="D666" s="56"/>
      <c r="E666" s="14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7"/>
      <c r="Q666" s="57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15.75" customHeight="1" x14ac:dyDescent="0.3">
      <c r="A667" s="56"/>
      <c r="B667" s="56"/>
      <c r="C667" s="56"/>
      <c r="D667" s="56"/>
      <c r="E667" s="14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7"/>
      <c r="Q667" s="57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15.75" customHeight="1" x14ac:dyDescent="0.3">
      <c r="A668" s="56"/>
      <c r="B668" s="56"/>
      <c r="C668" s="56"/>
      <c r="D668" s="56"/>
      <c r="E668" s="14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7"/>
      <c r="Q668" s="57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15.75" customHeight="1" x14ac:dyDescent="0.3">
      <c r="A669" s="56"/>
      <c r="B669" s="56"/>
      <c r="C669" s="56"/>
      <c r="D669" s="56"/>
      <c r="E669" s="14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7"/>
      <c r="Q669" s="57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15.75" customHeight="1" x14ac:dyDescent="0.3">
      <c r="A670" s="56"/>
      <c r="B670" s="56"/>
      <c r="C670" s="56"/>
      <c r="D670" s="56"/>
      <c r="E670" s="14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7"/>
      <c r="Q670" s="57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15.75" customHeight="1" x14ac:dyDescent="0.3">
      <c r="A671" s="56"/>
      <c r="B671" s="56"/>
      <c r="C671" s="56"/>
      <c r="D671" s="56"/>
      <c r="E671" s="14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7"/>
      <c r="Q671" s="57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15.75" customHeight="1" x14ac:dyDescent="0.3">
      <c r="A672" s="56"/>
      <c r="B672" s="56"/>
      <c r="C672" s="56"/>
      <c r="D672" s="56"/>
      <c r="E672" s="14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7"/>
      <c r="Q672" s="57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15.75" customHeight="1" x14ac:dyDescent="0.3">
      <c r="A673" s="56"/>
      <c r="B673" s="56"/>
      <c r="C673" s="56"/>
      <c r="D673" s="56"/>
      <c r="E673" s="14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7"/>
      <c r="Q673" s="57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15.75" customHeight="1" x14ac:dyDescent="0.3">
      <c r="A674" s="56"/>
      <c r="B674" s="56"/>
      <c r="C674" s="56"/>
      <c r="D674" s="56"/>
      <c r="E674" s="14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7"/>
      <c r="Q674" s="57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15.75" customHeight="1" x14ac:dyDescent="0.3">
      <c r="A675" s="56"/>
      <c r="B675" s="56"/>
      <c r="C675" s="56"/>
      <c r="D675" s="56"/>
      <c r="E675" s="14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7"/>
      <c r="Q675" s="57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15.75" customHeight="1" x14ac:dyDescent="0.3">
      <c r="A676" s="56"/>
      <c r="B676" s="56"/>
      <c r="C676" s="56"/>
      <c r="D676" s="56"/>
      <c r="E676" s="14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7"/>
      <c r="Q676" s="57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15.75" customHeight="1" x14ac:dyDescent="0.3">
      <c r="A677" s="56"/>
      <c r="B677" s="56"/>
      <c r="C677" s="56"/>
      <c r="D677" s="56"/>
      <c r="E677" s="14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7"/>
      <c r="Q677" s="57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15.75" customHeight="1" x14ac:dyDescent="0.3">
      <c r="A678" s="56"/>
      <c r="B678" s="56"/>
      <c r="C678" s="56"/>
      <c r="D678" s="56"/>
      <c r="E678" s="14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7"/>
      <c r="Q678" s="57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15.75" customHeight="1" x14ac:dyDescent="0.3">
      <c r="A679" s="56"/>
      <c r="B679" s="56"/>
      <c r="C679" s="56"/>
      <c r="D679" s="56"/>
      <c r="E679" s="14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7"/>
      <c r="Q679" s="57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15.75" customHeight="1" x14ac:dyDescent="0.3">
      <c r="A680" s="56"/>
      <c r="B680" s="56"/>
      <c r="C680" s="56"/>
      <c r="D680" s="56"/>
      <c r="E680" s="14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7"/>
      <c r="Q680" s="57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15.75" customHeight="1" x14ac:dyDescent="0.3">
      <c r="A681" s="56"/>
      <c r="B681" s="56"/>
      <c r="C681" s="56"/>
      <c r="D681" s="56"/>
      <c r="E681" s="14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7"/>
      <c r="Q681" s="57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15.75" customHeight="1" x14ac:dyDescent="0.3">
      <c r="A682" s="56"/>
      <c r="B682" s="56"/>
      <c r="C682" s="56"/>
      <c r="D682" s="56"/>
      <c r="E682" s="14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7"/>
      <c r="Q682" s="57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15.75" customHeight="1" x14ac:dyDescent="0.3">
      <c r="A683" s="56"/>
      <c r="B683" s="56"/>
      <c r="C683" s="56"/>
      <c r="D683" s="56"/>
      <c r="E683" s="14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7"/>
      <c r="Q683" s="57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15.75" customHeight="1" x14ac:dyDescent="0.3">
      <c r="A684" s="56"/>
      <c r="B684" s="56"/>
      <c r="C684" s="56"/>
      <c r="D684" s="56"/>
      <c r="E684" s="14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7"/>
      <c r="Q684" s="57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15.75" customHeight="1" x14ac:dyDescent="0.3">
      <c r="A685" s="56"/>
      <c r="B685" s="56"/>
      <c r="C685" s="56"/>
      <c r="D685" s="56"/>
      <c r="E685" s="14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7"/>
      <c r="Q685" s="57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15.75" customHeight="1" x14ac:dyDescent="0.3">
      <c r="A686" s="56"/>
      <c r="B686" s="56"/>
      <c r="C686" s="56"/>
      <c r="D686" s="56"/>
      <c r="E686" s="14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7"/>
      <c r="Q686" s="57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15.75" customHeight="1" x14ac:dyDescent="0.3">
      <c r="A687" s="56"/>
      <c r="B687" s="56"/>
      <c r="C687" s="56"/>
      <c r="D687" s="56"/>
      <c r="E687" s="14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7"/>
      <c r="Q687" s="57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15.75" customHeight="1" x14ac:dyDescent="0.3">
      <c r="A688" s="56"/>
      <c r="B688" s="56"/>
      <c r="C688" s="56"/>
      <c r="D688" s="56"/>
      <c r="E688" s="14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7"/>
      <c r="Q688" s="57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15.75" customHeight="1" x14ac:dyDescent="0.3">
      <c r="A689" s="56"/>
      <c r="B689" s="56"/>
      <c r="C689" s="56"/>
      <c r="D689" s="56"/>
      <c r="E689" s="14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7"/>
      <c r="Q689" s="57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15.75" customHeight="1" x14ac:dyDescent="0.3">
      <c r="A690" s="56"/>
      <c r="B690" s="56"/>
      <c r="C690" s="56"/>
      <c r="D690" s="56"/>
      <c r="E690" s="14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7"/>
      <c r="Q690" s="57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15.75" customHeight="1" x14ac:dyDescent="0.3">
      <c r="A691" s="56"/>
      <c r="B691" s="56"/>
      <c r="C691" s="56"/>
      <c r="D691" s="56"/>
      <c r="E691" s="14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7"/>
      <c r="Q691" s="57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15.75" customHeight="1" x14ac:dyDescent="0.3">
      <c r="A692" s="56"/>
      <c r="B692" s="56"/>
      <c r="C692" s="56"/>
      <c r="D692" s="56"/>
      <c r="E692" s="14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7"/>
      <c r="Q692" s="57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15.75" customHeight="1" x14ac:dyDescent="0.3">
      <c r="A693" s="56"/>
      <c r="B693" s="56"/>
      <c r="C693" s="56"/>
      <c r="D693" s="56"/>
      <c r="E693" s="14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7"/>
      <c r="Q693" s="57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15.75" customHeight="1" x14ac:dyDescent="0.3">
      <c r="A694" s="56"/>
      <c r="B694" s="56"/>
      <c r="C694" s="56"/>
      <c r="D694" s="56"/>
      <c r="E694" s="14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7"/>
      <c r="Q694" s="57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15.75" customHeight="1" x14ac:dyDescent="0.3">
      <c r="A695" s="56"/>
      <c r="B695" s="56"/>
      <c r="C695" s="56"/>
      <c r="D695" s="56"/>
      <c r="E695" s="14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7"/>
      <c r="Q695" s="57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15.75" customHeight="1" x14ac:dyDescent="0.3">
      <c r="A696" s="56"/>
      <c r="B696" s="56"/>
      <c r="C696" s="56"/>
      <c r="D696" s="56"/>
      <c r="E696" s="14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7"/>
      <c r="Q696" s="57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15.75" customHeight="1" x14ac:dyDescent="0.3">
      <c r="A697" s="56"/>
      <c r="B697" s="56"/>
      <c r="C697" s="56"/>
      <c r="D697" s="56"/>
      <c r="E697" s="14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7"/>
      <c r="Q697" s="57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15.75" customHeight="1" x14ac:dyDescent="0.3">
      <c r="A698" s="56"/>
      <c r="B698" s="56"/>
      <c r="C698" s="56"/>
      <c r="D698" s="56"/>
      <c r="E698" s="14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7"/>
      <c r="Q698" s="57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15.75" customHeight="1" x14ac:dyDescent="0.3">
      <c r="A699" s="56"/>
      <c r="B699" s="56"/>
      <c r="C699" s="56"/>
      <c r="D699" s="56"/>
      <c r="E699" s="14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7"/>
      <c r="Q699" s="57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15.75" customHeight="1" x14ac:dyDescent="0.3">
      <c r="A700" s="56"/>
      <c r="B700" s="56"/>
      <c r="C700" s="56"/>
      <c r="D700" s="56"/>
      <c r="E700" s="14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7"/>
      <c r="Q700" s="57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15.75" customHeight="1" x14ac:dyDescent="0.3">
      <c r="A701" s="56"/>
      <c r="B701" s="56"/>
      <c r="C701" s="56"/>
      <c r="D701" s="56"/>
      <c r="E701" s="14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7"/>
      <c r="Q701" s="57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15.75" customHeight="1" x14ac:dyDescent="0.3">
      <c r="A702" s="56"/>
      <c r="B702" s="56"/>
      <c r="C702" s="56"/>
      <c r="D702" s="56"/>
      <c r="E702" s="14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7"/>
      <c r="Q702" s="57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15.75" customHeight="1" x14ac:dyDescent="0.3">
      <c r="A703" s="56"/>
      <c r="B703" s="56"/>
      <c r="C703" s="56"/>
      <c r="D703" s="56"/>
      <c r="E703" s="14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7"/>
      <c r="Q703" s="57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15.75" customHeight="1" x14ac:dyDescent="0.3">
      <c r="A704" s="56"/>
      <c r="B704" s="56"/>
      <c r="C704" s="56"/>
      <c r="D704" s="56"/>
      <c r="E704" s="14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7"/>
      <c r="Q704" s="57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15.75" customHeight="1" x14ac:dyDescent="0.3">
      <c r="A705" s="56"/>
      <c r="B705" s="56"/>
      <c r="C705" s="56"/>
      <c r="D705" s="56"/>
      <c r="E705" s="14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7"/>
      <c r="Q705" s="57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15.75" customHeight="1" x14ac:dyDescent="0.3">
      <c r="A706" s="56"/>
      <c r="B706" s="56"/>
      <c r="C706" s="56"/>
      <c r="D706" s="56"/>
      <c r="E706" s="14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7"/>
      <c r="Q706" s="57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15.75" customHeight="1" x14ac:dyDescent="0.3">
      <c r="A707" s="56"/>
      <c r="B707" s="56"/>
      <c r="C707" s="56"/>
      <c r="D707" s="56"/>
      <c r="E707" s="14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7"/>
      <c r="Q707" s="57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15.75" customHeight="1" x14ac:dyDescent="0.3">
      <c r="A708" s="56"/>
      <c r="B708" s="56"/>
      <c r="C708" s="56"/>
      <c r="D708" s="56"/>
      <c r="E708" s="14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7"/>
      <c r="Q708" s="57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15.75" customHeight="1" x14ac:dyDescent="0.3">
      <c r="A709" s="56"/>
      <c r="B709" s="56"/>
      <c r="C709" s="56"/>
      <c r="D709" s="56"/>
      <c r="E709" s="14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7"/>
      <c r="Q709" s="57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15.75" customHeight="1" x14ac:dyDescent="0.3">
      <c r="A710" s="56"/>
      <c r="B710" s="56"/>
      <c r="C710" s="56"/>
      <c r="D710" s="56"/>
      <c r="E710" s="14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7"/>
      <c r="Q710" s="57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15.75" customHeight="1" x14ac:dyDescent="0.3">
      <c r="A711" s="56"/>
      <c r="B711" s="56"/>
      <c r="C711" s="56"/>
      <c r="D711" s="56"/>
      <c r="E711" s="14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7"/>
      <c r="Q711" s="57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15.75" customHeight="1" x14ac:dyDescent="0.3">
      <c r="A712" s="56"/>
      <c r="B712" s="56"/>
      <c r="C712" s="56"/>
      <c r="D712" s="56"/>
      <c r="E712" s="14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7"/>
      <c r="Q712" s="57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15.75" customHeight="1" x14ac:dyDescent="0.3">
      <c r="A713" s="56"/>
      <c r="B713" s="56"/>
      <c r="C713" s="56"/>
      <c r="D713" s="56"/>
      <c r="E713" s="14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7"/>
      <c r="Q713" s="57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15.75" customHeight="1" x14ac:dyDescent="0.3">
      <c r="A714" s="56"/>
      <c r="B714" s="56"/>
      <c r="C714" s="56"/>
      <c r="D714" s="56"/>
      <c r="E714" s="14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7"/>
      <c r="Q714" s="57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15.75" customHeight="1" x14ac:dyDescent="0.3">
      <c r="A715" s="56"/>
      <c r="B715" s="56"/>
      <c r="C715" s="56"/>
      <c r="D715" s="56"/>
      <c r="E715" s="14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7"/>
      <c r="Q715" s="57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15.75" customHeight="1" x14ac:dyDescent="0.3">
      <c r="A716" s="56"/>
      <c r="B716" s="56"/>
      <c r="C716" s="56"/>
      <c r="D716" s="56"/>
      <c r="E716" s="14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7"/>
      <c r="Q716" s="57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15.75" customHeight="1" x14ac:dyDescent="0.3">
      <c r="A717" s="56"/>
      <c r="B717" s="56"/>
      <c r="C717" s="56"/>
      <c r="D717" s="56"/>
      <c r="E717" s="14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7"/>
      <c r="Q717" s="57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15.75" customHeight="1" x14ac:dyDescent="0.3">
      <c r="A718" s="56"/>
      <c r="B718" s="56"/>
      <c r="C718" s="56"/>
      <c r="D718" s="56"/>
      <c r="E718" s="14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7"/>
      <c r="Q718" s="57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15.75" customHeight="1" x14ac:dyDescent="0.3">
      <c r="A719" s="56"/>
      <c r="B719" s="56"/>
      <c r="C719" s="56"/>
      <c r="D719" s="56"/>
      <c r="E719" s="14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7"/>
      <c r="Q719" s="57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15.75" customHeight="1" x14ac:dyDescent="0.3">
      <c r="A720" s="56"/>
      <c r="B720" s="56"/>
      <c r="C720" s="56"/>
      <c r="D720" s="56"/>
      <c r="E720" s="14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7"/>
      <c r="Q720" s="57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15.75" customHeight="1" x14ac:dyDescent="0.3">
      <c r="A721" s="56"/>
      <c r="B721" s="56"/>
      <c r="C721" s="56"/>
      <c r="D721" s="56"/>
      <c r="E721" s="14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7"/>
      <c r="Q721" s="57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15.75" customHeight="1" x14ac:dyDescent="0.3">
      <c r="A722" s="56"/>
      <c r="B722" s="56"/>
      <c r="C722" s="56"/>
      <c r="D722" s="56"/>
      <c r="E722" s="14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7"/>
      <c r="Q722" s="57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15.75" customHeight="1" x14ac:dyDescent="0.3">
      <c r="A723" s="56"/>
      <c r="B723" s="56"/>
      <c r="C723" s="56"/>
      <c r="D723" s="56"/>
      <c r="E723" s="14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7"/>
      <c r="Q723" s="57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15.75" customHeight="1" x14ac:dyDescent="0.3">
      <c r="A724" s="56"/>
      <c r="B724" s="56"/>
      <c r="C724" s="56"/>
      <c r="D724" s="56"/>
      <c r="E724" s="14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7"/>
      <c r="Q724" s="57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15.75" customHeight="1" x14ac:dyDescent="0.3">
      <c r="A725" s="56"/>
      <c r="B725" s="56"/>
      <c r="C725" s="56"/>
      <c r="D725" s="56"/>
      <c r="E725" s="14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7"/>
      <c r="Q725" s="57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15.75" customHeight="1" x14ac:dyDescent="0.3">
      <c r="A726" s="56"/>
      <c r="B726" s="56"/>
      <c r="C726" s="56"/>
      <c r="D726" s="56"/>
      <c r="E726" s="14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7"/>
      <c r="Q726" s="57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15.75" customHeight="1" x14ac:dyDescent="0.3">
      <c r="A727" s="56"/>
      <c r="B727" s="56"/>
      <c r="C727" s="56"/>
      <c r="D727" s="56"/>
      <c r="E727" s="14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7"/>
      <c r="Q727" s="57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15.75" customHeight="1" x14ac:dyDescent="0.3">
      <c r="A728" s="56"/>
      <c r="B728" s="56"/>
      <c r="C728" s="56"/>
      <c r="D728" s="56"/>
      <c r="E728" s="14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7"/>
      <c r="Q728" s="57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15.75" customHeight="1" x14ac:dyDescent="0.3">
      <c r="A729" s="56"/>
      <c r="B729" s="56"/>
      <c r="C729" s="56"/>
      <c r="D729" s="56"/>
      <c r="E729" s="14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7"/>
      <c r="Q729" s="57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15.75" customHeight="1" x14ac:dyDescent="0.3">
      <c r="A730" s="56"/>
      <c r="B730" s="56"/>
      <c r="C730" s="56"/>
      <c r="D730" s="56"/>
      <c r="E730" s="14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7"/>
      <c r="Q730" s="57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15.75" customHeight="1" x14ac:dyDescent="0.3">
      <c r="A731" s="56"/>
      <c r="B731" s="56"/>
      <c r="C731" s="56"/>
      <c r="D731" s="56"/>
      <c r="E731" s="14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7"/>
      <c r="Q731" s="57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15.75" customHeight="1" x14ac:dyDescent="0.3">
      <c r="A732" s="56"/>
      <c r="B732" s="56"/>
      <c r="C732" s="56"/>
      <c r="D732" s="56"/>
      <c r="E732" s="14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7"/>
      <c r="Q732" s="57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15.75" customHeight="1" x14ac:dyDescent="0.3">
      <c r="A733" s="56"/>
      <c r="B733" s="56"/>
      <c r="C733" s="56"/>
      <c r="D733" s="56"/>
      <c r="E733" s="14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7"/>
      <c r="Q733" s="57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15.75" customHeight="1" x14ac:dyDescent="0.3">
      <c r="A734" s="56"/>
      <c r="B734" s="56"/>
      <c r="C734" s="56"/>
      <c r="D734" s="56"/>
      <c r="E734" s="14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7"/>
      <c r="Q734" s="57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15.75" customHeight="1" x14ac:dyDescent="0.3">
      <c r="A735" s="56"/>
      <c r="B735" s="56"/>
      <c r="C735" s="56"/>
      <c r="D735" s="56"/>
      <c r="E735" s="14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7"/>
      <c r="Q735" s="57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15.75" customHeight="1" x14ac:dyDescent="0.3">
      <c r="A736" s="56"/>
      <c r="B736" s="56"/>
      <c r="C736" s="56"/>
      <c r="D736" s="56"/>
      <c r="E736" s="14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7"/>
      <c r="Q736" s="57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15.75" customHeight="1" x14ac:dyDescent="0.3">
      <c r="A737" s="56"/>
      <c r="B737" s="56"/>
      <c r="C737" s="56"/>
      <c r="D737" s="56"/>
      <c r="E737" s="14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7"/>
      <c r="Q737" s="57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15.75" customHeight="1" x14ac:dyDescent="0.3">
      <c r="A738" s="56"/>
      <c r="B738" s="56"/>
      <c r="C738" s="56"/>
      <c r="D738" s="56"/>
      <c r="E738" s="14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7"/>
      <c r="Q738" s="57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15.75" customHeight="1" x14ac:dyDescent="0.3">
      <c r="A739" s="56"/>
      <c r="B739" s="56"/>
      <c r="C739" s="56"/>
      <c r="D739" s="56"/>
      <c r="E739" s="14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7"/>
      <c r="Q739" s="57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15.75" customHeight="1" x14ac:dyDescent="0.3">
      <c r="A740" s="56"/>
      <c r="B740" s="56"/>
      <c r="C740" s="56"/>
      <c r="D740" s="56"/>
      <c r="E740" s="14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7"/>
      <c r="Q740" s="57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15.75" customHeight="1" x14ac:dyDescent="0.3">
      <c r="A741" s="56"/>
      <c r="B741" s="56"/>
      <c r="C741" s="56"/>
      <c r="D741" s="56"/>
      <c r="E741" s="14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7"/>
      <c r="Q741" s="57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15.75" customHeight="1" x14ac:dyDescent="0.3">
      <c r="A742" s="56"/>
      <c r="B742" s="56"/>
      <c r="C742" s="56"/>
      <c r="D742" s="56"/>
      <c r="E742" s="14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7"/>
      <c r="Q742" s="57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15.75" customHeight="1" x14ac:dyDescent="0.3">
      <c r="A743" s="56"/>
      <c r="B743" s="56"/>
      <c r="C743" s="56"/>
      <c r="D743" s="56"/>
      <c r="E743" s="14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7"/>
      <c r="Q743" s="57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15.75" customHeight="1" x14ac:dyDescent="0.3">
      <c r="A744" s="56"/>
      <c r="B744" s="56"/>
      <c r="C744" s="56"/>
      <c r="D744" s="56"/>
      <c r="E744" s="14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7"/>
      <c r="Q744" s="57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15.75" customHeight="1" x14ac:dyDescent="0.3">
      <c r="A745" s="56"/>
      <c r="B745" s="56"/>
      <c r="C745" s="56"/>
      <c r="D745" s="56"/>
      <c r="E745" s="14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7"/>
      <c r="Q745" s="57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15.75" customHeight="1" x14ac:dyDescent="0.3">
      <c r="A746" s="56"/>
      <c r="B746" s="56"/>
      <c r="C746" s="56"/>
      <c r="D746" s="56"/>
      <c r="E746" s="14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7"/>
      <c r="Q746" s="57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15.75" customHeight="1" x14ac:dyDescent="0.3">
      <c r="A747" s="56"/>
      <c r="B747" s="56"/>
      <c r="C747" s="56"/>
      <c r="D747" s="56"/>
      <c r="E747" s="14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7"/>
      <c r="Q747" s="57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15.75" customHeight="1" x14ac:dyDescent="0.3">
      <c r="A748" s="56"/>
      <c r="B748" s="56"/>
      <c r="C748" s="56"/>
      <c r="D748" s="56"/>
      <c r="E748" s="14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7"/>
      <c r="Q748" s="57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15.75" customHeight="1" x14ac:dyDescent="0.3">
      <c r="A749" s="56"/>
      <c r="B749" s="56"/>
      <c r="C749" s="56"/>
      <c r="D749" s="56"/>
      <c r="E749" s="14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7"/>
      <c r="Q749" s="57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15.75" customHeight="1" x14ac:dyDescent="0.3">
      <c r="A750" s="56"/>
      <c r="B750" s="56"/>
      <c r="C750" s="56"/>
      <c r="D750" s="56"/>
      <c r="E750" s="14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7"/>
      <c r="Q750" s="57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15.75" customHeight="1" x14ac:dyDescent="0.3">
      <c r="A751" s="56"/>
      <c r="B751" s="56"/>
      <c r="C751" s="56"/>
      <c r="D751" s="56"/>
      <c r="E751" s="14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7"/>
      <c r="Q751" s="57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15.75" customHeight="1" x14ac:dyDescent="0.3">
      <c r="A752" s="56"/>
      <c r="B752" s="56"/>
      <c r="C752" s="56"/>
      <c r="D752" s="56"/>
      <c r="E752" s="14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7"/>
      <c r="Q752" s="57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15.75" customHeight="1" x14ac:dyDescent="0.3">
      <c r="A753" s="56"/>
      <c r="B753" s="56"/>
      <c r="C753" s="56"/>
      <c r="D753" s="56"/>
      <c r="E753" s="14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7"/>
      <c r="Q753" s="57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15.75" customHeight="1" x14ac:dyDescent="0.3">
      <c r="A754" s="56"/>
      <c r="B754" s="56"/>
      <c r="C754" s="56"/>
      <c r="D754" s="56"/>
      <c r="E754" s="14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7"/>
      <c r="Q754" s="57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15.75" customHeight="1" x14ac:dyDescent="0.3">
      <c r="A755" s="56"/>
      <c r="B755" s="56"/>
      <c r="C755" s="56"/>
      <c r="D755" s="56"/>
      <c r="E755" s="14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7"/>
      <c r="Q755" s="57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15.75" customHeight="1" x14ac:dyDescent="0.3">
      <c r="A756" s="56"/>
      <c r="B756" s="56"/>
      <c r="C756" s="56"/>
      <c r="D756" s="56"/>
      <c r="E756" s="14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7"/>
      <c r="Q756" s="57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15.75" customHeight="1" x14ac:dyDescent="0.3">
      <c r="A757" s="56"/>
      <c r="B757" s="56"/>
      <c r="C757" s="56"/>
      <c r="D757" s="56"/>
      <c r="E757" s="14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7"/>
      <c r="Q757" s="57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15.75" customHeight="1" x14ac:dyDescent="0.3">
      <c r="A758" s="56"/>
      <c r="B758" s="56"/>
      <c r="C758" s="56"/>
      <c r="D758" s="56"/>
      <c r="E758" s="14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7"/>
      <c r="Q758" s="57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15.75" customHeight="1" x14ac:dyDescent="0.3">
      <c r="A759" s="56"/>
      <c r="B759" s="56"/>
      <c r="C759" s="56"/>
      <c r="D759" s="56"/>
      <c r="E759" s="14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7"/>
      <c r="Q759" s="57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15.75" customHeight="1" x14ac:dyDescent="0.3">
      <c r="A760" s="56"/>
      <c r="B760" s="56"/>
      <c r="C760" s="56"/>
      <c r="D760" s="56"/>
      <c r="E760" s="14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7"/>
      <c r="Q760" s="57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15.75" customHeight="1" x14ac:dyDescent="0.3">
      <c r="A761" s="56"/>
      <c r="B761" s="56"/>
      <c r="C761" s="56"/>
      <c r="D761" s="56"/>
      <c r="E761" s="14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7"/>
      <c r="Q761" s="57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15.75" customHeight="1" x14ac:dyDescent="0.3">
      <c r="A762" s="56"/>
      <c r="B762" s="56"/>
      <c r="C762" s="56"/>
      <c r="D762" s="56"/>
      <c r="E762" s="14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7"/>
      <c r="Q762" s="57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15.75" customHeight="1" x14ac:dyDescent="0.3">
      <c r="A763" s="56"/>
      <c r="B763" s="56"/>
      <c r="C763" s="56"/>
      <c r="D763" s="56"/>
      <c r="E763" s="14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7"/>
      <c r="Q763" s="57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15.75" customHeight="1" x14ac:dyDescent="0.3">
      <c r="A764" s="56"/>
      <c r="B764" s="56"/>
      <c r="C764" s="56"/>
      <c r="D764" s="56"/>
      <c r="E764" s="14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7"/>
      <c r="Q764" s="57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15.75" customHeight="1" x14ac:dyDescent="0.3">
      <c r="A765" s="56"/>
      <c r="B765" s="56"/>
      <c r="C765" s="56"/>
      <c r="D765" s="56"/>
      <c r="E765" s="14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7"/>
      <c r="Q765" s="57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15.75" customHeight="1" x14ac:dyDescent="0.3">
      <c r="A766" s="56"/>
      <c r="B766" s="56"/>
      <c r="C766" s="56"/>
      <c r="D766" s="56"/>
      <c r="E766" s="14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7"/>
      <c r="Q766" s="57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15.75" customHeight="1" x14ac:dyDescent="0.3">
      <c r="A767" s="56"/>
      <c r="B767" s="56"/>
      <c r="C767" s="56"/>
      <c r="D767" s="56"/>
      <c r="E767" s="14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7"/>
      <c r="Q767" s="57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15.75" customHeight="1" x14ac:dyDescent="0.3">
      <c r="A768" s="56"/>
      <c r="B768" s="56"/>
      <c r="C768" s="56"/>
      <c r="D768" s="56"/>
      <c r="E768" s="14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7"/>
      <c r="Q768" s="57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15.75" customHeight="1" x14ac:dyDescent="0.3">
      <c r="A769" s="56"/>
      <c r="B769" s="56"/>
      <c r="C769" s="56"/>
      <c r="D769" s="56"/>
      <c r="E769" s="14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7"/>
      <c r="Q769" s="57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15.75" customHeight="1" x14ac:dyDescent="0.3">
      <c r="A770" s="56"/>
      <c r="B770" s="56"/>
      <c r="C770" s="56"/>
      <c r="D770" s="56"/>
      <c r="E770" s="14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7"/>
      <c r="Q770" s="57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15.75" customHeight="1" x14ac:dyDescent="0.3">
      <c r="A771" s="56"/>
      <c r="B771" s="56"/>
      <c r="C771" s="56"/>
      <c r="D771" s="56"/>
      <c r="E771" s="14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7"/>
      <c r="Q771" s="57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15.75" customHeight="1" x14ac:dyDescent="0.3">
      <c r="A772" s="56"/>
      <c r="B772" s="56"/>
      <c r="C772" s="56"/>
      <c r="D772" s="56"/>
      <c r="E772" s="14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7"/>
      <c r="Q772" s="57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15.75" customHeight="1" x14ac:dyDescent="0.3">
      <c r="A773" s="56"/>
      <c r="B773" s="56"/>
      <c r="C773" s="56"/>
      <c r="D773" s="56"/>
      <c r="E773" s="14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7"/>
      <c r="Q773" s="57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15.75" customHeight="1" x14ac:dyDescent="0.3">
      <c r="A774" s="56"/>
      <c r="B774" s="56"/>
      <c r="C774" s="56"/>
      <c r="D774" s="56"/>
      <c r="E774" s="14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7"/>
      <c r="Q774" s="57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15.75" customHeight="1" x14ac:dyDescent="0.3">
      <c r="A775" s="56"/>
      <c r="B775" s="56"/>
      <c r="C775" s="56"/>
      <c r="D775" s="56"/>
      <c r="E775" s="14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7"/>
      <c r="Q775" s="57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15.75" customHeight="1" x14ac:dyDescent="0.3">
      <c r="A776" s="56"/>
      <c r="B776" s="56"/>
      <c r="C776" s="56"/>
      <c r="D776" s="56"/>
      <c r="E776" s="14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7"/>
      <c r="Q776" s="57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15.75" customHeight="1" x14ac:dyDescent="0.3">
      <c r="A777" s="56"/>
      <c r="B777" s="56"/>
      <c r="C777" s="56"/>
      <c r="D777" s="56"/>
      <c r="E777" s="14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7"/>
      <c r="Q777" s="57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15.75" customHeight="1" x14ac:dyDescent="0.3">
      <c r="A778" s="56"/>
      <c r="B778" s="56"/>
      <c r="C778" s="56"/>
      <c r="D778" s="56"/>
      <c r="E778" s="14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7"/>
      <c r="Q778" s="57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15.75" customHeight="1" x14ac:dyDescent="0.3">
      <c r="A779" s="56"/>
      <c r="B779" s="56"/>
      <c r="C779" s="56"/>
      <c r="D779" s="56"/>
      <c r="E779" s="14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7"/>
      <c r="Q779" s="57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15.75" customHeight="1" x14ac:dyDescent="0.3">
      <c r="A780" s="56"/>
      <c r="B780" s="56"/>
      <c r="C780" s="56"/>
      <c r="D780" s="56"/>
      <c r="E780" s="14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7"/>
      <c r="Q780" s="57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15.75" customHeight="1" x14ac:dyDescent="0.3">
      <c r="A781" s="56"/>
      <c r="B781" s="56"/>
      <c r="C781" s="56"/>
      <c r="D781" s="56"/>
      <c r="E781" s="14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7"/>
      <c r="Q781" s="57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15.75" customHeight="1" x14ac:dyDescent="0.3">
      <c r="A782" s="56"/>
      <c r="B782" s="56"/>
      <c r="C782" s="56"/>
      <c r="D782" s="56"/>
      <c r="E782" s="14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7"/>
      <c r="Q782" s="57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15.75" customHeight="1" x14ac:dyDescent="0.3">
      <c r="A783" s="56"/>
      <c r="B783" s="56"/>
      <c r="C783" s="56"/>
      <c r="D783" s="56"/>
      <c r="E783" s="14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7"/>
      <c r="Q783" s="57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15.75" customHeight="1" x14ac:dyDescent="0.3">
      <c r="A784" s="56"/>
      <c r="B784" s="56"/>
      <c r="C784" s="56"/>
      <c r="D784" s="56"/>
      <c r="E784" s="14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7"/>
      <c r="Q784" s="57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15.75" customHeight="1" x14ac:dyDescent="0.3">
      <c r="A785" s="56"/>
      <c r="B785" s="56"/>
      <c r="C785" s="56"/>
      <c r="D785" s="56"/>
      <c r="E785" s="14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7"/>
      <c r="Q785" s="57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15.75" customHeight="1" x14ac:dyDescent="0.3">
      <c r="A786" s="56"/>
      <c r="B786" s="56"/>
      <c r="C786" s="56"/>
      <c r="D786" s="56"/>
      <c r="E786" s="14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7"/>
      <c r="Q786" s="57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15.75" customHeight="1" x14ac:dyDescent="0.3">
      <c r="A787" s="56"/>
      <c r="B787" s="56"/>
      <c r="C787" s="56"/>
      <c r="D787" s="56"/>
      <c r="E787" s="14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7"/>
      <c r="Q787" s="57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15.75" customHeight="1" x14ac:dyDescent="0.3">
      <c r="A788" s="56"/>
      <c r="B788" s="56"/>
      <c r="C788" s="56"/>
      <c r="D788" s="56"/>
      <c r="E788" s="14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7"/>
      <c r="Q788" s="57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15.75" customHeight="1" x14ac:dyDescent="0.3">
      <c r="A789" s="56"/>
      <c r="B789" s="56"/>
      <c r="C789" s="56"/>
      <c r="D789" s="56"/>
      <c r="E789" s="14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7"/>
      <c r="Q789" s="57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15.75" customHeight="1" x14ac:dyDescent="0.3">
      <c r="A790" s="56"/>
      <c r="B790" s="56"/>
      <c r="C790" s="56"/>
      <c r="D790" s="56"/>
      <c r="E790" s="14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7"/>
      <c r="Q790" s="57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15.75" customHeight="1" x14ac:dyDescent="0.3">
      <c r="A791" s="56"/>
      <c r="B791" s="56"/>
      <c r="C791" s="56"/>
      <c r="D791" s="56"/>
      <c r="E791" s="14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7"/>
      <c r="Q791" s="57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15.75" customHeight="1" x14ac:dyDescent="0.3">
      <c r="A792" s="56"/>
      <c r="B792" s="56"/>
      <c r="C792" s="56"/>
      <c r="D792" s="56"/>
      <c r="E792" s="14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7"/>
      <c r="Q792" s="57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15.75" customHeight="1" x14ac:dyDescent="0.3">
      <c r="A793" s="56"/>
      <c r="B793" s="56"/>
      <c r="C793" s="56"/>
      <c r="D793" s="56"/>
      <c r="E793" s="14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7"/>
      <c r="Q793" s="57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15.75" customHeight="1" x14ac:dyDescent="0.3">
      <c r="A794" s="56"/>
      <c r="B794" s="56"/>
      <c r="C794" s="56"/>
      <c r="D794" s="56"/>
      <c r="E794" s="14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7"/>
      <c r="Q794" s="57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15.75" customHeight="1" x14ac:dyDescent="0.3">
      <c r="A795" s="56"/>
      <c r="B795" s="56"/>
      <c r="C795" s="56"/>
      <c r="D795" s="56"/>
      <c r="E795" s="14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7"/>
      <c r="Q795" s="57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15.75" customHeight="1" x14ac:dyDescent="0.3">
      <c r="A796" s="56"/>
      <c r="B796" s="56"/>
      <c r="C796" s="56"/>
      <c r="D796" s="56"/>
      <c r="E796" s="14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7"/>
      <c r="Q796" s="57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15.75" customHeight="1" x14ac:dyDescent="0.3">
      <c r="A797" s="56"/>
      <c r="B797" s="56"/>
      <c r="C797" s="56"/>
      <c r="D797" s="56"/>
      <c r="E797" s="14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7"/>
      <c r="Q797" s="57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15.75" customHeight="1" x14ac:dyDescent="0.3">
      <c r="A798" s="56"/>
      <c r="B798" s="56"/>
      <c r="C798" s="56"/>
      <c r="D798" s="56"/>
      <c r="E798" s="14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7"/>
      <c r="Q798" s="57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15.75" customHeight="1" x14ac:dyDescent="0.3">
      <c r="A799" s="56"/>
      <c r="B799" s="56"/>
      <c r="C799" s="56"/>
      <c r="D799" s="56"/>
      <c r="E799" s="14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7"/>
      <c r="Q799" s="57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15.75" customHeight="1" x14ac:dyDescent="0.3">
      <c r="A800" s="56"/>
      <c r="B800" s="56"/>
      <c r="C800" s="56"/>
      <c r="D800" s="56"/>
      <c r="E800" s="14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7"/>
      <c r="Q800" s="57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15.75" customHeight="1" x14ac:dyDescent="0.3">
      <c r="A801" s="56"/>
      <c r="B801" s="56"/>
      <c r="C801" s="56"/>
      <c r="D801" s="56"/>
      <c r="E801" s="14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7"/>
      <c r="Q801" s="57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15.75" customHeight="1" x14ac:dyDescent="0.3">
      <c r="A802" s="56"/>
      <c r="B802" s="56"/>
      <c r="C802" s="56"/>
      <c r="D802" s="56"/>
      <c r="E802" s="14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7"/>
      <c r="Q802" s="57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15.75" customHeight="1" x14ac:dyDescent="0.3">
      <c r="A803" s="56"/>
      <c r="B803" s="56"/>
      <c r="C803" s="56"/>
      <c r="D803" s="56"/>
      <c r="E803" s="14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7"/>
      <c r="Q803" s="57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15.75" customHeight="1" x14ac:dyDescent="0.3">
      <c r="A804" s="56"/>
      <c r="B804" s="56"/>
      <c r="C804" s="56"/>
      <c r="D804" s="56"/>
      <c r="E804" s="14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7"/>
      <c r="Q804" s="57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15.75" customHeight="1" x14ac:dyDescent="0.3">
      <c r="A805" s="56"/>
      <c r="B805" s="56"/>
      <c r="C805" s="56"/>
      <c r="D805" s="56"/>
      <c r="E805" s="14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7"/>
      <c r="Q805" s="57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15.75" customHeight="1" x14ac:dyDescent="0.3">
      <c r="A806" s="56"/>
      <c r="B806" s="56"/>
      <c r="C806" s="56"/>
      <c r="D806" s="56"/>
      <c r="E806" s="14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7"/>
      <c r="Q806" s="57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15.75" customHeight="1" x14ac:dyDescent="0.3">
      <c r="A807" s="56"/>
      <c r="B807" s="56"/>
      <c r="C807" s="56"/>
      <c r="D807" s="56"/>
      <c r="E807" s="14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7"/>
      <c r="Q807" s="57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15.75" customHeight="1" x14ac:dyDescent="0.3">
      <c r="A808" s="56"/>
      <c r="B808" s="56"/>
      <c r="C808" s="56"/>
      <c r="D808" s="56"/>
      <c r="E808" s="14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7"/>
      <c r="Q808" s="57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15.75" customHeight="1" x14ac:dyDescent="0.3">
      <c r="A809" s="56"/>
      <c r="B809" s="56"/>
      <c r="C809" s="56"/>
      <c r="D809" s="56"/>
      <c r="E809" s="14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7"/>
      <c r="Q809" s="57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15.75" customHeight="1" x14ac:dyDescent="0.3">
      <c r="A810" s="56"/>
      <c r="B810" s="56"/>
      <c r="C810" s="56"/>
      <c r="D810" s="56"/>
      <c r="E810" s="14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7"/>
      <c r="Q810" s="57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15.75" customHeight="1" x14ac:dyDescent="0.3">
      <c r="A811" s="56"/>
      <c r="B811" s="56"/>
      <c r="C811" s="56"/>
      <c r="D811" s="56"/>
      <c r="E811" s="14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7"/>
      <c r="Q811" s="57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15.75" customHeight="1" x14ac:dyDescent="0.3">
      <c r="A812" s="56"/>
      <c r="B812" s="56"/>
      <c r="C812" s="56"/>
      <c r="D812" s="56"/>
      <c r="E812" s="14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7"/>
      <c r="Q812" s="57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15.75" customHeight="1" x14ac:dyDescent="0.3">
      <c r="A813" s="56"/>
      <c r="B813" s="56"/>
      <c r="C813" s="56"/>
      <c r="D813" s="56"/>
      <c r="E813" s="14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7"/>
      <c r="Q813" s="57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15.75" customHeight="1" x14ac:dyDescent="0.3">
      <c r="A814" s="56"/>
      <c r="B814" s="56"/>
      <c r="C814" s="56"/>
      <c r="D814" s="56"/>
      <c r="E814" s="14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7"/>
      <c r="Q814" s="57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15.75" customHeight="1" x14ac:dyDescent="0.3">
      <c r="A815" s="56"/>
      <c r="B815" s="56"/>
      <c r="C815" s="56"/>
      <c r="D815" s="56"/>
      <c r="E815" s="14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7"/>
      <c r="Q815" s="57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15.75" customHeight="1" x14ac:dyDescent="0.3">
      <c r="A816" s="56"/>
      <c r="B816" s="56"/>
      <c r="C816" s="56"/>
      <c r="D816" s="56"/>
      <c r="E816" s="14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7"/>
      <c r="Q816" s="57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15.75" customHeight="1" x14ac:dyDescent="0.3">
      <c r="A817" s="56"/>
      <c r="B817" s="56"/>
      <c r="C817" s="56"/>
      <c r="D817" s="56"/>
      <c r="E817" s="14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7"/>
      <c r="Q817" s="57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15.75" customHeight="1" x14ac:dyDescent="0.3">
      <c r="A818" s="56"/>
      <c r="B818" s="56"/>
      <c r="C818" s="56"/>
      <c r="D818" s="56"/>
      <c r="E818" s="14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7"/>
      <c r="Q818" s="57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15.75" customHeight="1" x14ac:dyDescent="0.3">
      <c r="A819" s="56"/>
      <c r="B819" s="56"/>
      <c r="C819" s="56"/>
      <c r="D819" s="56"/>
      <c r="E819" s="14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7"/>
      <c r="Q819" s="57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15.75" customHeight="1" x14ac:dyDescent="0.3">
      <c r="A820" s="56"/>
      <c r="B820" s="56"/>
      <c r="C820" s="56"/>
      <c r="D820" s="56"/>
      <c r="E820" s="14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7"/>
      <c r="Q820" s="57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15.75" customHeight="1" x14ac:dyDescent="0.3">
      <c r="A821" s="56"/>
      <c r="B821" s="56"/>
      <c r="C821" s="56"/>
      <c r="D821" s="56"/>
      <c r="E821" s="14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7"/>
      <c r="Q821" s="57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15.75" customHeight="1" x14ac:dyDescent="0.3">
      <c r="A822" s="56"/>
      <c r="B822" s="56"/>
      <c r="C822" s="56"/>
      <c r="D822" s="56"/>
      <c r="E822" s="14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7"/>
      <c r="Q822" s="57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15.75" customHeight="1" x14ac:dyDescent="0.3">
      <c r="A823" s="56"/>
      <c r="B823" s="56"/>
      <c r="C823" s="56"/>
      <c r="D823" s="56"/>
      <c r="E823" s="14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7"/>
      <c r="Q823" s="57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15.75" customHeight="1" x14ac:dyDescent="0.3">
      <c r="A824" s="56"/>
      <c r="B824" s="56"/>
      <c r="C824" s="56"/>
      <c r="D824" s="56"/>
      <c r="E824" s="14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7"/>
      <c r="Q824" s="57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15.75" customHeight="1" x14ac:dyDescent="0.3">
      <c r="A825" s="56"/>
      <c r="B825" s="56"/>
      <c r="C825" s="56"/>
      <c r="D825" s="56"/>
      <c r="E825" s="14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7"/>
      <c r="Q825" s="57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15.75" customHeight="1" x14ac:dyDescent="0.3">
      <c r="A826" s="56"/>
      <c r="B826" s="56"/>
      <c r="C826" s="56"/>
      <c r="D826" s="56"/>
      <c r="E826" s="14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7"/>
      <c r="Q826" s="57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15.75" customHeight="1" x14ac:dyDescent="0.3">
      <c r="A827" s="56"/>
      <c r="B827" s="56"/>
      <c r="C827" s="56"/>
      <c r="D827" s="56"/>
      <c r="E827" s="14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7"/>
      <c r="Q827" s="57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15.75" customHeight="1" x14ac:dyDescent="0.3">
      <c r="A828" s="56"/>
      <c r="B828" s="56"/>
      <c r="C828" s="56"/>
      <c r="D828" s="56"/>
      <c r="E828" s="14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7"/>
      <c r="Q828" s="57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15.75" customHeight="1" x14ac:dyDescent="0.3">
      <c r="A829" s="56"/>
      <c r="B829" s="56"/>
      <c r="C829" s="56"/>
      <c r="D829" s="56"/>
      <c r="E829" s="14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7"/>
      <c r="Q829" s="57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15.75" customHeight="1" x14ac:dyDescent="0.3">
      <c r="A830" s="56"/>
      <c r="B830" s="56"/>
      <c r="C830" s="56"/>
      <c r="D830" s="56"/>
      <c r="E830" s="14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7"/>
      <c r="Q830" s="57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15.75" customHeight="1" x14ac:dyDescent="0.3">
      <c r="A831" s="56"/>
      <c r="B831" s="56"/>
      <c r="C831" s="56"/>
      <c r="D831" s="56"/>
      <c r="E831" s="14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7"/>
      <c r="Q831" s="57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15.75" customHeight="1" x14ac:dyDescent="0.3">
      <c r="A832" s="56"/>
      <c r="B832" s="56"/>
      <c r="C832" s="56"/>
      <c r="D832" s="56"/>
      <c r="E832" s="14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7"/>
      <c r="Q832" s="57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15.75" customHeight="1" x14ac:dyDescent="0.3">
      <c r="A833" s="56"/>
      <c r="B833" s="56"/>
      <c r="C833" s="56"/>
      <c r="D833" s="56"/>
      <c r="E833" s="14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7"/>
      <c r="Q833" s="57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15.75" customHeight="1" x14ac:dyDescent="0.3">
      <c r="A834" s="56"/>
      <c r="B834" s="56"/>
      <c r="C834" s="56"/>
      <c r="D834" s="56"/>
      <c r="E834" s="14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7"/>
      <c r="Q834" s="57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15.75" customHeight="1" x14ac:dyDescent="0.3">
      <c r="A835" s="56"/>
      <c r="B835" s="56"/>
      <c r="C835" s="56"/>
      <c r="D835" s="56"/>
      <c r="E835" s="14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7"/>
      <c r="Q835" s="57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15.75" customHeight="1" x14ac:dyDescent="0.3">
      <c r="A836" s="56"/>
      <c r="B836" s="56"/>
      <c r="C836" s="56"/>
      <c r="D836" s="56"/>
      <c r="E836" s="14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7"/>
      <c r="Q836" s="57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15.75" customHeight="1" x14ac:dyDescent="0.3">
      <c r="A837" s="56"/>
      <c r="B837" s="56"/>
      <c r="C837" s="56"/>
      <c r="D837" s="56"/>
      <c r="E837" s="14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7"/>
      <c r="Q837" s="57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15.75" customHeight="1" x14ac:dyDescent="0.3">
      <c r="A838" s="56"/>
      <c r="B838" s="56"/>
      <c r="C838" s="56"/>
      <c r="D838" s="56"/>
      <c r="E838" s="14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7"/>
      <c r="Q838" s="57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15.75" customHeight="1" x14ac:dyDescent="0.3">
      <c r="A839" s="56"/>
      <c r="B839" s="56"/>
      <c r="C839" s="56"/>
      <c r="D839" s="56"/>
      <c r="E839" s="14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7"/>
      <c r="Q839" s="57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15.75" customHeight="1" x14ac:dyDescent="0.3">
      <c r="A840" s="56"/>
      <c r="B840" s="56"/>
      <c r="C840" s="56"/>
      <c r="D840" s="56"/>
      <c r="E840" s="14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7"/>
      <c r="Q840" s="57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15.75" customHeight="1" x14ac:dyDescent="0.3">
      <c r="A841" s="56"/>
      <c r="B841" s="56"/>
      <c r="C841" s="56"/>
      <c r="D841" s="56"/>
      <c r="E841" s="14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7"/>
      <c r="Q841" s="57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15.75" customHeight="1" x14ac:dyDescent="0.3">
      <c r="A842" s="56"/>
      <c r="B842" s="56"/>
      <c r="C842" s="56"/>
      <c r="D842" s="56"/>
      <c r="E842" s="14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7"/>
      <c r="Q842" s="57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15.75" customHeight="1" x14ac:dyDescent="0.3">
      <c r="A843" s="56"/>
      <c r="B843" s="56"/>
      <c r="C843" s="56"/>
      <c r="D843" s="56"/>
      <c r="E843" s="14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7"/>
      <c r="Q843" s="57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15.75" customHeight="1" x14ac:dyDescent="0.3">
      <c r="A844" s="56"/>
      <c r="B844" s="56"/>
      <c r="C844" s="56"/>
      <c r="D844" s="56"/>
      <c r="E844" s="14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7"/>
      <c r="Q844" s="57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15.75" customHeight="1" x14ac:dyDescent="0.3">
      <c r="A845" s="56"/>
      <c r="B845" s="56"/>
      <c r="C845" s="56"/>
      <c r="D845" s="56"/>
      <c r="E845" s="14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7"/>
      <c r="Q845" s="57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15.75" customHeight="1" x14ac:dyDescent="0.3">
      <c r="A846" s="56"/>
      <c r="B846" s="56"/>
      <c r="C846" s="56"/>
      <c r="D846" s="56"/>
      <c r="E846" s="14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7"/>
      <c r="Q846" s="57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15.75" customHeight="1" x14ac:dyDescent="0.3">
      <c r="A847" s="56"/>
      <c r="B847" s="56"/>
      <c r="C847" s="56"/>
      <c r="D847" s="56"/>
      <c r="E847" s="14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7"/>
      <c r="Q847" s="57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15.75" customHeight="1" x14ac:dyDescent="0.3">
      <c r="A848" s="56"/>
      <c r="B848" s="56"/>
      <c r="C848" s="56"/>
      <c r="D848" s="56"/>
      <c r="E848" s="14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7"/>
      <c r="Q848" s="57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15.75" customHeight="1" x14ac:dyDescent="0.3">
      <c r="A849" s="56"/>
      <c r="B849" s="56"/>
      <c r="C849" s="56"/>
      <c r="D849" s="56"/>
      <c r="E849" s="14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7"/>
      <c r="Q849" s="57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15.75" customHeight="1" x14ac:dyDescent="0.3">
      <c r="A850" s="56"/>
      <c r="B850" s="56"/>
      <c r="C850" s="56"/>
      <c r="D850" s="56"/>
      <c r="E850" s="14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7"/>
      <c r="Q850" s="57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15.75" customHeight="1" x14ac:dyDescent="0.3">
      <c r="A851" s="56"/>
      <c r="B851" s="56"/>
      <c r="C851" s="56"/>
      <c r="D851" s="56"/>
      <c r="E851" s="14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7"/>
      <c r="Q851" s="57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15.75" customHeight="1" x14ac:dyDescent="0.3">
      <c r="A852" s="56"/>
      <c r="B852" s="56"/>
      <c r="C852" s="56"/>
      <c r="D852" s="56"/>
      <c r="E852" s="14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7"/>
      <c r="Q852" s="57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15.75" customHeight="1" x14ac:dyDescent="0.3">
      <c r="A853" s="56"/>
      <c r="B853" s="56"/>
      <c r="C853" s="56"/>
      <c r="D853" s="56"/>
      <c r="E853" s="14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7"/>
      <c r="Q853" s="57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15.75" customHeight="1" x14ac:dyDescent="0.3">
      <c r="A854" s="56"/>
      <c r="B854" s="56"/>
      <c r="C854" s="56"/>
      <c r="D854" s="56"/>
      <c r="E854" s="14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7"/>
      <c r="Q854" s="57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15.75" customHeight="1" x14ac:dyDescent="0.3">
      <c r="A855" s="56"/>
      <c r="B855" s="56"/>
      <c r="C855" s="56"/>
      <c r="D855" s="56"/>
      <c r="E855" s="14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7"/>
      <c r="Q855" s="57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15.75" customHeight="1" x14ac:dyDescent="0.3">
      <c r="A856" s="56"/>
      <c r="B856" s="56"/>
      <c r="C856" s="56"/>
      <c r="D856" s="56"/>
      <c r="E856" s="14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7"/>
      <c r="Q856" s="57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15.75" customHeight="1" x14ac:dyDescent="0.3">
      <c r="A857" s="56"/>
      <c r="B857" s="56"/>
      <c r="C857" s="56"/>
      <c r="D857" s="56"/>
      <c r="E857" s="14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7"/>
      <c r="Q857" s="57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15.75" customHeight="1" x14ac:dyDescent="0.3">
      <c r="A858" s="56"/>
      <c r="B858" s="56"/>
      <c r="C858" s="56"/>
      <c r="D858" s="56"/>
      <c r="E858" s="14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7"/>
      <c r="Q858" s="57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15.75" customHeight="1" x14ac:dyDescent="0.3">
      <c r="A859" s="56"/>
      <c r="B859" s="56"/>
      <c r="C859" s="56"/>
      <c r="D859" s="56"/>
      <c r="E859" s="14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7"/>
      <c r="Q859" s="57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15.75" customHeight="1" x14ac:dyDescent="0.3">
      <c r="A860" s="56"/>
      <c r="B860" s="56"/>
      <c r="C860" s="56"/>
      <c r="D860" s="56"/>
      <c r="E860" s="14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7"/>
      <c r="Q860" s="57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15.75" customHeight="1" x14ac:dyDescent="0.3">
      <c r="A861" s="56"/>
      <c r="B861" s="56"/>
      <c r="C861" s="56"/>
      <c r="D861" s="56"/>
      <c r="E861" s="14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7"/>
      <c r="Q861" s="57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15.75" customHeight="1" x14ac:dyDescent="0.3">
      <c r="A862" s="56"/>
      <c r="B862" s="56"/>
      <c r="C862" s="56"/>
      <c r="D862" s="56"/>
      <c r="E862" s="14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7"/>
      <c r="Q862" s="57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15.75" customHeight="1" x14ac:dyDescent="0.3">
      <c r="A863" s="56"/>
      <c r="B863" s="56"/>
      <c r="C863" s="56"/>
      <c r="D863" s="56"/>
      <c r="E863" s="14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7"/>
      <c r="Q863" s="57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15.75" customHeight="1" x14ac:dyDescent="0.3">
      <c r="A864" s="56"/>
      <c r="B864" s="56"/>
      <c r="C864" s="56"/>
      <c r="D864" s="56"/>
      <c r="E864" s="14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7"/>
      <c r="Q864" s="57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15.75" customHeight="1" x14ac:dyDescent="0.3">
      <c r="A865" s="56"/>
      <c r="B865" s="56"/>
      <c r="C865" s="56"/>
      <c r="D865" s="56"/>
      <c r="E865" s="14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7"/>
      <c r="Q865" s="57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15.75" customHeight="1" x14ac:dyDescent="0.3">
      <c r="A866" s="56"/>
      <c r="B866" s="56"/>
      <c r="C866" s="56"/>
      <c r="D866" s="56"/>
      <c r="E866" s="14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7"/>
      <c r="Q866" s="57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15.75" customHeight="1" x14ac:dyDescent="0.3">
      <c r="A867" s="56"/>
      <c r="B867" s="56"/>
      <c r="C867" s="56"/>
      <c r="D867" s="56"/>
      <c r="E867" s="14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7"/>
      <c r="Q867" s="57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15.75" customHeight="1" x14ac:dyDescent="0.3">
      <c r="A868" s="56"/>
      <c r="B868" s="56"/>
      <c r="C868" s="56"/>
      <c r="D868" s="56"/>
      <c r="E868" s="14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7"/>
      <c r="Q868" s="57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15.75" customHeight="1" x14ac:dyDescent="0.3">
      <c r="A869" s="56"/>
      <c r="B869" s="56"/>
      <c r="C869" s="56"/>
      <c r="D869" s="56"/>
      <c r="E869" s="14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7"/>
      <c r="Q869" s="57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15.75" customHeight="1" x14ac:dyDescent="0.3">
      <c r="A870" s="56"/>
      <c r="B870" s="56"/>
      <c r="C870" s="56"/>
      <c r="D870" s="56"/>
      <c r="E870" s="14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7"/>
      <c r="Q870" s="57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15.75" customHeight="1" x14ac:dyDescent="0.3">
      <c r="A871" s="56"/>
      <c r="B871" s="56"/>
      <c r="C871" s="56"/>
      <c r="D871" s="56"/>
      <c r="E871" s="14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7"/>
      <c r="Q871" s="57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15.75" customHeight="1" x14ac:dyDescent="0.3">
      <c r="A872" s="56"/>
      <c r="B872" s="56"/>
      <c r="C872" s="56"/>
      <c r="D872" s="56"/>
      <c r="E872" s="14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7"/>
      <c r="Q872" s="57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15.75" customHeight="1" x14ac:dyDescent="0.3">
      <c r="A873" s="56"/>
      <c r="B873" s="56"/>
      <c r="C873" s="56"/>
      <c r="D873" s="56"/>
      <c r="E873" s="14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7"/>
      <c r="Q873" s="57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15.75" customHeight="1" x14ac:dyDescent="0.3">
      <c r="A874" s="56"/>
      <c r="B874" s="56"/>
      <c r="C874" s="56"/>
      <c r="D874" s="56"/>
      <c r="E874" s="14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7"/>
      <c r="Q874" s="57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15.75" customHeight="1" x14ac:dyDescent="0.3">
      <c r="A875" s="56"/>
      <c r="B875" s="56"/>
      <c r="C875" s="56"/>
      <c r="D875" s="56"/>
      <c r="E875" s="14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7"/>
      <c r="Q875" s="57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15.75" customHeight="1" x14ac:dyDescent="0.3">
      <c r="A876" s="56"/>
      <c r="B876" s="56"/>
      <c r="C876" s="56"/>
      <c r="D876" s="56"/>
      <c r="E876" s="14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7"/>
      <c r="Q876" s="57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15.75" customHeight="1" x14ac:dyDescent="0.3">
      <c r="A877" s="56"/>
      <c r="B877" s="56"/>
      <c r="C877" s="56"/>
      <c r="D877" s="56"/>
      <c r="E877" s="14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7"/>
      <c r="Q877" s="57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15.75" customHeight="1" x14ac:dyDescent="0.3">
      <c r="A878" s="56"/>
      <c r="B878" s="56"/>
      <c r="C878" s="56"/>
      <c r="D878" s="56"/>
      <c r="E878" s="14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7"/>
      <c r="Q878" s="57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15.75" customHeight="1" x14ac:dyDescent="0.3">
      <c r="A879" s="56"/>
      <c r="B879" s="56"/>
      <c r="C879" s="56"/>
      <c r="D879" s="56"/>
      <c r="E879" s="14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7"/>
      <c r="Q879" s="57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15.75" customHeight="1" x14ac:dyDescent="0.3">
      <c r="A880" s="56"/>
      <c r="B880" s="56"/>
      <c r="C880" s="56"/>
      <c r="D880" s="56"/>
      <c r="E880" s="14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7"/>
      <c r="Q880" s="57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15.75" customHeight="1" x14ac:dyDescent="0.3">
      <c r="A881" s="56"/>
      <c r="B881" s="56"/>
      <c r="C881" s="56"/>
      <c r="D881" s="56"/>
      <c r="E881" s="14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7"/>
      <c r="Q881" s="57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15.75" customHeight="1" x14ac:dyDescent="0.3">
      <c r="A882" s="56"/>
      <c r="B882" s="56"/>
      <c r="C882" s="56"/>
      <c r="D882" s="56"/>
      <c r="E882" s="14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7"/>
      <c r="Q882" s="57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15.75" customHeight="1" x14ac:dyDescent="0.3">
      <c r="A883" s="56"/>
      <c r="B883" s="56"/>
      <c r="C883" s="56"/>
      <c r="D883" s="56"/>
      <c r="E883" s="14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7"/>
      <c r="Q883" s="57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15.75" customHeight="1" x14ac:dyDescent="0.3">
      <c r="A884" s="56"/>
      <c r="B884" s="56"/>
      <c r="C884" s="56"/>
      <c r="D884" s="56"/>
      <c r="E884" s="14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7"/>
      <c r="Q884" s="57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15.75" customHeight="1" x14ac:dyDescent="0.3">
      <c r="A885" s="56"/>
      <c r="B885" s="56"/>
      <c r="C885" s="56"/>
      <c r="D885" s="56"/>
      <c r="E885" s="14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7"/>
      <c r="Q885" s="57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15.75" customHeight="1" x14ac:dyDescent="0.3">
      <c r="A886" s="56"/>
      <c r="B886" s="56"/>
      <c r="C886" s="56"/>
      <c r="D886" s="56"/>
      <c r="E886" s="14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7"/>
      <c r="Q886" s="57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15.75" customHeight="1" x14ac:dyDescent="0.3">
      <c r="A887" s="56"/>
      <c r="B887" s="56"/>
      <c r="C887" s="56"/>
      <c r="D887" s="56"/>
      <c r="E887" s="14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7"/>
      <c r="Q887" s="57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15.75" customHeight="1" x14ac:dyDescent="0.3">
      <c r="A888" s="56"/>
      <c r="B888" s="56"/>
      <c r="C888" s="56"/>
      <c r="D888" s="56"/>
      <c r="E888" s="14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7"/>
      <c r="Q888" s="57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15.75" customHeight="1" x14ac:dyDescent="0.3">
      <c r="A889" s="56"/>
      <c r="B889" s="56"/>
      <c r="C889" s="56"/>
      <c r="D889" s="56"/>
      <c r="E889" s="14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7"/>
      <c r="Q889" s="57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15.75" customHeight="1" x14ac:dyDescent="0.3">
      <c r="A890" s="56"/>
      <c r="B890" s="56"/>
      <c r="C890" s="56"/>
      <c r="D890" s="56"/>
      <c r="E890" s="14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7"/>
      <c r="Q890" s="57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15.75" customHeight="1" x14ac:dyDescent="0.3">
      <c r="A891" s="56"/>
      <c r="B891" s="56"/>
      <c r="C891" s="56"/>
      <c r="D891" s="56"/>
      <c r="E891" s="14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7"/>
      <c r="Q891" s="57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15.75" customHeight="1" x14ac:dyDescent="0.3">
      <c r="A892" s="56"/>
      <c r="B892" s="56"/>
      <c r="C892" s="56"/>
      <c r="D892" s="56"/>
      <c r="E892" s="14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7"/>
      <c r="Q892" s="57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15.75" customHeight="1" x14ac:dyDescent="0.3">
      <c r="A893" s="56"/>
      <c r="B893" s="56"/>
      <c r="C893" s="56"/>
      <c r="D893" s="56"/>
      <c r="E893" s="14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7"/>
      <c r="Q893" s="57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15.75" customHeight="1" x14ac:dyDescent="0.3">
      <c r="A894" s="56"/>
      <c r="B894" s="56"/>
      <c r="C894" s="56"/>
      <c r="D894" s="56"/>
      <c r="E894" s="14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7"/>
      <c r="Q894" s="57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15.75" customHeight="1" x14ac:dyDescent="0.3">
      <c r="A895" s="56"/>
      <c r="B895" s="56"/>
      <c r="C895" s="56"/>
      <c r="D895" s="56"/>
      <c r="E895" s="14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7"/>
      <c r="Q895" s="57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15.75" customHeight="1" x14ac:dyDescent="0.3">
      <c r="A896" s="56"/>
      <c r="B896" s="56"/>
      <c r="C896" s="56"/>
      <c r="D896" s="56"/>
      <c r="E896" s="14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7"/>
      <c r="Q896" s="57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15.75" customHeight="1" x14ac:dyDescent="0.3">
      <c r="A897" s="56"/>
      <c r="B897" s="56"/>
      <c r="C897" s="56"/>
      <c r="D897" s="56"/>
      <c r="E897" s="14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7"/>
      <c r="Q897" s="57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15.75" customHeight="1" x14ac:dyDescent="0.3">
      <c r="A898" s="56"/>
      <c r="B898" s="56"/>
      <c r="C898" s="56"/>
      <c r="D898" s="56"/>
      <c r="E898" s="14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7"/>
      <c r="Q898" s="57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15.75" customHeight="1" x14ac:dyDescent="0.3">
      <c r="A899" s="56"/>
      <c r="B899" s="56"/>
      <c r="C899" s="56"/>
      <c r="D899" s="56"/>
      <c r="E899" s="14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7"/>
      <c r="Q899" s="57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15.75" customHeight="1" x14ac:dyDescent="0.3">
      <c r="A900" s="56"/>
      <c r="B900" s="56"/>
      <c r="C900" s="56"/>
      <c r="D900" s="56"/>
      <c r="E900" s="14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7"/>
      <c r="Q900" s="57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15.75" customHeight="1" x14ac:dyDescent="0.3">
      <c r="A901" s="56"/>
      <c r="B901" s="56"/>
      <c r="C901" s="56"/>
      <c r="D901" s="56"/>
      <c r="E901" s="14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7"/>
      <c r="Q901" s="57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15.75" customHeight="1" x14ac:dyDescent="0.3">
      <c r="A902" s="56"/>
      <c r="B902" s="56"/>
      <c r="C902" s="56"/>
      <c r="D902" s="56"/>
      <c r="E902" s="14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7"/>
      <c r="Q902" s="57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15.75" customHeight="1" x14ac:dyDescent="0.3">
      <c r="A903" s="56"/>
      <c r="B903" s="56"/>
      <c r="C903" s="56"/>
      <c r="D903" s="56"/>
      <c r="E903" s="14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7"/>
      <c r="Q903" s="57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15.75" customHeight="1" x14ac:dyDescent="0.3">
      <c r="A904" s="56"/>
      <c r="B904" s="56"/>
      <c r="C904" s="56"/>
      <c r="D904" s="56"/>
      <c r="E904" s="14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7"/>
      <c r="Q904" s="57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15.75" customHeight="1" x14ac:dyDescent="0.3">
      <c r="A905" s="56"/>
      <c r="B905" s="56"/>
      <c r="C905" s="56"/>
      <c r="D905" s="56"/>
      <c r="E905" s="14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7"/>
      <c r="Q905" s="57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15.75" customHeight="1" x14ac:dyDescent="0.3">
      <c r="A906" s="56"/>
      <c r="B906" s="56"/>
      <c r="C906" s="56"/>
      <c r="D906" s="56"/>
      <c r="E906" s="14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7"/>
      <c r="Q906" s="57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15.75" customHeight="1" x14ac:dyDescent="0.3">
      <c r="A907" s="56"/>
      <c r="B907" s="56"/>
      <c r="C907" s="56"/>
      <c r="D907" s="56"/>
      <c r="E907" s="14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7"/>
      <c r="Q907" s="57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15.75" customHeight="1" x14ac:dyDescent="0.3">
      <c r="A908" s="56"/>
      <c r="B908" s="56"/>
      <c r="C908" s="56"/>
      <c r="D908" s="56"/>
      <c r="E908" s="14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7"/>
      <c r="Q908" s="57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15.75" customHeight="1" x14ac:dyDescent="0.3">
      <c r="A909" s="56"/>
      <c r="B909" s="56"/>
      <c r="C909" s="56"/>
      <c r="D909" s="56"/>
      <c r="E909" s="14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7"/>
      <c r="Q909" s="57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15.75" customHeight="1" x14ac:dyDescent="0.3">
      <c r="A910" s="56"/>
      <c r="B910" s="56"/>
      <c r="C910" s="56"/>
      <c r="D910" s="56"/>
      <c r="E910" s="14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7"/>
      <c r="Q910" s="57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15.75" customHeight="1" x14ac:dyDescent="0.3">
      <c r="A911" s="56"/>
      <c r="B911" s="56"/>
      <c r="C911" s="56"/>
      <c r="D911" s="56"/>
      <c r="E911" s="14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7"/>
      <c r="Q911" s="57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15.75" customHeight="1" x14ac:dyDescent="0.3">
      <c r="A912" s="56"/>
      <c r="B912" s="56"/>
      <c r="C912" s="56"/>
      <c r="D912" s="56"/>
      <c r="E912" s="14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7"/>
      <c r="Q912" s="57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15.75" customHeight="1" x14ac:dyDescent="0.3">
      <c r="A913" s="56"/>
      <c r="B913" s="56"/>
      <c r="C913" s="56"/>
      <c r="D913" s="56"/>
      <c r="E913" s="14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7"/>
      <c r="Q913" s="57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15.75" customHeight="1" x14ac:dyDescent="0.3">
      <c r="A914" s="56"/>
      <c r="B914" s="56"/>
      <c r="C914" s="56"/>
      <c r="D914" s="56"/>
      <c r="E914" s="14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7"/>
      <c r="Q914" s="57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15.75" customHeight="1" x14ac:dyDescent="0.3">
      <c r="A915" s="56"/>
      <c r="B915" s="56"/>
      <c r="C915" s="56"/>
      <c r="D915" s="56"/>
      <c r="E915" s="14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7"/>
      <c r="Q915" s="57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15.75" customHeight="1" x14ac:dyDescent="0.3">
      <c r="A916" s="56"/>
      <c r="B916" s="56"/>
      <c r="C916" s="56"/>
      <c r="D916" s="56"/>
      <c r="E916" s="14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7"/>
      <c r="Q916" s="57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15.75" customHeight="1" x14ac:dyDescent="0.3">
      <c r="A917" s="56"/>
      <c r="B917" s="56"/>
      <c r="C917" s="56"/>
      <c r="D917" s="56"/>
      <c r="E917" s="14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7"/>
      <c r="Q917" s="57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15.75" customHeight="1" x14ac:dyDescent="0.3">
      <c r="A918" s="56"/>
      <c r="B918" s="56"/>
      <c r="C918" s="56"/>
      <c r="D918" s="56"/>
      <c r="E918" s="14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7"/>
      <c r="Q918" s="57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15.75" customHeight="1" x14ac:dyDescent="0.3">
      <c r="A919" s="56"/>
      <c r="B919" s="56"/>
      <c r="C919" s="56"/>
      <c r="D919" s="56"/>
      <c r="E919" s="14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7"/>
      <c r="Q919" s="57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15.75" customHeight="1" x14ac:dyDescent="0.3">
      <c r="A920" s="56"/>
      <c r="B920" s="56"/>
      <c r="C920" s="56"/>
      <c r="D920" s="56"/>
      <c r="E920" s="14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7"/>
      <c r="Q920" s="57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15.75" customHeight="1" x14ac:dyDescent="0.3">
      <c r="A921" s="56"/>
      <c r="B921" s="56"/>
      <c r="C921" s="56"/>
      <c r="D921" s="56"/>
      <c r="E921" s="14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7"/>
      <c r="Q921" s="57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15.75" customHeight="1" x14ac:dyDescent="0.3">
      <c r="A922" s="56"/>
      <c r="B922" s="56"/>
      <c r="C922" s="56"/>
      <c r="D922" s="56"/>
      <c r="E922" s="14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7"/>
      <c r="Q922" s="57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15.75" customHeight="1" x14ac:dyDescent="0.3">
      <c r="A923" s="56"/>
      <c r="B923" s="56"/>
      <c r="C923" s="56"/>
      <c r="D923" s="56"/>
      <c r="E923" s="14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7"/>
      <c r="Q923" s="57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15.75" customHeight="1" x14ac:dyDescent="0.3">
      <c r="A924" s="56"/>
      <c r="B924" s="56"/>
      <c r="C924" s="56"/>
      <c r="D924" s="56"/>
      <c r="E924" s="14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7"/>
      <c r="Q924" s="57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15.75" customHeight="1" x14ac:dyDescent="0.3">
      <c r="A925" s="56"/>
      <c r="B925" s="56"/>
      <c r="C925" s="56"/>
      <c r="D925" s="56"/>
      <c r="E925" s="14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7"/>
      <c r="Q925" s="57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15.75" customHeight="1" x14ac:dyDescent="0.3">
      <c r="A926" s="56"/>
      <c r="B926" s="56"/>
      <c r="C926" s="56"/>
      <c r="D926" s="56"/>
      <c r="E926" s="14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7"/>
      <c r="Q926" s="57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15.75" customHeight="1" x14ac:dyDescent="0.3">
      <c r="A927" s="56"/>
      <c r="B927" s="56"/>
      <c r="C927" s="56"/>
      <c r="D927" s="56"/>
      <c r="E927" s="14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7"/>
      <c r="Q927" s="57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15.75" customHeight="1" x14ac:dyDescent="0.3">
      <c r="A928" s="56"/>
      <c r="B928" s="56"/>
      <c r="C928" s="56"/>
      <c r="D928" s="56"/>
      <c r="E928" s="14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7"/>
      <c r="Q928" s="57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15.75" customHeight="1" x14ac:dyDescent="0.3">
      <c r="A929" s="56"/>
      <c r="B929" s="56"/>
      <c r="C929" s="56"/>
      <c r="D929" s="56"/>
      <c r="E929" s="14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7"/>
      <c r="Q929" s="57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15.75" customHeight="1" x14ac:dyDescent="0.3">
      <c r="A930" s="56"/>
      <c r="B930" s="56"/>
      <c r="C930" s="56"/>
      <c r="D930" s="56"/>
      <c r="E930" s="14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7"/>
      <c r="Q930" s="57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15.75" customHeight="1" x14ac:dyDescent="0.3">
      <c r="A931" s="56"/>
      <c r="B931" s="56"/>
      <c r="C931" s="56"/>
      <c r="D931" s="56"/>
      <c r="E931" s="14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7"/>
      <c r="Q931" s="57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15.75" customHeight="1" x14ac:dyDescent="0.3">
      <c r="A932" s="56"/>
      <c r="B932" s="56"/>
      <c r="C932" s="56"/>
      <c r="D932" s="56"/>
      <c r="E932" s="14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7"/>
      <c r="Q932" s="57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15.75" customHeight="1" x14ac:dyDescent="0.3">
      <c r="A933" s="56"/>
      <c r="B933" s="56"/>
      <c r="C933" s="56"/>
      <c r="D933" s="56"/>
      <c r="E933" s="14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7"/>
      <c r="Q933" s="57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15.75" customHeight="1" x14ac:dyDescent="0.3">
      <c r="A934" s="56"/>
      <c r="B934" s="56"/>
      <c r="C934" s="56"/>
      <c r="D934" s="56"/>
      <c r="E934" s="14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7"/>
      <c r="Q934" s="57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15.75" customHeight="1" x14ac:dyDescent="0.3">
      <c r="A935" s="56"/>
      <c r="B935" s="56"/>
      <c r="C935" s="56"/>
      <c r="D935" s="56"/>
      <c r="E935" s="14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7"/>
      <c r="Q935" s="57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15.75" customHeight="1" x14ac:dyDescent="0.3">
      <c r="A936" s="56"/>
      <c r="B936" s="56"/>
      <c r="C936" s="56"/>
      <c r="D936" s="56"/>
      <c r="E936" s="14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7"/>
      <c r="Q936" s="57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15.75" customHeight="1" x14ac:dyDescent="0.3">
      <c r="A937" s="56"/>
      <c r="B937" s="56"/>
      <c r="C937" s="56"/>
      <c r="D937" s="56"/>
      <c r="E937" s="14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7"/>
      <c r="Q937" s="57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15.75" customHeight="1" x14ac:dyDescent="0.3">
      <c r="A938" s="56"/>
      <c r="B938" s="56"/>
      <c r="C938" s="56"/>
      <c r="D938" s="56"/>
      <c r="E938" s="14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7"/>
      <c r="Q938" s="57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15.75" customHeight="1" x14ac:dyDescent="0.3">
      <c r="A939" s="56"/>
      <c r="B939" s="56"/>
      <c r="C939" s="56"/>
      <c r="D939" s="56"/>
      <c r="E939" s="14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7"/>
      <c r="Q939" s="57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15.75" customHeight="1" x14ac:dyDescent="0.3">
      <c r="A940" s="56"/>
      <c r="B940" s="56"/>
      <c r="C940" s="56"/>
      <c r="D940" s="56"/>
      <c r="E940" s="14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7"/>
      <c r="Q940" s="57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15.75" customHeight="1" x14ac:dyDescent="0.3">
      <c r="A941" s="56"/>
      <c r="B941" s="56"/>
      <c r="C941" s="56"/>
      <c r="D941" s="56"/>
      <c r="E941" s="14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7"/>
      <c r="Q941" s="57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15.75" customHeight="1" x14ac:dyDescent="0.3">
      <c r="A942" s="56"/>
      <c r="B942" s="56"/>
      <c r="C942" s="56"/>
      <c r="D942" s="56"/>
      <c r="E942" s="14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7"/>
      <c r="Q942" s="57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15.75" customHeight="1" x14ac:dyDescent="0.3">
      <c r="A943" s="56"/>
      <c r="B943" s="56"/>
      <c r="C943" s="56"/>
      <c r="D943" s="56"/>
      <c r="E943" s="14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7"/>
      <c r="Q943" s="57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15.75" customHeight="1" x14ac:dyDescent="0.3">
      <c r="A944" s="56"/>
      <c r="B944" s="56"/>
      <c r="C944" s="56"/>
      <c r="D944" s="56"/>
      <c r="E944" s="14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7"/>
      <c r="Q944" s="57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15.75" customHeight="1" x14ac:dyDescent="0.3">
      <c r="A945" s="56"/>
      <c r="B945" s="56"/>
      <c r="C945" s="56"/>
      <c r="D945" s="56"/>
      <c r="E945" s="14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7"/>
      <c r="Q945" s="57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15.75" customHeight="1" x14ac:dyDescent="0.3">
      <c r="A946" s="56"/>
      <c r="B946" s="56"/>
      <c r="C946" s="56"/>
      <c r="D946" s="56"/>
      <c r="E946" s="14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7"/>
      <c r="Q946" s="57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15.75" customHeight="1" x14ac:dyDescent="0.3">
      <c r="A947" s="56"/>
      <c r="B947" s="56"/>
      <c r="C947" s="56"/>
      <c r="D947" s="56"/>
      <c r="E947" s="14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7"/>
      <c r="Q947" s="57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15.75" customHeight="1" x14ac:dyDescent="0.3">
      <c r="A948" s="56"/>
      <c r="B948" s="56"/>
      <c r="C948" s="56"/>
      <c r="D948" s="56"/>
      <c r="E948" s="14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7"/>
      <c r="Q948" s="57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15.75" customHeight="1" x14ac:dyDescent="0.3">
      <c r="A949" s="56"/>
      <c r="B949" s="56"/>
      <c r="C949" s="56"/>
      <c r="D949" s="56"/>
      <c r="E949" s="14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7"/>
      <c r="Q949" s="57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15.75" customHeight="1" x14ac:dyDescent="0.3">
      <c r="A950" s="56"/>
      <c r="B950" s="56"/>
      <c r="C950" s="56"/>
      <c r="D950" s="56"/>
      <c r="E950" s="14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7"/>
      <c r="Q950" s="57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15.75" customHeight="1" x14ac:dyDescent="0.3">
      <c r="A951" s="56"/>
      <c r="B951" s="56"/>
      <c r="C951" s="56"/>
      <c r="D951" s="56"/>
      <c r="E951" s="14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7"/>
      <c r="Q951" s="57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15.75" customHeight="1" x14ac:dyDescent="0.3">
      <c r="A952" s="56"/>
      <c r="B952" s="56"/>
      <c r="C952" s="56"/>
      <c r="D952" s="56"/>
      <c r="E952" s="14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7"/>
      <c r="Q952" s="57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15.75" customHeight="1" x14ac:dyDescent="0.3">
      <c r="A953" s="56"/>
      <c r="B953" s="56"/>
      <c r="C953" s="56"/>
      <c r="D953" s="56"/>
      <c r="E953" s="14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7"/>
      <c r="Q953" s="57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15.75" customHeight="1" x14ac:dyDescent="0.3">
      <c r="A954" s="56"/>
      <c r="B954" s="56"/>
      <c r="C954" s="56"/>
      <c r="D954" s="56"/>
      <c r="E954" s="14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7"/>
      <c r="Q954" s="57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15.75" customHeight="1" x14ac:dyDescent="0.3">
      <c r="A955" s="56"/>
      <c r="B955" s="56"/>
      <c r="C955" s="56"/>
      <c r="D955" s="56"/>
      <c r="E955" s="14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7"/>
      <c r="Q955" s="57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15.75" customHeight="1" x14ac:dyDescent="0.3">
      <c r="A956" s="56"/>
      <c r="B956" s="56"/>
      <c r="C956" s="56"/>
      <c r="D956" s="56"/>
      <c r="E956" s="14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7"/>
      <c r="Q956" s="57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15.75" customHeight="1" x14ac:dyDescent="0.3">
      <c r="A957" s="56"/>
      <c r="B957" s="56"/>
      <c r="C957" s="56"/>
      <c r="D957" s="56"/>
      <c r="E957" s="14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7"/>
      <c r="Q957" s="57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15.75" customHeight="1" x14ac:dyDescent="0.3">
      <c r="A958" s="56"/>
      <c r="B958" s="56"/>
      <c r="C958" s="56"/>
      <c r="D958" s="56"/>
      <c r="E958" s="14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7"/>
      <c r="Q958" s="57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15.75" customHeight="1" x14ac:dyDescent="0.3">
      <c r="A959" s="56"/>
      <c r="B959" s="56"/>
      <c r="C959" s="56"/>
      <c r="D959" s="56"/>
      <c r="E959" s="14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7"/>
      <c r="Q959" s="57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15.75" customHeight="1" x14ac:dyDescent="0.3">
      <c r="A960" s="56"/>
      <c r="B960" s="56"/>
      <c r="C960" s="56"/>
      <c r="D960" s="56"/>
      <c r="E960" s="14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7"/>
      <c r="Q960" s="57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15.75" customHeight="1" x14ac:dyDescent="0.3">
      <c r="A961" s="56"/>
      <c r="B961" s="56"/>
      <c r="C961" s="56"/>
      <c r="D961" s="56"/>
      <c r="E961" s="14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7"/>
      <c r="Q961" s="57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15.75" customHeight="1" x14ac:dyDescent="0.3">
      <c r="A962" s="56"/>
      <c r="B962" s="56"/>
      <c r="C962" s="56"/>
      <c r="D962" s="56"/>
      <c r="E962" s="14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7"/>
      <c r="Q962" s="57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15.75" customHeight="1" x14ac:dyDescent="0.3">
      <c r="A963" s="56"/>
      <c r="B963" s="56"/>
      <c r="C963" s="56"/>
      <c r="D963" s="56"/>
      <c r="E963" s="14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7"/>
      <c r="Q963" s="57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15.75" customHeight="1" x14ac:dyDescent="0.3">
      <c r="A964" s="56"/>
      <c r="B964" s="56"/>
      <c r="C964" s="56"/>
      <c r="D964" s="56"/>
      <c r="E964" s="14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7"/>
      <c r="Q964" s="57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15.75" customHeight="1" x14ac:dyDescent="0.3">
      <c r="A965" s="56"/>
      <c r="B965" s="56"/>
      <c r="C965" s="56"/>
      <c r="D965" s="56"/>
      <c r="E965" s="14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7"/>
      <c r="Q965" s="57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15.75" customHeight="1" x14ac:dyDescent="0.3">
      <c r="A966" s="56"/>
      <c r="B966" s="56"/>
      <c r="C966" s="56"/>
      <c r="D966" s="56"/>
      <c r="E966" s="14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7"/>
      <c r="Q966" s="57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15.75" customHeight="1" x14ac:dyDescent="0.3">
      <c r="A967" s="56"/>
      <c r="B967" s="56"/>
      <c r="C967" s="56"/>
      <c r="D967" s="56"/>
      <c r="E967" s="14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7"/>
      <c r="Q967" s="57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15.75" customHeight="1" x14ac:dyDescent="0.3">
      <c r="A968" s="56"/>
      <c r="B968" s="56"/>
      <c r="C968" s="56"/>
      <c r="D968" s="56"/>
      <c r="E968" s="14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7"/>
      <c r="Q968" s="57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15.75" customHeight="1" x14ac:dyDescent="0.3">
      <c r="A969" s="56"/>
      <c r="B969" s="56"/>
      <c r="C969" s="56"/>
      <c r="D969" s="56"/>
      <c r="E969" s="14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7"/>
      <c r="Q969" s="57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15.75" customHeight="1" x14ac:dyDescent="0.3">
      <c r="A970" s="56"/>
      <c r="B970" s="56"/>
      <c r="C970" s="56"/>
      <c r="D970" s="56"/>
      <c r="E970" s="14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7"/>
      <c r="Q970" s="57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15.75" customHeight="1" x14ac:dyDescent="0.3">
      <c r="A971" s="56"/>
      <c r="B971" s="56"/>
      <c r="C971" s="56"/>
      <c r="D971" s="56"/>
      <c r="E971" s="14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7"/>
      <c r="Q971" s="57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15.75" customHeight="1" x14ac:dyDescent="0.3">
      <c r="A972" s="56"/>
      <c r="B972" s="56"/>
      <c r="C972" s="56"/>
      <c r="D972" s="56"/>
      <c r="E972" s="14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7"/>
      <c r="Q972" s="57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15.75" customHeight="1" x14ac:dyDescent="0.3">
      <c r="A973" s="56"/>
      <c r="B973" s="56"/>
      <c r="C973" s="56"/>
      <c r="D973" s="56"/>
      <c r="E973" s="14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7"/>
      <c r="Q973" s="57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15.75" customHeight="1" x14ac:dyDescent="0.3">
      <c r="A974" s="56"/>
      <c r="B974" s="56"/>
      <c r="C974" s="56"/>
      <c r="D974" s="56"/>
      <c r="E974" s="14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7"/>
      <c r="Q974" s="57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15.75" customHeight="1" x14ac:dyDescent="0.3">
      <c r="A975" s="56"/>
      <c r="B975" s="56"/>
      <c r="C975" s="56"/>
      <c r="D975" s="56"/>
      <c r="E975" s="14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7"/>
      <c r="Q975" s="57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15.75" customHeight="1" x14ac:dyDescent="0.3">
      <c r="A976" s="56"/>
      <c r="B976" s="56"/>
      <c r="C976" s="56"/>
      <c r="D976" s="56"/>
      <c r="E976" s="14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7"/>
      <c r="Q976" s="57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15.75" customHeight="1" x14ac:dyDescent="0.3">
      <c r="A977" s="56"/>
      <c r="B977" s="56"/>
      <c r="C977" s="56"/>
      <c r="D977" s="56"/>
      <c r="E977" s="14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7"/>
      <c r="Q977" s="57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15.75" customHeight="1" x14ac:dyDescent="0.3">
      <c r="A978" s="56"/>
      <c r="B978" s="56"/>
      <c r="C978" s="56"/>
      <c r="D978" s="56"/>
      <c r="E978" s="14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7"/>
      <c r="Q978" s="57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15.75" customHeight="1" x14ac:dyDescent="0.3">
      <c r="A979" s="56"/>
      <c r="B979" s="56"/>
      <c r="C979" s="56"/>
      <c r="D979" s="56"/>
      <c r="E979" s="14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7"/>
      <c r="Q979" s="57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15.75" customHeight="1" x14ac:dyDescent="0.3">
      <c r="A980" s="56"/>
      <c r="B980" s="56"/>
      <c r="C980" s="56"/>
      <c r="D980" s="56"/>
      <c r="E980" s="14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7"/>
      <c r="Q980" s="57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15.75" customHeight="1" x14ac:dyDescent="0.3">
      <c r="A981" s="56"/>
      <c r="B981" s="56"/>
      <c r="C981" s="56"/>
      <c r="D981" s="56"/>
      <c r="E981" s="14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7"/>
      <c r="Q981" s="57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15.75" customHeight="1" x14ac:dyDescent="0.3">
      <c r="A982" s="56"/>
      <c r="B982" s="56"/>
      <c r="C982" s="56"/>
      <c r="D982" s="56"/>
      <c r="E982" s="14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7"/>
      <c r="Q982" s="57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15.75" customHeight="1" x14ac:dyDescent="0.3">
      <c r="A983" s="56"/>
      <c r="B983" s="56"/>
      <c r="C983" s="56"/>
      <c r="D983" s="56"/>
      <c r="E983" s="14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7"/>
      <c r="Q983" s="57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15.75" customHeight="1" x14ac:dyDescent="0.3">
      <c r="A984" s="56"/>
      <c r="B984" s="56"/>
      <c r="C984" s="56"/>
      <c r="D984" s="56"/>
      <c r="E984" s="14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7"/>
      <c r="Q984" s="57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15.75" customHeight="1" x14ac:dyDescent="0.3">
      <c r="A985" s="56"/>
      <c r="B985" s="56"/>
      <c r="C985" s="56"/>
      <c r="D985" s="56"/>
      <c r="E985" s="14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7"/>
      <c r="Q985" s="57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15.75" customHeight="1" x14ac:dyDescent="0.3">
      <c r="A986" s="56"/>
      <c r="B986" s="56"/>
      <c r="C986" s="56"/>
      <c r="D986" s="56"/>
      <c r="E986" s="14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7"/>
      <c r="Q986" s="57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15.75" customHeight="1" x14ac:dyDescent="0.3">
      <c r="A987" s="56"/>
      <c r="B987" s="56"/>
      <c r="C987" s="56"/>
      <c r="D987" s="56"/>
      <c r="E987" s="14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7"/>
      <c r="Q987" s="57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15.75" customHeight="1" x14ac:dyDescent="0.3">
      <c r="A988" s="56"/>
      <c r="B988" s="56"/>
      <c r="C988" s="56"/>
      <c r="D988" s="56"/>
      <c r="E988" s="14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7"/>
      <c r="Q988" s="57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15.75" customHeight="1" x14ac:dyDescent="0.3">
      <c r="A989" s="56"/>
      <c r="B989" s="56"/>
      <c r="C989" s="56"/>
      <c r="D989" s="56"/>
      <c r="E989" s="14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7"/>
      <c r="Q989" s="57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15.75" customHeight="1" x14ac:dyDescent="0.3">
      <c r="A990" s="56"/>
      <c r="B990" s="56"/>
      <c r="C990" s="56"/>
      <c r="D990" s="56"/>
      <c r="E990" s="14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7"/>
      <c r="Q990" s="57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15.75" customHeight="1" x14ac:dyDescent="0.3">
      <c r="A991" s="56"/>
      <c r="B991" s="56"/>
      <c r="C991" s="56"/>
      <c r="D991" s="56"/>
      <c r="E991" s="14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7"/>
      <c r="Q991" s="57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15.75" customHeight="1" x14ac:dyDescent="0.3">
      <c r="A992" s="56"/>
      <c r="B992" s="56"/>
      <c r="C992" s="56"/>
      <c r="D992" s="56"/>
      <c r="E992" s="14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7"/>
      <c r="Q992" s="57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15.75" customHeight="1" x14ac:dyDescent="0.3">
      <c r="A993" s="56"/>
      <c r="B993" s="56"/>
      <c r="C993" s="56"/>
      <c r="D993" s="56"/>
      <c r="E993" s="14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7"/>
      <c r="Q993" s="57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15.75" customHeight="1" x14ac:dyDescent="0.3">
      <c r="A994" s="56"/>
      <c r="B994" s="56"/>
      <c r="C994" s="56"/>
      <c r="D994" s="56"/>
      <c r="E994" s="14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7"/>
      <c r="Q994" s="57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15.75" customHeight="1" x14ac:dyDescent="0.3">
      <c r="A995" s="56"/>
      <c r="B995" s="56"/>
      <c r="C995" s="56"/>
      <c r="D995" s="56"/>
      <c r="E995" s="14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7"/>
      <c r="Q995" s="57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15.75" customHeight="1" x14ac:dyDescent="0.3">
      <c r="A996" s="56"/>
      <c r="B996" s="56"/>
      <c r="C996" s="56"/>
      <c r="D996" s="56"/>
      <c r="E996" s="14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7"/>
      <c r="Q996" s="57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15.75" customHeight="1" x14ac:dyDescent="0.3">
      <c r="A997" s="56"/>
      <c r="B997" s="56"/>
      <c r="C997" s="56"/>
      <c r="D997" s="56"/>
      <c r="E997" s="14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7"/>
      <c r="Q997" s="57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15.75" customHeight="1" x14ac:dyDescent="0.3">
      <c r="A998" s="56"/>
      <c r="B998" s="56"/>
      <c r="C998" s="56"/>
      <c r="D998" s="56"/>
      <c r="E998" s="14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7"/>
      <c r="Q998" s="57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15.75" customHeight="1" x14ac:dyDescent="0.3">
      <c r="A999" s="56"/>
      <c r="B999" s="56"/>
      <c r="C999" s="56"/>
      <c r="D999" s="56"/>
      <c r="E999" s="14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7"/>
      <c r="Q999" s="57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15.75" customHeight="1" x14ac:dyDescent="0.3">
      <c r="A1000" s="56"/>
      <c r="B1000" s="56"/>
      <c r="C1000" s="56"/>
      <c r="D1000" s="56"/>
      <c r="E1000" s="14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7"/>
      <c r="Q1000" s="57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autoFilter ref="A7:N116" xr:uid="{00000000-0009-0000-0000-000006000000}">
    <sortState xmlns:xlrd2="http://schemas.microsoft.com/office/spreadsheetml/2017/richdata2" ref="A7:N116">
      <sortCondition ref="B7:B116"/>
    </sortState>
  </autoFilter>
  <mergeCells count="4">
    <mergeCell ref="A1:N1"/>
    <mergeCell ref="A2:N2"/>
    <mergeCell ref="A3:N3"/>
    <mergeCell ref="G5:M5"/>
  </mergeCells>
  <pageMargins left="0.7" right="0.7" top="0.75" bottom="0.75" header="0" footer="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720E-0913-47EF-935C-B7C5F2D26A41}">
  <sheetPr>
    <tabColor rgb="FFFF0000"/>
  </sheetPr>
  <dimension ref="A1:Z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6" sqref="G6"/>
    </sheetView>
  </sheetViews>
  <sheetFormatPr baseColWidth="10" defaultColWidth="14.44140625" defaultRowHeight="15" customHeight="1" x14ac:dyDescent="0.3"/>
  <cols>
    <col min="1" max="1" width="11.44140625" customWidth="1"/>
    <col min="2" max="2" width="38.44140625" customWidth="1"/>
    <col min="3" max="4" width="9.109375" customWidth="1"/>
    <col min="5" max="5" width="8.33203125" customWidth="1"/>
    <col min="6" max="7" width="11.33203125" customWidth="1"/>
    <col min="8" max="8" width="14.33203125" customWidth="1"/>
    <col min="9" max="9" width="15.109375" customWidth="1"/>
    <col min="10" max="10" width="6" customWidth="1"/>
    <col min="11" max="11" width="11.6640625" customWidth="1"/>
    <col min="12" max="12" width="6" customWidth="1"/>
    <col min="13" max="14" width="15.6640625" customWidth="1"/>
    <col min="15" max="26" width="11.44140625" customWidth="1"/>
  </cols>
  <sheetData>
    <row r="1" spans="1:26" ht="15" customHeight="1" x14ac:dyDescent="0.3">
      <c r="A1" s="357" t="s">
        <v>115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56"/>
      <c r="P1" s="57"/>
      <c r="Q1" s="57"/>
      <c r="R1" s="56"/>
      <c r="S1" s="56"/>
      <c r="T1" s="56"/>
      <c r="U1" s="56"/>
      <c r="V1" s="56"/>
      <c r="W1" s="56"/>
      <c r="X1" s="56"/>
      <c r="Y1" s="56"/>
      <c r="Z1" s="56"/>
    </row>
    <row r="2" spans="1:26" ht="15" customHeight="1" x14ac:dyDescent="0.3">
      <c r="A2" s="357" t="s">
        <v>0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56"/>
      <c r="P2" s="57"/>
      <c r="Q2" s="57"/>
      <c r="R2" s="56"/>
      <c r="S2" s="56"/>
      <c r="T2" s="56"/>
      <c r="U2" s="56"/>
      <c r="V2" s="56"/>
      <c r="W2" s="56"/>
      <c r="X2" s="56"/>
      <c r="Y2" s="56"/>
      <c r="Z2" s="56"/>
    </row>
    <row r="3" spans="1:26" ht="15" customHeight="1" x14ac:dyDescent="0.3">
      <c r="A3" s="357" t="s">
        <v>64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56"/>
      <c r="P3" s="57"/>
      <c r="Q3" s="57"/>
      <c r="R3" s="56"/>
      <c r="S3" s="56"/>
      <c r="T3" s="56"/>
      <c r="U3" s="56"/>
      <c r="V3" s="56"/>
      <c r="W3" s="56"/>
      <c r="X3" s="56"/>
      <c r="Y3" s="56"/>
      <c r="Z3" s="56"/>
    </row>
    <row r="4" spans="1:26" ht="15.75" customHeight="1" x14ac:dyDescent="0.3">
      <c r="A4" s="58"/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59"/>
      <c r="N4" s="59"/>
      <c r="O4" s="56"/>
      <c r="P4" s="57"/>
      <c r="Q4" s="57"/>
      <c r="R4" s="56"/>
      <c r="S4" s="56"/>
      <c r="T4" s="56"/>
      <c r="U4" s="56"/>
      <c r="V4" s="56"/>
      <c r="W4" s="56"/>
      <c r="X4" s="56"/>
      <c r="Y4" s="56"/>
      <c r="Z4" s="56"/>
    </row>
    <row r="5" spans="1:26" ht="18" x14ac:dyDescent="0.35">
      <c r="A5" s="56"/>
      <c r="B5" s="56"/>
      <c r="C5" s="56"/>
      <c r="D5" s="56"/>
      <c r="E5" s="14"/>
      <c r="G5" s="361" t="s">
        <v>223</v>
      </c>
      <c r="H5" s="362"/>
      <c r="I5" s="362"/>
      <c r="J5" s="362"/>
      <c r="K5" s="362"/>
      <c r="L5" s="362"/>
      <c r="M5" s="362"/>
      <c r="O5" s="56"/>
      <c r="P5" s="57"/>
      <c r="Q5" s="57"/>
      <c r="R5" s="56"/>
      <c r="S5" s="56"/>
      <c r="T5" s="56"/>
      <c r="U5" s="56"/>
      <c r="V5" s="56"/>
      <c r="W5" s="56"/>
      <c r="X5" s="56"/>
      <c r="Y5" s="56"/>
      <c r="Z5" s="56"/>
    </row>
    <row r="6" spans="1:26" ht="18" x14ac:dyDescent="0.35">
      <c r="A6" s="56"/>
      <c r="B6" s="56"/>
      <c r="C6" s="56"/>
      <c r="D6" s="56"/>
      <c r="E6" s="14"/>
      <c r="G6" s="61"/>
      <c r="H6" s="61"/>
      <c r="I6" s="61"/>
      <c r="J6" s="61"/>
      <c r="K6" s="61"/>
      <c r="L6" s="61"/>
      <c r="M6" s="61"/>
      <c r="O6" s="56"/>
      <c r="P6" s="57"/>
      <c r="Q6" s="57"/>
      <c r="R6" s="56"/>
      <c r="S6" s="56"/>
      <c r="T6" s="56"/>
      <c r="U6" s="56"/>
      <c r="V6" s="56"/>
      <c r="W6" s="56"/>
      <c r="X6" s="56"/>
      <c r="Y6" s="56"/>
      <c r="Z6" s="56"/>
    </row>
    <row r="7" spans="1:26" ht="66" customHeight="1" x14ac:dyDescent="0.3">
      <c r="A7" s="62" t="s">
        <v>117</v>
      </c>
      <c r="B7" s="63" t="s">
        <v>118</v>
      </c>
      <c r="C7" s="140" t="s">
        <v>217</v>
      </c>
      <c r="D7" s="140" t="s">
        <v>218</v>
      </c>
      <c r="E7" s="64" t="s">
        <v>121</v>
      </c>
      <c r="F7" s="65" t="s">
        <v>122</v>
      </c>
      <c r="G7" s="65" t="s">
        <v>123</v>
      </c>
      <c r="H7" s="66" t="s">
        <v>124</v>
      </c>
      <c r="I7" s="66" t="s">
        <v>125</v>
      </c>
      <c r="J7" s="67" t="s">
        <v>126</v>
      </c>
      <c r="K7" s="68" t="s">
        <v>127</v>
      </c>
      <c r="L7" s="69" t="s">
        <v>128</v>
      </c>
      <c r="M7" s="70" t="s">
        <v>129</v>
      </c>
      <c r="N7" s="71" t="s">
        <v>130</v>
      </c>
      <c r="O7" s="56"/>
      <c r="P7" s="57"/>
      <c r="Q7" s="57"/>
      <c r="R7" s="56"/>
      <c r="S7" s="56"/>
      <c r="T7" s="56"/>
      <c r="U7" s="56"/>
      <c r="V7" s="56"/>
      <c r="W7" s="56"/>
      <c r="X7" s="56"/>
      <c r="Y7" s="56"/>
      <c r="Z7" s="56"/>
    </row>
    <row r="8" spans="1:26" ht="15.6" x14ac:dyDescent="0.3">
      <c r="A8" s="72">
        <v>2220001</v>
      </c>
      <c r="B8" s="73" t="s">
        <v>12</v>
      </c>
      <c r="C8" s="73">
        <v>36.5</v>
      </c>
      <c r="D8" s="73">
        <v>36.5</v>
      </c>
      <c r="E8" s="74" t="s">
        <v>131</v>
      </c>
      <c r="F8" s="75">
        <v>22</v>
      </c>
      <c r="G8" s="75">
        <v>49</v>
      </c>
      <c r="H8" s="76">
        <v>324</v>
      </c>
      <c r="I8" s="77">
        <v>337</v>
      </c>
      <c r="J8" s="77"/>
      <c r="K8" s="78">
        <v>338</v>
      </c>
      <c r="L8" s="79"/>
      <c r="M8" s="79">
        <f>F8+H8-K8</f>
        <v>8</v>
      </c>
      <c r="N8" s="75">
        <f>G8+I8-K8</f>
        <v>48</v>
      </c>
      <c r="O8" s="75"/>
      <c r="P8" s="57"/>
      <c r="Q8" s="57"/>
      <c r="R8" s="56"/>
      <c r="S8" s="56"/>
      <c r="T8" s="56"/>
      <c r="U8" s="56"/>
      <c r="V8" s="56"/>
      <c r="W8" s="56"/>
      <c r="X8" s="56"/>
      <c r="Y8" s="56"/>
      <c r="Z8" s="56"/>
    </row>
    <row r="9" spans="1:26" ht="15.6" x14ac:dyDescent="0.3">
      <c r="A9" s="72">
        <v>2220044</v>
      </c>
      <c r="B9" s="73" t="s">
        <v>132</v>
      </c>
      <c r="C9" s="73">
        <v>305</v>
      </c>
      <c r="D9" s="73">
        <v>305</v>
      </c>
      <c r="E9" s="74" t="s">
        <v>133</v>
      </c>
      <c r="F9" s="75">
        <v>76</v>
      </c>
      <c r="G9" s="75">
        <v>76</v>
      </c>
      <c r="H9" s="80">
        <v>547</v>
      </c>
      <c r="I9" s="81">
        <v>547</v>
      </c>
      <c r="J9" s="81"/>
      <c r="K9" s="82">
        <v>623</v>
      </c>
      <c r="L9" s="79"/>
      <c r="M9" s="79">
        <f t="shared" ref="M9:M72" si="0">F9+H9-K9</f>
        <v>0</v>
      </c>
      <c r="N9" s="75">
        <f t="shared" ref="N9:N72" si="1">G9+I9-K9</f>
        <v>0</v>
      </c>
      <c r="O9" s="56"/>
      <c r="P9" s="57"/>
      <c r="Q9" s="57"/>
      <c r="R9" s="56"/>
      <c r="S9" s="56"/>
      <c r="T9" s="56"/>
      <c r="U9" s="56"/>
      <c r="V9" s="56"/>
      <c r="W9" s="56"/>
      <c r="X9" s="56"/>
      <c r="Y9" s="56"/>
      <c r="Z9" s="56"/>
    </row>
    <row r="10" spans="1:26" ht="15.6" x14ac:dyDescent="0.3">
      <c r="A10" s="72">
        <v>2220002</v>
      </c>
      <c r="B10" s="73" t="s">
        <v>14</v>
      </c>
      <c r="C10" s="73">
        <v>57.3</v>
      </c>
      <c r="D10" s="73">
        <v>57.3</v>
      </c>
      <c r="E10" s="74" t="s">
        <v>131</v>
      </c>
      <c r="F10" s="75">
        <v>-194</v>
      </c>
      <c r="G10" s="75">
        <v>93</v>
      </c>
      <c r="H10" s="80">
        <v>597</v>
      </c>
      <c r="I10" s="81">
        <v>609</v>
      </c>
      <c r="J10" s="81"/>
      <c r="K10" s="78">
        <v>605</v>
      </c>
      <c r="L10" s="79"/>
      <c r="M10" s="79">
        <f t="shared" si="0"/>
        <v>-202</v>
      </c>
      <c r="N10" s="75">
        <f t="shared" si="1"/>
        <v>97</v>
      </c>
      <c r="O10" s="56"/>
      <c r="P10" s="57"/>
      <c r="Q10" s="57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5.6" x14ac:dyDescent="0.3">
      <c r="A11" s="72">
        <v>2220085</v>
      </c>
      <c r="B11" s="73" t="s">
        <v>134</v>
      </c>
      <c r="C11" s="73">
        <v>2725</v>
      </c>
      <c r="D11" s="73">
        <v>2725</v>
      </c>
      <c r="E11" s="74" t="s">
        <v>135</v>
      </c>
      <c r="F11" s="75">
        <v>1</v>
      </c>
      <c r="G11" s="75">
        <v>1</v>
      </c>
      <c r="H11" s="80">
        <v>0</v>
      </c>
      <c r="I11" s="81">
        <v>0</v>
      </c>
      <c r="J11" s="81"/>
      <c r="K11" s="82">
        <v>0</v>
      </c>
      <c r="L11" s="79"/>
      <c r="M11" s="79">
        <f t="shared" si="0"/>
        <v>1</v>
      </c>
      <c r="N11" s="75">
        <f t="shared" si="1"/>
        <v>1</v>
      </c>
      <c r="O11" s="56"/>
      <c r="P11" s="57"/>
      <c r="Q11" s="57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5.6" x14ac:dyDescent="0.3">
      <c r="A12" s="72">
        <v>2220003</v>
      </c>
      <c r="B12" s="73" t="s">
        <v>136</v>
      </c>
      <c r="C12" s="73">
        <v>29.2</v>
      </c>
      <c r="D12" s="73">
        <v>29.2</v>
      </c>
      <c r="E12" s="74" t="s">
        <v>137</v>
      </c>
      <c r="F12" s="75">
        <v>-6.4999999999999982</v>
      </c>
      <c r="G12" s="75">
        <v>4.100000000000005</v>
      </c>
      <c r="H12" s="80">
        <v>12</v>
      </c>
      <c r="I12" s="81">
        <v>13.7</v>
      </c>
      <c r="J12" s="81"/>
      <c r="K12" s="83">
        <v>15.5</v>
      </c>
      <c r="L12" s="79"/>
      <c r="M12" s="79">
        <f t="shared" si="0"/>
        <v>-9.9999999999999982</v>
      </c>
      <c r="N12" s="75">
        <f t="shared" si="1"/>
        <v>2.3000000000000043</v>
      </c>
      <c r="O12" s="56"/>
      <c r="P12" s="57"/>
      <c r="Q12" s="57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5.6" x14ac:dyDescent="0.3">
      <c r="A13" s="72">
        <v>2220030</v>
      </c>
      <c r="B13" s="73" t="s">
        <v>138</v>
      </c>
      <c r="C13" s="73">
        <v>62.5</v>
      </c>
      <c r="D13" s="73">
        <v>62.5</v>
      </c>
      <c r="E13" s="74" t="s">
        <v>137</v>
      </c>
      <c r="F13" s="75">
        <v>15</v>
      </c>
      <c r="G13" s="75">
        <v>15</v>
      </c>
      <c r="H13" s="80">
        <v>10</v>
      </c>
      <c r="I13" s="81">
        <v>10</v>
      </c>
      <c r="J13" s="81"/>
      <c r="K13" s="83">
        <v>4</v>
      </c>
      <c r="L13" s="79"/>
      <c r="M13" s="79">
        <f t="shared" si="0"/>
        <v>21</v>
      </c>
      <c r="N13" s="75">
        <f t="shared" si="1"/>
        <v>21</v>
      </c>
      <c r="O13" s="56"/>
      <c r="P13" s="57"/>
      <c r="Q13" s="57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5.6" x14ac:dyDescent="0.3">
      <c r="A14" s="72">
        <v>2220138</v>
      </c>
      <c r="B14" s="73" t="s">
        <v>139</v>
      </c>
      <c r="C14" s="73">
        <v>1100</v>
      </c>
      <c r="D14" s="73">
        <v>1100</v>
      </c>
      <c r="E14" s="74" t="s">
        <v>135</v>
      </c>
      <c r="F14" s="75">
        <v>3</v>
      </c>
      <c r="G14" s="75">
        <v>3</v>
      </c>
      <c r="H14" s="80">
        <v>3</v>
      </c>
      <c r="I14" s="81">
        <v>3</v>
      </c>
      <c r="J14" s="81"/>
      <c r="K14" s="82">
        <v>2</v>
      </c>
      <c r="L14" s="79"/>
      <c r="M14" s="79">
        <f t="shared" si="0"/>
        <v>4</v>
      </c>
      <c r="N14" s="75">
        <f t="shared" si="1"/>
        <v>4</v>
      </c>
      <c r="O14" s="56"/>
      <c r="P14" s="57"/>
      <c r="Q14" s="57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5.6" x14ac:dyDescent="0.3">
      <c r="A15" s="72">
        <v>2220046</v>
      </c>
      <c r="B15" s="73" t="s">
        <v>140</v>
      </c>
      <c r="C15" s="73">
        <v>1250</v>
      </c>
      <c r="D15" s="73">
        <v>1250</v>
      </c>
      <c r="E15" s="74" t="s">
        <v>135</v>
      </c>
      <c r="F15" s="75">
        <v>0</v>
      </c>
      <c r="G15" s="75">
        <v>0</v>
      </c>
      <c r="H15" s="80">
        <v>0</v>
      </c>
      <c r="I15" s="81">
        <v>0</v>
      </c>
      <c r="J15" s="81"/>
      <c r="K15" s="83">
        <v>0</v>
      </c>
      <c r="L15" s="79"/>
      <c r="M15" s="79">
        <f t="shared" si="0"/>
        <v>0</v>
      </c>
      <c r="N15" s="75">
        <f t="shared" si="1"/>
        <v>0</v>
      </c>
      <c r="O15" s="56"/>
      <c r="P15" s="57"/>
      <c r="Q15" s="57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5.6" x14ac:dyDescent="0.3">
      <c r="A16" s="72">
        <v>2220134</v>
      </c>
      <c r="B16" s="73" t="s">
        <v>141</v>
      </c>
      <c r="C16" s="73">
        <v>1197.1199999999999</v>
      </c>
      <c r="D16" s="73">
        <v>1197.1199999999999</v>
      </c>
      <c r="E16" s="74" t="s">
        <v>133</v>
      </c>
      <c r="F16" s="75">
        <v>0</v>
      </c>
      <c r="G16" s="75">
        <v>0</v>
      </c>
      <c r="H16" s="80">
        <v>0</v>
      </c>
      <c r="I16" s="81">
        <v>0</v>
      </c>
      <c r="J16" s="81"/>
      <c r="K16" s="83">
        <v>0</v>
      </c>
      <c r="L16" s="79"/>
      <c r="M16" s="79">
        <f t="shared" si="0"/>
        <v>0</v>
      </c>
      <c r="N16" s="75">
        <f t="shared" si="1"/>
        <v>0</v>
      </c>
      <c r="O16" s="56"/>
      <c r="P16" s="57"/>
      <c r="Q16" s="57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5.6" x14ac:dyDescent="0.3">
      <c r="A17" s="72">
        <v>2220094</v>
      </c>
      <c r="B17" s="73" t="s">
        <v>142</v>
      </c>
      <c r="C17" s="73">
        <v>850</v>
      </c>
      <c r="D17" s="73">
        <v>850</v>
      </c>
      <c r="E17" s="74"/>
      <c r="F17" s="75">
        <v>0</v>
      </c>
      <c r="G17" s="75">
        <v>0</v>
      </c>
      <c r="H17" s="84">
        <v>0</v>
      </c>
      <c r="I17" s="85">
        <v>0</v>
      </c>
      <c r="J17" s="85"/>
      <c r="K17" s="86">
        <v>0</v>
      </c>
      <c r="L17" s="79"/>
      <c r="M17" s="79">
        <f t="shared" si="0"/>
        <v>0</v>
      </c>
      <c r="N17" s="75">
        <f t="shared" si="1"/>
        <v>0</v>
      </c>
      <c r="O17" s="56"/>
      <c r="P17" s="57"/>
      <c r="Q17" s="57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5.6" x14ac:dyDescent="0.3">
      <c r="A18" s="72">
        <v>2220004</v>
      </c>
      <c r="B18" s="73" t="s">
        <v>16</v>
      </c>
      <c r="C18" s="73">
        <v>39.1</v>
      </c>
      <c r="D18" s="73">
        <v>39.1</v>
      </c>
      <c r="E18" s="74" t="s">
        <v>137</v>
      </c>
      <c r="F18" s="75">
        <v>16.36</v>
      </c>
      <c r="G18" s="75">
        <v>9.2999999999999972</v>
      </c>
      <c r="H18" s="80">
        <v>69</v>
      </c>
      <c r="I18" s="81">
        <v>69.05</v>
      </c>
      <c r="J18" s="81"/>
      <c r="K18" s="83">
        <v>67.849999999999994</v>
      </c>
      <c r="L18" s="79"/>
      <c r="M18" s="79">
        <f t="shared" si="0"/>
        <v>17.510000000000005</v>
      </c>
      <c r="N18" s="75">
        <f t="shared" si="1"/>
        <v>10.5</v>
      </c>
      <c r="O18" s="56"/>
      <c r="P18" s="57"/>
      <c r="Q18" s="57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5.6" x14ac:dyDescent="0.3">
      <c r="A19" s="72">
        <v>2220005</v>
      </c>
      <c r="B19" s="73" t="s">
        <v>62</v>
      </c>
      <c r="C19" s="73">
        <v>93.5</v>
      </c>
      <c r="D19" s="73">
        <v>93.5</v>
      </c>
      <c r="E19" s="74" t="s">
        <v>137</v>
      </c>
      <c r="F19" s="75">
        <v>5.1000000000000014</v>
      </c>
      <c r="G19" s="75">
        <v>5.0999999999999979</v>
      </c>
      <c r="H19" s="84">
        <v>15</v>
      </c>
      <c r="I19" s="85">
        <v>14.65</v>
      </c>
      <c r="J19" s="87"/>
      <c r="K19" s="86">
        <v>20.45</v>
      </c>
      <c r="L19" s="88"/>
      <c r="M19" s="79">
        <f t="shared" si="0"/>
        <v>-0.34999999999999787</v>
      </c>
      <c r="N19" s="75">
        <f t="shared" si="1"/>
        <v>-0.69999999999999929</v>
      </c>
      <c r="O19" s="56"/>
      <c r="P19" s="57"/>
      <c r="Q19" s="57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5.6" x14ac:dyDescent="0.3">
      <c r="A20" s="72">
        <v>2220006</v>
      </c>
      <c r="B20" s="73" t="s">
        <v>17</v>
      </c>
      <c r="C20" s="73">
        <v>36.5</v>
      </c>
      <c r="D20" s="73">
        <v>36.5</v>
      </c>
      <c r="E20" s="74" t="s">
        <v>137</v>
      </c>
      <c r="F20" s="75">
        <v>-0.84500000000000597</v>
      </c>
      <c r="G20" s="75">
        <v>5.9500000000000028</v>
      </c>
      <c r="H20" s="80">
        <v>45</v>
      </c>
      <c r="I20" s="76">
        <v>45.15</v>
      </c>
      <c r="J20" s="80"/>
      <c r="K20" s="83">
        <v>44.1</v>
      </c>
      <c r="L20" s="79"/>
      <c r="M20" s="79">
        <f t="shared" si="0"/>
        <v>5.499999999999261E-2</v>
      </c>
      <c r="N20" s="75">
        <f t="shared" si="1"/>
        <v>7</v>
      </c>
      <c r="O20" s="56"/>
      <c r="P20" s="57"/>
      <c r="Q20" s="57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5.75" customHeight="1" x14ac:dyDescent="0.3">
      <c r="A21" s="72">
        <v>2220089</v>
      </c>
      <c r="B21" s="73" t="s">
        <v>143</v>
      </c>
      <c r="C21" s="73">
        <v>420</v>
      </c>
      <c r="D21" s="73">
        <v>420</v>
      </c>
      <c r="E21" s="74" t="s">
        <v>137</v>
      </c>
      <c r="F21" s="75">
        <v>0</v>
      </c>
      <c r="G21" s="75">
        <v>0</v>
      </c>
      <c r="H21" s="80">
        <v>0</v>
      </c>
      <c r="I21" s="77">
        <v>0</v>
      </c>
      <c r="J21" s="81"/>
      <c r="K21" s="83">
        <v>0</v>
      </c>
      <c r="L21" s="79"/>
      <c r="M21" s="79">
        <f t="shared" si="0"/>
        <v>0</v>
      </c>
      <c r="N21" s="75">
        <f t="shared" si="1"/>
        <v>0</v>
      </c>
      <c r="O21" s="56"/>
      <c r="P21" s="57"/>
      <c r="Q21" s="57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5.75" customHeight="1" x14ac:dyDescent="0.3">
      <c r="A22" s="72">
        <v>2220072</v>
      </c>
      <c r="B22" s="73" t="s">
        <v>144</v>
      </c>
      <c r="C22" s="73">
        <v>350</v>
      </c>
      <c r="D22" s="73">
        <v>350</v>
      </c>
      <c r="E22" s="74" t="s">
        <v>133</v>
      </c>
      <c r="F22" s="75">
        <v>1</v>
      </c>
      <c r="G22" s="75">
        <v>1</v>
      </c>
      <c r="H22" s="80">
        <v>0</v>
      </c>
      <c r="I22" s="76">
        <v>0</v>
      </c>
      <c r="J22" s="81"/>
      <c r="K22" s="83">
        <v>0</v>
      </c>
      <c r="L22" s="79"/>
      <c r="M22" s="79">
        <f t="shared" si="0"/>
        <v>1</v>
      </c>
      <c r="N22" s="75">
        <f t="shared" si="1"/>
        <v>1</v>
      </c>
      <c r="O22" s="56"/>
      <c r="P22" s="57"/>
      <c r="Q22" s="57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5.75" customHeight="1" x14ac:dyDescent="0.3">
      <c r="A23" s="72">
        <v>2220090</v>
      </c>
      <c r="B23" s="73" t="s">
        <v>145</v>
      </c>
      <c r="C23" s="73">
        <v>520</v>
      </c>
      <c r="D23" s="73">
        <v>520</v>
      </c>
      <c r="E23" s="74" t="s">
        <v>137</v>
      </c>
      <c r="F23" s="75">
        <v>0</v>
      </c>
      <c r="G23" s="75">
        <v>0</v>
      </c>
      <c r="H23" s="80">
        <v>0</v>
      </c>
      <c r="I23" s="81">
        <v>0</v>
      </c>
      <c r="J23" s="81"/>
      <c r="K23" s="83">
        <v>0</v>
      </c>
      <c r="L23" s="79"/>
      <c r="M23" s="79">
        <f t="shared" si="0"/>
        <v>0</v>
      </c>
      <c r="N23" s="75">
        <f t="shared" si="1"/>
        <v>0</v>
      </c>
      <c r="O23" s="56"/>
      <c r="P23" s="57"/>
      <c r="Q23" s="57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5.75" customHeight="1" x14ac:dyDescent="0.3">
      <c r="A24" s="72">
        <v>2220007</v>
      </c>
      <c r="B24" s="73" t="s">
        <v>37</v>
      </c>
      <c r="C24" s="73">
        <v>85.5</v>
      </c>
      <c r="D24" s="73">
        <v>85.5</v>
      </c>
      <c r="E24" s="74" t="s">
        <v>137</v>
      </c>
      <c r="F24" s="75">
        <v>-4.5500000000000007</v>
      </c>
      <c r="G24" s="75">
        <v>2.8000000000000007</v>
      </c>
      <c r="H24" s="80">
        <v>18</v>
      </c>
      <c r="I24" s="81">
        <v>18.100000000000001</v>
      </c>
      <c r="J24" s="81"/>
      <c r="K24" s="83">
        <v>17.399999999999999</v>
      </c>
      <c r="L24" s="79"/>
      <c r="M24" s="79">
        <f t="shared" si="0"/>
        <v>-3.9499999999999993</v>
      </c>
      <c r="N24" s="75">
        <f t="shared" si="1"/>
        <v>3.5000000000000036</v>
      </c>
      <c r="O24" s="56"/>
      <c r="P24" s="57"/>
      <c r="Q24" s="57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30" x14ac:dyDescent="0.3">
      <c r="A25" s="72">
        <v>2220050</v>
      </c>
      <c r="B25" s="73" t="s">
        <v>146</v>
      </c>
      <c r="C25" s="73">
        <v>1392</v>
      </c>
      <c r="D25" s="73">
        <v>1392</v>
      </c>
      <c r="E25" s="74" t="s">
        <v>135</v>
      </c>
      <c r="F25" s="75">
        <v>16</v>
      </c>
      <c r="G25" s="75">
        <v>16</v>
      </c>
      <c r="H25" s="89">
        <v>9</v>
      </c>
      <c r="I25" s="90">
        <v>9</v>
      </c>
      <c r="J25" s="81"/>
      <c r="K25" s="83">
        <v>6</v>
      </c>
      <c r="L25" s="79"/>
      <c r="M25" s="79">
        <f t="shared" si="0"/>
        <v>19</v>
      </c>
      <c r="N25" s="75">
        <f t="shared" si="1"/>
        <v>19</v>
      </c>
      <c r="O25" s="56"/>
      <c r="P25" s="57"/>
      <c r="Q25" s="57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5.75" customHeight="1" x14ac:dyDescent="0.3">
      <c r="A26" s="72">
        <v>2220042</v>
      </c>
      <c r="B26" s="73" t="s">
        <v>147</v>
      </c>
      <c r="C26" s="73">
        <v>215</v>
      </c>
      <c r="D26" s="73">
        <v>215</v>
      </c>
      <c r="E26" s="74" t="s">
        <v>137</v>
      </c>
      <c r="F26" s="75">
        <v>-30.399999999999977</v>
      </c>
      <c r="G26" s="75">
        <v>128.19999999999982</v>
      </c>
      <c r="H26" s="80">
        <v>750</v>
      </c>
      <c r="I26" s="81">
        <v>810.6</v>
      </c>
      <c r="J26" s="81"/>
      <c r="K26" s="83">
        <v>951.65</v>
      </c>
      <c r="L26" s="79"/>
      <c r="M26" s="79">
        <f t="shared" si="0"/>
        <v>-232.04999999999995</v>
      </c>
      <c r="N26" s="75">
        <f t="shared" si="1"/>
        <v>-12.850000000000136</v>
      </c>
      <c r="O26" s="56"/>
      <c r="P26" s="57"/>
      <c r="Q26" s="57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5.75" customHeight="1" x14ac:dyDescent="0.3">
      <c r="A27" s="72">
        <v>2220068</v>
      </c>
      <c r="B27" s="73" t="s">
        <v>148</v>
      </c>
      <c r="C27" s="73">
        <v>519.67999999999995</v>
      </c>
      <c r="D27" s="73">
        <v>519.67999999999995</v>
      </c>
      <c r="E27" s="74" t="s">
        <v>133</v>
      </c>
      <c r="F27" s="75">
        <v>5</v>
      </c>
      <c r="G27" s="75">
        <v>5</v>
      </c>
      <c r="H27" s="80">
        <v>0</v>
      </c>
      <c r="I27" s="81">
        <v>0</v>
      </c>
      <c r="J27" s="81"/>
      <c r="K27" s="83">
        <v>0</v>
      </c>
      <c r="L27" s="79"/>
      <c r="M27" s="79">
        <f t="shared" si="0"/>
        <v>5</v>
      </c>
      <c r="N27" s="75">
        <f t="shared" si="1"/>
        <v>5</v>
      </c>
      <c r="O27" s="56"/>
      <c r="P27" s="57"/>
      <c r="Q27" s="57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5.75" customHeight="1" x14ac:dyDescent="0.3">
      <c r="A28" s="72">
        <v>2220008</v>
      </c>
      <c r="B28" s="73" t="s">
        <v>18</v>
      </c>
      <c r="C28" s="73">
        <v>40</v>
      </c>
      <c r="D28" s="73">
        <v>40</v>
      </c>
      <c r="E28" s="74" t="s">
        <v>137</v>
      </c>
      <c r="F28" s="75">
        <v>-2.0499999999999901</v>
      </c>
      <c r="G28" s="75">
        <v>6.8500000000000014</v>
      </c>
      <c r="H28" s="80">
        <v>45</v>
      </c>
      <c r="I28" s="81">
        <v>45.65</v>
      </c>
      <c r="J28" s="81"/>
      <c r="K28" s="83">
        <v>44.85</v>
      </c>
      <c r="L28" s="79"/>
      <c r="M28" s="79">
        <f t="shared" si="0"/>
        <v>-1.8999999999999915</v>
      </c>
      <c r="N28" s="75">
        <f t="shared" si="1"/>
        <v>7.6499999999999986</v>
      </c>
      <c r="O28" s="56"/>
      <c r="P28" s="57"/>
      <c r="Q28" s="57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30" x14ac:dyDescent="0.3">
      <c r="A29" s="72">
        <v>2220066</v>
      </c>
      <c r="B29" s="73" t="s">
        <v>149</v>
      </c>
      <c r="C29" s="73">
        <v>510</v>
      </c>
      <c r="D29" s="73">
        <v>510</v>
      </c>
      <c r="E29" s="74" t="s">
        <v>133</v>
      </c>
      <c r="F29" s="75">
        <v>0</v>
      </c>
      <c r="G29" s="75">
        <v>0</v>
      </c>
      <c r="H29" s="80">
        <v>0</v>
      </c>
      <c r="I29" s="81">
        <v>0</v>
      </c>
      <c r="J29" s="81"/>
      <c r="K29" s="83">
        <v>0</v>
      </c>
      <c r="L29" s="79"/>
      <c r="M29" s="79">
        <f t="shared" si="0"/>
        <v>0</v>
      </c>
      <c r="N29" s="75">
        <f t="shared" si="1"/>
        <v>0</v>
      </c>
      <c r="O29" s="56"/>
      <c r="P29" s="57"/>
      <c r="Q29" s="57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5.75" customHeight="1" x14ac:dyDescent="0.3">
      <c r="A30" s="72">
        <v>2220009</v>
      </c>
      <c r="B30" s="73" t="s">
        <v>19</v>
      </c>
      <c r="C30" s="73">
        <v>41.5</v>
      </c>
      <c r="D30" s="73">
        <v>41.5</v>
      </c>
      <c r="E30" s="74" t="s">
        <v>137</v>
      </c>
      <c r="F30" s="75">
        <v>-5.1500000000000039</v>
      </c>
      <c r="G30" s="75">
        <v>1.1500000000000004</v>
      </c>
      <c r="H30" s="80">
        <v>7.5</v>
      </c>
      <c r="I30" s="81">
        <v>8.3000000000000007</v>
      </c>
      <c r="J30" s="81"/>
      <c r="K30" s="83">
        <v>8.5</v>
      </c>
      <c r="L30" s="79"/>
      <c r="M30" s="79">
        <f t="shared" si="0"/>
        <v>-6.1500000000000039</v>
      </c>
      <c r="N30" s="75">
        <f t="shared" si="1"/>
        <v>0.95000000000000107</v>
      </c>
      <c r="O30" s="56"/>
      <c r="P30" s="57"/>
      <c r="Q30" s="57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5.75" customHeight="1" x14ac:dyDescent="0.3">
      <c r="A31" s="72">
        <v>2220010</v>
      </c>
      <c r="B31" s="73" t="s">
        <v>72</v>
      </c>
      <c r="C31" s="73">
        <v>20.7</v>
      </c>
      <c r="D31" s="73">
        <v>20.7</v>
      </c>
      <c r="E31" s="74" t="s">
        <v>131</v>
      </c>
      <c r="F31" s="75">
        <v>25</v>
      </c>
      <c r="G31" s="75">
        <v>17</v>
      </c>
      <c r="H31" s="80">
        <v>84</v>
      </c>
      <c r="I31" s="81">
        <v>82</v>
      </c>
      <c r="J31" s="81"/>
      <c r="K31" s="83">
        <v>82</v>
      </c>
      <c r="L31" s="79"/>
      <c r="M31" s="79">
        <f t="shared" si="0"/>
        <v>27</v>
      </c>
      <c r="N31" s="75">
        <f t="shared" si="1"/>
        <v>17</v>
      </c>
      <c r="O31" s="56"/>
      <c r="P31" s="57"/>
      <c r="Q31" s="57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5.75" customHeight="1" x14ac:dyDescent="0.3">
      <c r="A32" s="72">
        <v>2220011</v>
      </c>
      <c r="B32" s="73" t="s">
        <v>21</v>
      </c>
      <c r="C32" s="73">
        <v>46.9</v>
      </c>
      <c r="D32" s="73">
        <v>46.9</v>
      </c>
      <c r="E32" s="74" t="s">
        <v>133</v>
      </c>
      <c r="F32" s="75">
        <v>20</v>
      </c>
      <c r="G32" s="75">
        <v>11</v>
      </c>
      <c r="H32" s="80">
        <v>78</v>
      </c>
      <c r="I32" s="81">
        <v>78</v>
      </c>
      <c r="J32" s="81"/>
      <c r="K32" s="83">
        <v>78</v>
      </c>
      <c r="L32" s="79"/>
      <c r="M32" s="79">
        <f t="shared" si="0"/>
        <v>20</v>
      </c>
      <c r="N32" s="75">
        <f t="shared" si="1"/>
        <v>11</v>
      </c>
      <c r="O32" s="56"/>
      <c r="P32" s="57"/>
      <c r="Q32" s="57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5.75" customHeight="1" x14ac:dyDescent="0.3">
      <c r="A33" s="72">
        <v>2220070</v>
      </c>
      <c r="B33" s="73" t="s">
        <v>150</v>
      </c>
      <c r="C33" s="73">
        <v>54</v>
      </c>
      <c r="D33" s="73">
        <v>54</v>
      </c>
      <c r="E33" s="74" t="s">
        <v>133</v>
      </c>
      <c r="F33" s="75">
        <v>0</v>
      </c>
      <c r="G33" s="75">
        <v>0</v>
      </c>
      <c r="H33" s="80">
        <v>0</v>
      </c>
      <c r="I33" s="81">
        <v>0</v>
      </c>
      <c r="J33" s="81"/>
      <c r="K33" s="83">
        <v>0</v>
      </c>
      <c r="L33" s="79"/>
      <c r="M33" s="79">
        <f t="shared" si="0"/>
        <v>0</v>
      </c>
      <c r="N33" s="75">
        <f t="shared" si="1"/>
        <v>0</v>
      </c>
      <c r="O33" s="56"/>
      <c r="P33" s="57"/>
      <c r="Q33" s="57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5.75" customHeight="1" x14ac:dyDescent="0.3">
      <c r="A34" s="91">
        <v>2220139</v>
      </c>
      <c r="B34" s="73" t="s">
        <v>46</v>
      </c>
      <c r="C34" s="73">
        <v>890</v>
      </c>
      <c r="D34" s="73">
        <v>890</v>
      </c>
      <c r="E34" s="74" t="s">
        <v>135</v>
      </c>
      <c r="F34" s="75">
        <v>8</v>
      </c>
      <c r="G34" s="75">
        <v>8</v>
      </c>
      <c r="H34" s="84">
        <v>21</v>
      </c>
      <c r="I34" s="85">
        <v>21</v>
      </c>
      <c r="J34" s="85"/>
      <c r="K34" s="86">
        <v>14</v>
      </c>
      <c r="L34" s="88"/>
      <c r="M34" s="79">
        <f t="shared" si="0"/>
        <v>15</v>
      </c>
      <c r="N34" s="75">
        <f t="shared" si="1"/>
        <v>15</v>
      </c>
      <c r="O34" s="56"/>
      <c r="P34" s="57"/>
      <c r="Q34" s="57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5.75" customHeight="1" x14ac:dyDescent="0.3">
      <c r="A35" s="72">
        <v>2220047</v>
      </c>
      <c r="B35" s="73" t="s">
        <v>151</v>
      </c>
      <c r="C35" s="73">
        <v>1000</v>
      </c>
      <c r="D35" s="73">
        <v>1000</v>
      </c>
      <c r="E35" s="74" t="s">
        <v>135</v>
      </c>
      <c r="F35" s="75">
        <v>0</v>
      </c>
      <c r="G35" s="75">
        <v>0</v>
      </c>
      <c r="H35" s="84">
        <v>0</v>
      </c>
      <c r="I35" s="85">
        <v>0</v>
      </c>
      <c r="J35" s="85"/>
      <c r="K35" s="86">
        <v>0</v>
      </c>
      <c r="L35" s="88"/>
      <c r="M35" s="79">
        <f t="shared" si="0"/>
        <v>0</v>
      </c>
      <c r="N35" s="75">
        <f t="shared" si="1"/>
        <v>0</v>
      </c>
      <c r="O35" s="56"/>
      <c r="P35" s="57"/>
      <c r="Q35" s="57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5.75" customHeight="1" x14ac:dyDescent="0.3">
      <c r="A36" s="72">
        <v>2220012</v>
      </c>
      <c r="B36" s="73" t="s">
        <v>22</v>
      </c>
      <c r="C36" s="73">
        <v>13.7</v>
      </c>
      <c r="D36" s="73">
        <v>13.7</v>
      </c>
      <c r="E36" s="74" t="s">
        <v>133</v>
      </c>
      <c r="F36" s="75">
        <v>-2</v>
      </c>
      <c r="G36" s="75">
        <v>27</v>
      </c>
      <c r="H36" s="84">
        <v>195</v>
      </c>
      <c r="I36" s="85">
        <v>206</v>
      </c>
      <c r="J36" s="85"/>
      <c r="K36" s="86">
        <v>203</v>
      </c>
      <c r="L36" s="79"/>
      <c r="M36" s="79">
        <f t="shared" si="0"/>
        <v>-10</v>
      </c>
      <c r="N36" s="75">
        <f t="shared" si="1"/>
        <v>30</v>
      </c>
      <c r="O36" s="56"/>
      <c r="P36" s="57"/>
      <c r="Q36" s="57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5.75" customHeight="1" x14ac:dyDescent="0.3">
      <c r="A37" s="72">
        <v>2220135</v>
      </c>
      <c r="B37" s="73" t="s">
        <v>152</v>
      </c>
      <c r="C37" s="73">
        <v>199</v>
      </c>
      <c r="D37" s="73">
        <v>199</v>
      </c>
      <c r="E37" s="74" t="s">
        <v>133</v>
      </c>
      <c r="F37" s="75">
        <v>0</v>
      </c>
      <c r="G37" s="75">
        <v>0</v>
      </c>
      <c r="H37" s="80">
        <v>0</v>
      </c>
      <c r="I37" s="81">
        <v>0</v>
      </c>
      <c r="J37" s="81"/>
      <c r="K37" s="83">
        <v>0</v>
      </c>
      <c r="L37" s="79"/>
      <c r="M37" s="79">
        <f t="shared" si="0"/>
        <v>0</v>
      </c>
      <c r="N37" s="75">
        <f t="shared" si="1"/>
        <v>0</v>
      </c>
      <c r="O37" s="56"/>
      <c r="P37" s="57"/>
      <c r="Q37" s="57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5.75" customHeight="1" x14ac:dyDescent="0.3">
      <c r="A38" s="91">
        <v>2220140</v>
      </c>
      <c r="B38" s="73" t="s">
        <v>153</v>
      </c>
      <c r="C38" s="73">
        <v>690</v>
      </c>
      <c r="D38" s="73">
        <v>690</v>
      </c>
      <c r="E38" s="74" t="s">
        <v>135</v>
      </c>
      <c r="F38" s="75">
        <v>2</v>
      </c>
      <c r="G38" s="75">
        <v>7</v>
      </c>
      <c r="H38" s="84">
        <v>17</v>
      </c>
      <c r="I38" s="85">
        <v>17</v>
      </c>
      <c r="J38" s="85"/>
      <c r="K38" s="86">
        <v>16</v>
      </c>
      <c r="L38" s="88"/>
      <c r="M38" s="79">
        <f t="shared" si="0"/>
        <v>3</v>
      </c>
      <c r="N38" s="75">
        <f t="shared" si="1"/>
        <v>8</v>
      </c>
      <c r="O38" s="56"/>
      <c r="P38" s="57"/>
      <c r="Q38" s="57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5.75" customHeight="1" x14ac:dyDescent="0.3">
      <c r="A39" s="72">
        <v>2220048</v>
      </c>
      <c r="B39" s="73" t="s">
        <v>154</v>
      </c>
      <c r="C39" s="73">
        <v>790</v>
      </c>
      <c r="D39" s="73">
        <v>790</v>
      </c>
      <c r="E39" s="74" t="s">
        <v>135</v>
      </c>
      <c r="F39" s="75">
        <v>0</v>
      </c>
      <c r="G39" s="75">
        <v>0</v>
      </c>
      <c r="H39" s="84">
        <v>0</v>
      </c>
      <c r="I39" s="85">
        <v>0</v>
      </c>
      <c r="J39" s="85"/>
      <c r="K39" s="86">
        <v>0</v>
      </c>
      <c r="L39" s="88"/>
      <c r="M39" s="79">
        <f t="shared" si="0"/>
        <v>0</v>
      </c>
      <c r="N39" s="75">
        <f t="shared" si="1"/>
        <v>0</v>
      </c>
      <c r="O39" s="56"/>
      <c r="P39" s="57"/>
      <c r="Q39" s="57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5.75" customHeight="1" x14ac:dyDescent="0.3">
      <c r="A40" s="91">
        <v>2220137</v>
      </c>
      <c r="B40" s="73" t="s">
        <v>155</v>
      </c>
      <c r="C40" s="73">
        <v>1050</v>
      </c>
      <c r="D40" s="73">
        <v>1050</v>
      </c>
      <c r="E40" s="74" t="s">
        <v>135</v>
      </c>
      <c r="F40" s="75">
        <v>0</v>
      </c>
      <c r="G40" s="75">
        <v>0</v>
      </c>
      <c r="H40" s="84">
        <v>0</v>
      </c>
      <c r="I40" s="85">
        <v>0</v>
      </c>
      <c r="J40" s="85"/>
      <c r="K40" s="86">
        <v>0</v>
      </c>
      <c r="L40" s="88"/>
      <c r="M40" s="79">
        <f t="shared" si="0"/>
        <v>0</v>
      </c>
      <c r="N40" s="75">
        <f t="shared" si="1"/>
        <v>0</v>
      </c>
      <c r="O40" s="56"/>
      <c r="P40" s="57"/>
      <c r="Q40" s="57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5.75" customHeight="1" x14ac:dyDescent="0.3">
      <c r="A41" s="72">
        <v>2220049</v>
      </c>
      <c r="B41" s="73" t="s">
        <v>156</v>
      </c>
      <c r="C41" s="73">
        <v>1200</v>
      </c>
      <c r="D41" s="73">
        <v>1200</v>
      </c>
      <c r="E41" s="74" t="s">
        <v>135</v>
      </c>
      <c r="F41" s="75">
        <v>0</v>
      </c>
      <c r="G41" s="75">
        <v>0</v>
      </c>
      <c r="H41" s="84">
        <v>0</v>
      </c>
      <c r="I41" s="85">
        <v>0</v>
      </c>
      <c r="J41" s="85"/>
      <c r="K41" s="86">
        <v>0</v>
      </c>
      <c r="L41" s="88"/>
      <c r="M41" s="79">
        <f t="shared" si="0"/>
        <v>0</v>
      </c>
      <c r="N41" s="75">
        <f t="shared" si="1"/>
        <v>0</v>
      </c>
      <c r="O41" s="56"/>
      <c r="P41" s="57"/>
      <c r="Q41" s="57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5.75" customHeight="1" x14ac:dyDescent="0.3">
      <c r="A42" s="72">
        <v>2220013</v>
      </c>
      <c r="B42" s="73" t="s">
        <v>23</v>
      </c>
      <c r="C42" s="73">
        <v>20.8</v>
      </c>
      <c r="D42" s="73">
        <v>20.8</v>
      </c>
      <c r="E42" s="74" t="s">
        <v>131</v>
      </c>
      <c r="F42" s="75">
        <v>25</v>
      </c>
      <c r="G42" s="75">
        <v>98</v>
      </c>
      <c r="H42" s="84">
        <v>681</v>
      </c>
      <c r="I42" s="85">
        <v>692</v>
      </c>
      <c r="J42" s="85"/>
      <c r="K42" s="86">
        <v>691</v>
      </c>
      <c r="L42" s="79"/>
      <c r="M42" s="79">
        <f t="shared" si="0"/>
        <v>15</v>
      </c>
      <c r="N42" s="75">
        <f t="shared" si="1"/>
        <v>99</v>
      </c>
      <c r="O42" s="56"/>
      <c r="P42" s="57"/>
      <c r="Q42" s="57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5.75" customHeight="1" x14ac:dyDescent="0.3">
      <c r="A43" s="72">
        <v>2220081</v>
      </c>
      <c r="B43" s="73" t="s">
        <v>157</v>
      </c>
      <c r="C43" s="73">
        <v>1755</v>
      </c>
      <c r="D43" s="73">
        <v>1755</v>
      </c>
      <c r="E43" s="74" t="s">
        <v>133</v>
      </c>
      <c r="F43" s="75">
        <v>11</v>
      </c>
      <c r="G43" s="75">
        <v>11</v>
      </c>
      <c r="H43" s="80">
        <v>0</v>
      </c>
      <c r="I43" s="81">
        <v>0</v>
      </c>
      <c r="J43" s="81"/>
      <c r="K43" s="83">
        <v>0</v>
      </c>
      <c r="L43" s="79"/>
      <c r="M43" s="79">
        <f t="shared" si="0"/>
        <v>11</v>
      </c>
      <c r="N43" s="75">
        <f t="shared" si="1"/>
        <v>11</v>
      </c>
      <c r="O43" s="56"/>
      <c r="P43" s="57"/>
      <c r="Q43" s="57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5.75" customHeight="1" x14ac:dyDescent="0.3">
      <c r="A44" s="91">
        <v>2220136</v>
      </c>
      <c r="B44" s="73" t="s">
        <v>158</v>
      </c>
      <c r="C44" s="73">
        <v>558.4</v>
      </c>
      <c r="D44" s="73">
        <v>558.4</v>
      </c>
      <c r="E44" s="74" t="s">
        <v>133</v>
      </c>
      <c r="F44" s="75">
        <v>0</v>
      </c>
      <c r="G44" s="75">
        <v>0</v>
      </c>
      <c r="H44" s="80">
        <v>0</v>
      </c>
      <c r="I44" s="81">
        <v>0</v>
      </c>
      <c r="J44" s="81"/>
      <c r="K44" s="83">
        <v>0</v>
      </c>
      <c r="L44" s="79"/>
      <c r="M44" s="79">
        <f t="shared" si="0"/>
        <v>0</v>
      </c>
      <c r="N44" s="75">
        <f t="shared" si="1"/>
        <v>0</v>
      </c>
      <c r="O44" s="56"/>
      <c r="P44" s="57"/>
      <c r="Q44" s="57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15.75" customHeight="1" x14ac:dyDescent="0.3">
      <c r="A45" s="72">
        <v>2220091</v>
      </c>
      <c r="B45" s="73" t="s">
        <v>159</v>
      </c>
      <c r="C45" s="73">
        <v>190</v>
      </c>
      <c r="D45" s="73">
        <v>190</v>
      </c>
      <c r="E45" s="74" t="s">
        <v>137</v>
      </c>
      <c r="F45" s="75">
        <v>0</v>
      </c>
      <c r="G45" s="75">
        <v>0</v>
      </c>
      <c r="H45" s="80">
        <v>0</v>
      </c>
      <c r="I45" s="81">
        <v>0</v>
      </c>
      <c r="J45" s="81"/>
      <c r="K45" s="83">
        <v>0</v>
      </c>
      <c r="L45" s="79"/>
      <c r="M45" s="79">
        <f t="shared" si="0"/>
        <v>0</v>
      </c>
      <c r="N45" s="75">
        <f t="shared" si="1"/>
        <v>0</v>
      </c>
      <c r="O45" s="56"/>
      <c r="P45" s="57"/>
      <c r="Q45" s="57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30" x14ac:dyDescent="0.3">
      <c r="A46" s="72">
        <v>2220079</v>
      </c>
      <c r="B46" s="73" t="s">
        <v>160</v>
      </c>
      <c r="C46" s="73">
        <v>287.86</v>
      </c>
      <c r="D46" s="73">
        <v>287.86</v>
      </c>
      <c r="E46" s="74" t="s">
        <v>133</v>
      </c>
      <c r="F46" s="75">
        <v>0</v>
      </c>
      <c r="G46" s="75">
        <v>0</v>
      </c>
      <c r="H46" s="80">
        <v>0</v>
      </c>
      <c r="I46" s="81">
        <v>0</v>
      </c>
      <c r="J46" s="81"/>
      <c r="K46" s="83">
        <v>0</v>
      </c>
      <c r="L46" s="79"/>
      <c r="M46" s="79">
        <f t="shared" si="0"/>
        <v>0</v>
      </c>
      <c r="N46" s="75">
        <f t="shared" si="1"/>
        <v>0</v>
      </c>
      <c r="O46" s="56"/>
      <c r="P46" s="57"/>
      <c r="Q46" s="57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30" x14ac:dyDescent="0.3">
      <c r="A47" s="72">
        <v>2220076</v>
      </c>
      <c r="B47" s="73" t="s">
        <v>161</v>
      </c>
      <c r="C47" s="73">
        <v>164</v>
      </c>
      <c r="D47" s="73">
        <v>164</v>
      </c>
      <c r="E47" s="74" t="s">
        <v>133</v>
      </c>
      <c r="F47" s="75">
        <v>0</v>
      </c>
      <c r="G47" s="75">
        <v>0</v>
      </c>
      <c r="H47" s="80">
        <v>0</v>
      </c>
      <c r="I47" s="81">
        <v>0</v>
      </c>
      <c r="J47" s="81"/>
      <c r="K47" s="83">
        <v>0</v>
      </c>
      <c r="L47" s="79"/>
      <c r="M47" s="79">
        <f t="shared" si="0"/>
        <v>0</v>
      </c>
      <c r="N47" s="75">
        <f t="shared" si="1"/>
        <v>0</v>
      </c>
      <c r="O47" s="56"/>
      <c r="P47" s="57"/>
      <c r="Q47" s="57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5.75" customHeight="1" x14ac:dyDescent="0.3">
      <c r="A48" s="72">
        <v>2220014</v>
      </c>
      <c r="B48" s="73" t="s">
        <v>24</v>
      </c>
      <c r="C48" s="73">
        <v>59.9</v>
      </c>
      <c r="D48" s="73">
        <v>59.9</v>
      </c>
      <c r="E48" s="74" t="s">
        <v>137</v>
      </c>
      <c r="F48" s="75">
        <v>-2.2000000000000011</v>
      </c>
      <c r="G48" s="75">
        <v>1.6500000000000004</v>
      </c>
      <c r="H48" s="80">
        <v>10.5</v>
      </c>
      <c r="I48" s="81">
        <v>10.15</v>
      </c>
      <c r="J48" s="81"/>
      <c r="K48" s="83">
        <v>10.4</v>
      </c>
      <c r="L48" s="79"/>
      <c r="M48" s="79">
        <f t="shared" si="0"/>
        <v>-2.1000000000000014</v>
      </c>
      <c r="N48" s="75">
        <f t="shared" si="1"/>
        <v>1.4000000000000004</v>
      </c>
      <c r="O48" s="56"/>
      <c r="P48" s="57"/>
      <c r="Q48" s="57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5.75" customHeight="1" x14ac:dyDescent="0.3">
      <c r="A49" s="72">
        <v>2220015</v>
      </c>
      <c r="B49" s="73" t="s">
        <v>25</v>
      </c>
      <c r="C49" s="73">
        <v>98.9</v>
      </c>
      <c r="D49" s="73">
        <v>98.9</v>
      </c>
      <c r="E49" s="74" t="s">
        <v>137</v>
      </c>
      <c r="F49" s="75">
        <v>-0.14999999999999858</v>
      </c>
      <c r="G49" s="75">
        <v>4.0499999999999901</v>
      </c>
      <c r="H49" s="80">
        <v>27</v>
      </c>
      <c r="I49" s="81">
        <v>28.25</v>
      </c>
      <c r="J49" s="81"/>
      <c r="K49" s="83">
        <v>28.6</v>
      </c>
      <c r="L49" s="79"/>
      <c r="M49" s="79">
        <f t="shared" si="0"/>
        <v>-1.75</v>
      </c>
      <c r="N49" s="75">
        <f t="shared" si="1"/>
        <v>3.6999999999999886</v>
      </c>
      <c r="O49" s="56"/>
      <c r="P49" s="57"/>
      <c r="Q49" s="57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5.75" customHeight="1" x14ac:dyDescent="0.3">
      <c r="A50" s="72">
        <v>2220052</v>
      </c>
      <c r="B50" s="73" t="s">
        <v>162</v>
      </c>
      <c r="C50" s="73">
        <v>2710</v>
      </c>
      <c r="D50" s="73">
        <v>2710</v>
      </c>
      <c r="E50" s="74" t="s">
        <v>135</v>
      </c>
      <c r="F50" s="75">
        <v>4</v>
      </c>
      <c r="G50" s="75">
        <v>4</v>
      </c>
      <c r="H50" s="80">
        <v>0</v>
      </c>
      <c r="I50" s="81">
        <v>0</v>
      </c>
      <c r="J50" s="81"/>
      <c r="K50" s="83">
        <v>0</v>
      </c>
      <c r="L50" s="79"/>
      <c r="M50" s="79">
        <f t="shared" si="0"/>
        <v>4</v>
      </c>
      <c r="N50" s="75">
        <f t="shared" si="1"/>
        <v>4</v>
      </c>
      <c r="O50" s="56"/>
      <c r="P50" s="57"/>
      <c r="Q50" s="57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15.75" customHeight="1" x14ac:dyDescent="0.3">
      <c r="A51" s="72">
        <v>2220093</v>
      </c>
      <c r="B51" s="73" t="s">
        <v>163</v>
      </c>
      <c r="C51" s="73">
        <v>1091.99</v>
      </c>
      <c r="D51" s="73">
        <v>1091.99</v>
      </c>
      <c r="E51" s="74" t="s">
        <v>133</v>
      </c>
      <c r="F51" s="75">
        <v>0</v>
      </c>
      <c r="G51" s="75">
        <v>0</v>
      </c>
      <c r="H51" s="80">
        <v>0</v>
      </c>
      <c r="I51" s="81">
        <v>0</v>
      </c>
      <c r="J51" s="81"/>
      <c r="K51" s="83">
        <v>0</v>
      </c>
      <c r="L51" s="79"/>
      <c r="M51" s="79">
        <f t="shared" si="0"/>
        <v>0</v>
      </c>
      <c r="N51" s="75">
        <f t="shared" si="1"/>
        <v>0</v>
      </c>
      <c r="O51" s="56"/>
      <c r="P51" s="57"/>
      <c r="Q51" s="57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5.75" customHeight="1" x14ac:dyDescent="0.3">
      <c r="A52" s="72">
        <v>2220092</v>
      </c>
      <c r="B52" s="73" t="s">
        <v>164</v>
      </c>
      <c r="C52" s="73">
        <v>484.4</v>
      </c>
      <c r="D52" s="73">
        <v>484.4</v>
      </c>
      <c r="E52" s="74" t="s">
        <v>133</v>
      </c>
      <c r="F52" s="75">
        <v>5</v>
      </c>
      <c r="G52" s="75">
        <v>5</v>
      </c>
      <c r="H52" s="80">
        <v>0</v>
      </c>
      <c r="I52" s="81">
        <v>0</v>
      </c>
      <c r="J52" s="81"/>
      <c r="K52" s="83">
        <v>0</v>
      </c>
      <c r="L52" s="79"/>
      <c r="M52" s="79">
        <f t="shared" si="0"/>
        <v>5</v>
      </c>
      <c r="N52" s="75">
        <f t="shared" si="1"/>
        <v>5</v>
      </c>
      <c r="O52" s="56"/>
      <c r="P52" s="57"/>
      <c r="Q52" s="57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5.75" customHeight="1" x14ac:dyDescent="0.3">
      <c r="A53" s="92">
        <v>2220144</v>
      </c>
      <c r="B53" s="93" t="s">
        <v>165</v>
      </c>
      <c r="C53" s="93">
        <v>631.04</v>
      </c>
      <c r="D53" s="93">
        <v>631.04</v>
      </c>
      <c r="E53" s="94" t="s">
        <v>133</v>
      </c>
      <c r="F53" s="95">
        <v>0</v>
      </c>
      <c r="G53" s="95">
        <v>0</v>
      </c>
      <c r="H53" s="80">
        <v>0</v>
      </c>
      <c r="I53" s="81">
        <v>0</v>
      </c>
      <c r="J53" s="96"/>
      <c r="K53" s="83">
        <v>0</v>
      </c>
      <c r="L53" s="97"/>
      <c r="M53" s="79">
        <f t="shared" si="0"/>
        <v>0</v>
      </c>
      <c r="N53" s="75">
        <f t="shared" si="1"/>
        <v>0</v>
      </c>
      <c r="O53" s="56"/>
      <c r="P53" s="57"/>
      <c r="Q53" s="57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5.75" customHeight="1" x14ac:dyDescent="0.3">
      <c r="A54" s="72">
        <v>2220016</v>
      </c>
      <c r="B54" s="73" t="s">
        <v>26</v>
      </c>
      <c r="C54" s="73">
        <v>26.1</v>
      </c>
      <c r="D54" s="73">
        <v>26.1</v>
      </c>
      <c r="E54" s="74" t="s">
        <v>133</v>
      </c>
      <c r="F54" s="75">
        <v>19</v>
      </c>
      <c r="G54" s="75">
        <v>145</v>
      </c>
      <c r="H54" s="80">
        <v>804</v>
      </c>
      <c r="I54" s="81">
        <v>802</v>
      </c>
      <c r="J54" s="81"/>
      <c r="K54" s="83">
        <v>823</v>
      </c>
      <c r="L54" s="79"/>
      <c r="M54" s="79">
        <f t="shared" si="0"/>
        <v>0</v>
      </c>
      <c r="N54" s="75">
        <f t="shared" si="1"/>
        <v>124</v>
      </c>
      <c r="O54" s="56"/>
      <c r="P54" s="57"/>
      <c r="Q54" s="57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5.75" customHeight="1" x14ac:dyDescent="0.3">
      <c r="A55" s="72">
        <v>2220131</v>
      </c>
      <c r="B55" s="73" t="s">
        <v>166</v>
      </c>
      <c r="C55" s="73">
        <v>78.2</v>
      </c>
      <c r="D55" s="73">
        <v>78.2</v>
      </c>
      <c r="E55" s="74" t="s">
        <v>137</v>
      </c>
      <c r="F55" s="75">
        <v>-5.75</v>
      </c>
      <c r="G55" s="75">
        <v>2.5500000000000007</v>
      </c>
      <c r="H55" s="80">
        <v>18</v>
      </c>
      <c r="I55" s="81">
        <v>18.45</v>
      </c>
      <c r="J55" s="81"/>
      <c r="K55" s="83">
        <v>18.3</v>
      </c>
      <c r="L55" s="79"/>
      <c r="M55" s="79">
        <f t="shared" si="0"/>
        <v>-6.0500000000000007</v>
      </c>
      <c r="N55" s="75">
        <f t="shared" si="1"/>
        <v>2.6999999999999993</v>
      </c>
      <c r="O55" s="56"/>
      <c r="P55" s="57"/>
      <c r="Q55" s="57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5" customHeight="1" x14ac:dyDescent="0.3">
      <c r="A56" s="72">
        <v>2220086</v>
      </c>
      <c r="B56" s="73" t="s">
        <v>167</v>
      </c>
      <c r="C56" s="73">
        <v>440</v>
      </c>
      <c r="D56" s="73">
        <v>440</v>
      </c>
      <c r="E56" s="74" t="s">
        <v>133</v>
      </c>
      <c r="F56" s="75">
        <v>0</v>
      </c>
      <c r="G56" s="75">
        <v>0</v>
      </c>
      <c r="H56" s="80">
        <v>0</v>
      </c>
      <c r="I56" s="81">
        <v>0</v>
      </c>
      <c r="J56" s="81"/>
      <c r="K56" s="83">
        <v>0</v>
      </c>
      <c r="L56" s="79"/>
      <c r="M56" s="79">
        <f t="shared" si="0"/>
        <v>0</v>
      </c>
      <c r="N56" s="75">
        <f t="shared" si="1"/>
        <v>0</v>
      </c>
      <c r="O56" s="56"/>
      <c r="P56" s="57"/>
      <c r="Q56" s="57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5.75" customHeight="1" x14ac:dyDescent="0.3">
      <c r="A57" s="72">
        <v>2220017</v>
      </c>
      <c r="B57" s="73" t="s">
        <v>74</v>
      </c>
      <c r="C57" s="73">
        <v>135.4</v>
      </c>
      <c r="D57" s="73">
        <v>135.4</v>
      </c>
      <c r="E57" s="74" t="s">
        <v>137</v>
      </c>
      <c r="F57" s="75">
        <v>-26.060000000000059</v>
      </c>
      <c r="G57" s="75">
        <v>0</v>
      </c>
      <c r="H57" s="84">
        <v>339</v>
      </c>
      <c r="I57" s="85">
        <v>354.45</v>
      </c>
      <c r="J57" s="81"/>
      <c r="K57" s="86">
        <v>335.27</v>
      </c>
      <c r="L57" s="79"/>
      <c r="M57" s="79">
        <f t="shared" si="0"/>
        <v>-22.330000000000041</v>
      </c>
      <c r="N57" s="75">
        <f t="shared" si="1"/>
        <v>19.180000000000007</v>
      </c>
      <c r="O57" s="56"/>
      <c r="P57" s="57"/>
      <c r="Q57" s="57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5.75" customHeight="1" x14ac:dyDescent="0.3">
      <c r="A58" s="72">
        <v>2220062</v>
      </c>
      <c r="B58" s="73" t="s">
        <v>168</v>
      </c>
      <c r="C58" s="73">
        <v>850</v>
      </c>
      <c r="D58" s="73">
        <v>850</v>
      </c>
      <c r="E58" s="74" t="s">
        <v>135</v>
      </c>
      <c r="F58" s="75">
        <v>0</v>
      </c>
      <c r="G58" s="75">
        <v>0</v>
      </c>
      <c r="H58" s="84">
        <v>0</v>
      </c>
      <c r="I58" s="85">
        <v>0</v>
      </c>
      <c r="J58" s="81"/>
      <c r="K58" s="86">
        <v>0</v>
      </c>
      <c r="L58" s="79"/>
      <c r="M58" s="79">
        <f t="shared" si="0"/>
        <v>0</v>
      </c>
      <c r="N58" s="75">
        <f t="shared" si="1"/>
        <v>0</v>
      </c>
      <c r="O58" s="56"/>
      <c r="P58" s="57"/>
      <c r="Q58" s="57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5.75" customHeight="1" x14ac:dyDescent="0.3">
      <c r="A59" s="72">
        <v>2220082</v>
      </c>
      <c r="B59" s="73" t="s">
        <v>169</v>
      </c>
      <c r="C59" s="73">
        <v>376.36</v>
      </c>
      <c r="D59" s="73">
        <v>376.36</v>
      </c>
      <c r="E59" s="74" t="s">
        <v>135</v>
      </c>
      <c r="F59" s="75">
        <v>2</v>
      </c>
      <c r="G59" s="75">
        <v>2</v>
      </c>
      <c r="H59" s="84">
        <v>0</v>
      </c>
      <c r="I59" s="85">
        <v>0</v>
      </c>
      <c r="J59" s="81"/>
      <c r="K59" s="86">
        <v>0</v>
      </c>
      <c r="L59" s="79"/>
      <c r="M59" s="79">
        <f t="shared" si="0"/>
        <v>2</v>
      </c>
      <c r="N59" s="75">
        <f t="shared" si="1"/>
        <v>2</v>
      </c>
      <c r="O59" s="56"/>
      <c r="P59" s="57"/>
      <c r="Q59" s="57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5.75" customHeight="1" x14ac:dyDescent="0.3">
      <c r="A60" s="72">
        <v>2220061</v>
      </c>
      <c r="B60" s="73" t="s">
        <v>170</v>
      </c>
      <c r="C60" s="73">
        <v>2500</v>
      </c>
      <c r="D60" s="73">
        <v>2500</v>
      </c>
      <c r="E60" s="74" t="s">
        <v>135</v>
      </c>
      <c r="F60" s="75">
        <v>0</v>
      </c>
      <c r="G60" s="75">
        <v>0</v>
      </c>
      <c r="H60" s="84">
        <v>0</v>
      </c>
      <c r="I60" s="85">
        <v>0</v>
      </c>
      <c r="J60" s="81"/>
      <c r="K60" s="86">
        <v>0</v>
      </c>
      <c r="L60" s="79"/>
      <c r="M60" s="79">
        <f t="shared" si="0"/>
        <v>0</v>
      </c>
      <c r="N60" s="75">
        <f t="shared" si="1"/>
        <v>0</v>
      </c>
      <c r="O60" s="56"/>
      <c r="P60" s="57"/>
      <c r="Q60" s="57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5.75" customHeight="1" x14ac:dyDescent="0.3">
      <c r="A61" s="72">
        <v>2220051</v>
      </c>
      <c r="B61" s="73" t="s">
        <v>171</v>
      </c>
      <c r="C61" s="73">
        <v>2840</v>
      </c>
      <c r="D61" s="73">
        <v>2840</v>
      </c>
      <c r="E61" s="74" t="s">
        <v>135</v>
      </c>
      <c r="F61" s="75">
        <v>4</v>
      </c>
      <c r="G61" s="75">
        <v>4</v>
      </c>
      <c r="H61" s="84">
        <v>0</v>
      </c>
      <c r="I61" s="85">
        <v>0</v>
      </c>
      <c r="J61" s="81"/>
      <c r="K61" s="86">
        <v>0</v>
      </c>
      <c r="L61" s="79"/>
      <c r="M61" s="79">
        <f t="shared" si="0"/>
        <v>4</v>
      </c>
      <c r="N61" s="75">
        <f t="shared" si="1"/>
        <v>4</v>
      </c>
      <c r="O61" s="56"/>
      <c r="P61" s="57"/>
      <c r="Q61" s="57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5.75" customHeight="1" x14ac:dyDescent="0.3">
      <c r="A62" s="72">
        <v>2220064</v>
      </c>
      <c r="B62" s="73" t="s">
        <v>172</v>
      </c>
      <c r="C62" s="73">
        <v>2370</v>
      </c>
      <c r="D62" s="73">
        <v>2370</v>
      </c>
      <c r="E62" s="74" t="s">
        <v>135</v>
      </c>
      <c r="F62" s="75">
        <v>3</v>
      </c>
      <c r="G62" s="75">
        <v>3</v>
      </c>
      <c r="H62" s="84">
        <v>0</v>
      </c>
      <c r="I62" s="85">
        <v>0</v>
      </c>
      <c r="J62" s="81"/>
      <c r="K62" s="86">
        <v>0</v>
      </c>
      <c r="L62" s="79"/>
      <c r="M62" s="79">
        <f t="shared" si="0"/>
        <v>3</v>
      </c>
      <c r="N62" s="75">
        <f t="shared" si="1"/>
        <v>3</v>
      </c>
      <c r="O62" s="56"/>
      <c r="P62" s="57"/>
      <c r="Q62" s="57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5" customHeight="1" x14ac:dyDescent="0.3">
      <c r="A63" s="72">
        <v>2220063</v>
      </c>
      <c r="B63" s="73" t="s">
        <v>173</v>
      </c>
      <c r="C63" s="73">
        <v>2720</v>
      </c>
      <c r="D63" s="73">
        <v>2720</v>
      </c>
      <c r="E63" s="74" t="s">
        <v>135</v>
      </c>
      <c r="F63" s="75">
        <v>0</v>
      </c>
      <c r="G63" s="75">
        <v>0</v>
      </c>
      <c r="H63" s="84">
        <v>0</v>
      </c>
      <c r="I63" s="85">
        <v>0</v>
      </c>
      <c r="J63" s="81"/>
      <c r="K63" s="83">
        <v>0</v>
      </c>
      <c r="L63" s="79"/>
      <c r="M63" s="79">
        <f t="shared" si="0"/>
        <v>0</v>
      </c>
      <c r="N63" s="75">
        <f t="shared" si="1"/>
        <v>0</v>
      </c>
      <c r="O63" s="56"/>
      <c r="P63" s="57"/>
      <c r="Q63" s="57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5" customHeight="1" x14ac:dyDescent="0.3">
      <c r="A64" s="72">
        <v>2220018</v>
      </c>
      <c r="B64" s="73" t="s">
        <v>28</v>
      </c>
      <c r="C64" s="73">
        <v>44.8</v>
      </c>
      <c r="D64" s="73">
        <v>44.8</v>
      </c>
      <c r="E64" s="74" t="s">
        <v>137</v>
      </c>
      <c r="F64" s="75">
        <v>-14.220000000000027</v>
      </c>
      <c r="G64" s="75">
        <v>14.900000000000006</v>
      </c>
      <c r="H64" s="84">
        <v>117</v>
      </c>
      <c r="I64" s="85">
        <v>116.75</v>
      </c>
      <c r="J64" s="81"/>
      <c r="K64" s="83">
        <v>122.05</v>
      </c>
      <c r="L64" s="79"/>
      <c r="M64" s="79">
        <f t="shared" si="0"/>
        <v>-19.270000000000024</v>
      </c>
      <c r="N64" s="75">
        <f t="shared" si="1"/>
        <v>9.6000000000000085</v>
      </c>
      <c r="O64" s="56"/>
      <c r="P64" s="57"/>
      <c r="Q64" s="57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5" customHeight="1" x14ac:dyDescent="0.3">
      <c r="A65" s="72">
        <v>2220037</v>
      </c>
      <c r="B65" s="73" t="s">
        <v>174</v>
      </c>
      <c r="C65" s="73">
        <v>302.10000000000002</v>
      </c>
      <c r="D65" s="73">
        <v>302.10000000000002</v>
      </c>
      <c r="E65" s="74" t="s">
        <v>175</v>
      </c>
      <c r="F65" s="75">
        <v>24</v>
      </c>
      <c r="G65" s="75">
        <v>26</v>
      </c>
      <c r="H65" s="80">
        <v>15</v>
      </c>
      <c r="I65" s="81">
        <v>15</v>
      </c>
      <c r="J65" s="81"/>
      <c r="K65" s="83">
        <v>8</v>
      </c>
      <c r="L65" s="79"/>
      <c r="M65" s="79">
        <f t="shared" si="0"/>
        <v>31</v>
      </c>
      <c r="N65" s="75">
        <f t="shared" si="1"/>
        <v>33</v>
      </c>
      <c r="O65" s="56"/>
      <c r="P65" s="57"/>
      <c r="Q65" s="57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5" customHeight="1" x14ac:dyDescent="0.3">
      <c r="A66" s="72">
        <v>2220060</v>
      </c>
      <c r="B66" s="73" t="s">
        <v>176</v>
      </c>
      <c r="C66" s="73">
        <v>1610</v>
      </c>
      <c r="D66" s="73">
        <v>1610</v>
      </c>
      <c r="E66" s="74" t="s">
        <v>135</v>
      </c>
      <c r="F66" s="75">
        <v>1</v>
      </c>
      <c r="G66" s="75">
        <v>1</v>
      </c>
      <c r="H66" s="80">
        <v>0</v>
      </c>
      <c r="I66" s="81">
        <v>0</v>
      </c>
      <c r="J66" s="81"/>
      <c r="K66" s="83">
        <v>0</v>
      </c>
      <c r="L66" s="79"/>
      <c r="M66" s="79">
        <f t="shared" si="0"/>
        <v>1</v>
      </c>
      <c r="N66" s="75">
        <f t="shared" si="1"/>
        <v>1</v>
      </c>
      <c r="O66" s="56"/>
      <c r="P66" s="57"/>
      <c r="Q66" s="57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5" customHeight="1" x14ac:dyDescent="0.3">
      <c r="A67" s="72">
        <v>2220019</v>
      </c>
      <c r="B67" s="73" t="s">
        <v>29</v>
      </c>
      <c r="C67" s="73">
        <v>36.5</v>
      </c>
      <c r="D67" s="73">
        <v>36.5</v>
      </c>
      <c r="E67" s="74" t="s">
        <v>137</v>
      </c>
      <c r="F67" s="75">
        <v>-9.9000000000000057</v>
      </c>
      <c r="G67" s="75">
        <v>17.449999999999989</v>
      </c>
      <c r="H67" s="80">
        <v>126</v>
      </c>
      <c r="I67" s="81">
        <v>125.8</v>
      </c>
      <c r="J67" s="81"/>
      <c r="K67" s="83">
        <v>125.3</v>
      </c>
      <c r="L67" s="79"/>
      <c r="M67" s="79">
        <f t="shared" si="0"/>
        <v>-9.2000000000000028</v>
      </c>
      <c r="N67" s="75">
        <f t="shared" si="1"/>
        <v>17.950000000000003</v>
      </c>
      <c r="O67" s="56"/>
      <c r="P67" s="57"/>
      <c r="Q67" s="57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5.75" customHeight="1" x14ac:dyDescent="0.3">
      <c r="A68" s="72">
        <v>2220032</v>
      </c>
      <c r="B68" s="73" t="s">
        <v>177</v>
      </c>
      <c r="C68" s="73">
        <v>93.8</v>
      </c>
      <c r="D68" s="73">
        <v>93.8</v>
      </c>
      <c r="E68" s="74" t="s">
        <v>133</v>
      </c>
      <c r="F68" s="75">
        <v>16</v>
      </c>
      <c r="G68" s="75">
        <v>16</v>
      </c>
      <c r="H68" s="80">
        <v>0</v>
      </c>
      <c r="I68" s="81">
        <v>0</v>
      </c>
      <c r="J68" s="81"/>
      <c r="K68" s="83">
        <v>2</v>
      </c>
      <c r="L68" s="79"/>
      <c r="M68" s="79">
        <f t="shared" si="0"/>
        <v>14</v>
      </c>
      <c r="N68" s="75">
        <f t="shared" si="1"/>
        <v>14</v>
      </c>
      <c r="O68" s="56"/>
      <c r="P68" s="57"/>
      <c r="Q68" s="57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5.75" customHeight="1" x14ac:dyDescent="0.3">
      <c r="A69" s="72">
        <v>2220020</v>
      </c>
      <c r="B69" s="73" t="s">
        <v>30</v>
      </c>
      <c r="C69" s="73">
        <v>75</v>
      </c>
      <c r="D69" s="73">
        <v>75</v>
      </c>
      <c r="E69" s="74" t="s">
        <v>137</v>
      </c>
      <c r="F69" s="75">
        <v>1.0999999999999979</v>
      </c>
      <c r="G69" s="75">
        <v>1.7499999999999964</v>
      </c>
      <c r="H69" s="80">
        <v>11.1</v>
      </c>
      <c r="I69" s="81">
        <v>11.7</v>
      </c>
      <c r="J69" s="81"/>
      <c r="K69" s="83">
        <v>11.654999999999999</v>
      </c>
      <c r="L69" s="79"/>
      <c r="M69" s="79">
        <f t="shared" si="0"/>
        <v>0.54499999999999815</v>
      </c>
      <c r="N69" s="75">
        <f t="shared" si="1"/>
        <v>1.7949999999999964</v>
      </c>
      <c r="O69" s="56"/>
      <c r="P69" s="57"/>
      <c r="Q69" s="57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30" x14ac:dyDescent="0.3">
      <c r="A70" s="72">
        <v>2220055</v>
      </c>
      <c r="B70" s="73" t="s">
        <v>178</v>
      </c>
      <c r="C70" s="73">
        <v>1120</v>
      </c>
      <c r="D70" s="73">
        <v>1120</v>
      </c>
      <c r="E70" s="74" t="s">
        <v>135</v>
      </c>
      <c r="F70" s="75">
        <v>5</v>
      </c>
      <c r="G70" s="75">
        <v>5</v>
      </c>
      <c r="H70" s="80">
        <v>1</v>
      </c>
      <c r="I70" s="81">
        <v>1</v>
      </c>
      <c r="J70" s="81"/>
      <c r="K70" s="83">
        <v>1</v>
      </c>
      <c r="L70" s="79"/>
      <c r="M70" s="79">
        <f t="shared" si="0"/>
        <v>5</v>
      </c>
      <c r="N70" s="75">
        <f t="shared" si="1"/>
        <v>5</v>
      </c>
      <c r="O70" s="56"/>
      <c r="P70" s="57"/>
      <c r="Q70" s="57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5.75" customHeight="1" x14ac:dyDescent="0.3">
      <c r="A71" s="92">
        <v>2220067</v>
      </c>
      <c r="B71" s="73" t="s">
        <v>179</v>
      </c>
      <c r="C71" s="73">
        <v>565.5</v>
      </c>
      <c r="D71" s="73">
        <v>565.5</v>
      </c>
      <c r="E71" s="74" t="s">
        <v>133</v>
      </c>
      <c r="F71" s="75">
        <v>5</v>
      </c>
      <c r="G71" s="75">
        <v>5</v>
      </c>
      <c r="H71" s="80">
        <v>0</v>
      </c>
      <c r="I71" s="81">
        <v>0</v>
      </c>
      <c r="J71" s="81"/>
      <c r="K71" s="83">
        <v>0</v>
      </c>
      <c r="L71" s="79"/>
      <c r="M71" s="79">
        <f t="shared" si="0"/>
        <v>5</v>
      </c>
      <c r="N71" s="75">
        <f t="shared" si="1"/>
        <v>5</v>
      </c>
      <c r="O71" s="56"/>
      <c r="P71" s="57"/>
      <c r="Q71" s="57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5.75" customHeight="1" x14ac:dyDescent="0.3">
      <c r="A72" s="92">
        <v>2220073</v>
      </c>
      <c r="B72" s="73" t="s">
        <v>180</v>
      </c>
      <c r="C72" s="73">
        <v>306.82</v>
      </c>
      <c r="D72" s="73">
        <v>306.82</v>
      </c>
      <c r="E72" s="74" t="s">
        <v>133</v>
      </c>
      <c r="F72" s="75">
        <v>5</v>
      </c>
      <c r="G72" s="75">
        <v>5</v>
      </c>
      <c r="H72" s="84">
        <v>0</v>
      </c>
      <c r="I72" s="85">
        <v>0</v>
      </c>
      <c r="J72" s="85"/>
      <c r="K72" s="86">
        <v>0</v>
      </c>
      <c r="L72" s="79"/>
      <c r="M72" s="79">
        <f t="shared" si="0"/>
        <v>5</v>
      </c>
      <c r="N72" s="75">
        <f t="shared" si="1"/>
        <v>5</v>
      </c>
      <c r="O72" s="56"/>
      <c r="P72" s="57"/>
      <c r="Q72" s="57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5.75" customHeight="1" x14ac:dyDescent="0.3">
      <c r="A73" s="92">
        <v>2220141</v>
      </c>
      <c r="B73" s="73" t="s">
        <v>181</v>
      </c>
      <c r="C73" s="73">
        <v>700</v>
      </c>
      <c r="D73" s="73">
        <v>700</v>
      </c>
      <c r="E73" s="74" t="s">
        <v>135</v>
      </c>
      <c r="F73" s="75">
        <v>-1</v>
      </c>
      <c r="G73" s="75">
        <v>6</v>
      </c>
      <c r="H73" s="84">
        <v>19</v>
      </c>
      <c r="I73" s="85">
        <v>19</v>
      </c>
      <c r="J73" s="85"/>
      <c r="K73" s="86">
        <v>18</v>
      </c>
      <c r="L73" s="88"/>
      <c r="M73" s="79">
        <f t="shared" ref="M73:M115" si="2">F73+H73-K73</f>
        <v>0</v>
      </c>
      <c r="N73" s="75">
        <f t="shared" ref="N73:N115" si="3">G73+I73-K73</f>
        <v>7</v>
      </c>
      <c r="O73" s="56"/>
      <c r="P73" s="57"/>
      <c r="Q73" s="57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5.75" customHeight="1" x14ac:dyDescent="0.3">
      <c r="A74" s="92">
        <v>2220056</v>
      </c>
      <c r="B74" s="73" t="s">
        <v>182</v>
      </c>
      <c r="C74" s="73">
        <v>800</v>
      </c>
      <c r="D74" s="73">
        <v>800</v>
      </c>
      <c r="E74" s="74" t="s">
        <v>135</v>
      </c>
      <c r="F74" s="75">
        <v>0</v>
      </c>
      <c r="G74" s="75">
        <v>0</v>
      </c>
      <c r="H74" s="84">
        <v>0</v>
      </c>
      <c r="I74" s="85">
        <v>0</v>
      </c>
      <c r="J74" s="85"/>
      <c r="K74" s="86">
        <v>0</v>
      </c>
      <c r="L74" s="88"/>
      <c r="M74" s="79">
        <f t="shared" si="2"/>
        <v>0</v>
      </c>
      <c r="N74" s="75">
        <f t="shared" si="3"/>
        <v>0</v>
      </c>
      <c r="O74" s="56"/>
      <c r="P74" s="57"/>
      <c r="Q74" s="57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27.75" customHeight="1" x14ac:dyDescent="0.3">
      <c r="A75" s="92">
        <v>2220142</v>
      </c>
      <c r="B75" s="73" t="s">
        <v>183</v>
      </c>
      <c r="C75" s="73">
        <v>650</v>
      </c>
      <c r="D75" s="73">
        <v>650</v>
      </c>
      <c r="E75" s="74" t="s">
        <v>135</v>
      </c>
      <c r="F75" s="75">
        <v>0</v>
      </c>
      <c r="G75" s="75">
        <v>0</v>
      </c>
      <c r="H75" s="84">
        <v>0</v>
      </c>
      <c r="I75" s="85">
        <v>0</v>
      </c>
      <c r="J75" s="85"/>
      <c r="K75" s="86">
        <v>0</v>
      </c>
      <c r="L75" s="88"/>
      <c r="M75" s="79">
        <f t="shared" si="2"/>
        <v>0</v>
      </c>
      <c r="N75" s="75">
        <f t="shared" si="3"/>
        <v>0</v>
      </c>
      <c r="O75" s="56"/>
      <c r="P75" s="57"/>
      <c r="Q75" s="57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5.75" customHeight="1" x14ac:dyDescent="0.3">
      <c r="A76" s="92">
        <v>2220075</v>
      </c>
      <c r="B76" s="73" t="s">
        <v>184</v>
      </c>
      <c r="C76" s="73">
        <v>698.4</v>
      </c>
      <c r="D76" s="73">
        <v>698.4</v>
      </c>
      <c r="E76" s="74" t="s">
        <v>135</v>
      </c>
      <c r="F76" s="75">
        <v>0</v>
      </c>
      <c r="G76" s="75">
        <v>0</v>
      </c>
      <c r="H76" s="80">
        <v>0</v>
      </c>
      <c r="I76" s="81">
        <v>0</v>
      </c>
      <c r="J76" s="81"/>
      <c r="K76" s="83">
        <v>0</v>
      </c>
      <c r="L76" s="79"/>
      <c r="M76" s="79">
        <f t="shared" si="2"/>
        <v>0</v>
      </c>
      <c r="N76" s="75">
        <f t="shared" si="3"/>
        <v>0</v>
      </c>
      <c r="O76" s="56"/>
      <c r="P76" s="57"/>
      <c r="Q76" s="57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5.75" customHeight="1" x14ac:dyDescent="0.3">
      <c r="A77" s="92">
        <v>2220034</v>
      </c>
      <c r="B77" s="73" t="s">
        <v>185</v>
      </c>
      <c r="C77" s="73">
        <v>62.5</v>
      </c>
      <c r="D77" s="73">
        <v>62.5</v>
      </c>
      <c r="E77" s="74" t="s">
        <v>133</v>
      </c>
      <c r="F77" s="75">
        <v>9</v>
      </c>
      <c r="G77" s="75">
        <v>9</v>
      </c>
      <c r="H77" s="80">
        <v>21</v>
      </c>
      <c r="I77" s="81">
        <v>21</v>
      </c>
      <c r="J77" s="81"/>
      <c r="K77" s="83">
        <v>21</v>
      </c>
      <c r="L77" s="79"/>
      <c r="M77" s="79">
        <f t="shared" si="2"/>
        <v>9</v>
      </c>
      <c r="N77" s="75">
        <f t="shared" si="3"/>
        <v>9</v>
      </c>
      <c r="O77" s="56"/>
      <c r="P77" s="57"/>
      <c r="Q77" s="57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5.75" customHeight="1" x14ac:dyDescent="0.3">
      <c r="A78" s="92">
        <v>2220033</v>
      </c>
      <c r="B78" s="73" t="s">
        <v>186</v>
      </c>
      <c r="C78" s="73">
        <v>72.400000000000006</v>
      </c>
      <c r="D78" s="73">
        <v>72.400000000000006</v>
      </c>
      <c r="E78" s="74" t="s">
        <v>133</v>
      </c>
      <c r="F78" s="75">
        <v>4</v>
      </c>
      <c r="G78" s="75">
        <v>6</v>
      </c>
      <c r="H78" s="80">
        <v>21</v>
      </c>
      <c r="I78" s="81">
        <v>21</v>
      </c>
      <c r="J78" s="81"/>
      <c r="K78" s="83">
        <v>21</v>
      </c>
      <c r="L78" s="79"/>
      <c r="M78" s="79">
        <f t="shared" si="2"/>
        <v>4</v>
      </c>
      <c r="N78" s="75">
        <f t="shared" si="3"/>
        <v>6</v>
      </c>
      <c r="O78" s="56"/>
      <c r="P78" s="57"/>
      <c r="Q78" s="57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31.5" customHeight="1" x14ac:dyDescent="0.3">
      <c r="A79" s="92">
        <v>2220021</v>
      </c>
      <c r="B79" s="73" t="s">
        <v>31</v>
      </c>
      <c r="C79" s="73">
        <v>41.2</v>
      </c>
      <c r="D79" s="73">
        <v>41.2</v>
      </c>
      <c r="E79" s="74" t="s">
        <v>137</v>
      </c>
      <c r="F79" s="75">
        <v>-10.040000000000035</v>
      </c>
      <c r="G79" s="75">
        <v>11.649999999999991</v>
      </c>
      <c r="H79" s="80">
        <v>88.5</v>
      </c>
      <c r="I79" s="81">
        <v>86.15</v>
      </c>
      <c r="J79" s="81"/>
      <c r="K79" s="83">
        <v>86.45</v>
      </c>
      <c r="L79" s="79"/>
      <c r="M79" s="79">
        <f t="shared" si="2"/>
        <v>-7.9900000000000375</v>
      </c>
      <c r="N79" s="75">
        <f t="shared" si="3"/>
        <v>11.349999999999994</v>
      </c>
      <c r="O79" s="56"/>
      <c r="P79" s="57"/>
      <c r="Q79" s="57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5.75" customHeight="1" x14ac:dyDescent="0.3">
      <c r="A80" s="98">
        <v>2220147</v>
      </c>
      <c r="B80" s="99" t="s">
        <v>187</v>
      </c>
      <c r="C80" s="99">
        <v>12</v>
      </c>
      <c r="D80" s="99">
        <v>12</v>
      </c>
      <c r="E80" s="100" t="s">
        <v>133</v>
      </c>
      <c r="F80" s="101">
        <v>0</v>
      </c>
      <c r="G80" s="102">
        <v>0</v>
      </c>
      <c r="H80" s="103">
        <v>0</v>
      </c>
      <c r="I80" s="104">
        <v>0</v>
      </c>
      <c r="J80" s="104"/>
      <c r="K80" s="83">
        <v>0</v>
      </c>
      <c r="L80" s="105"/>
      <c r="M80" s="79">
        <f t="shared" si="2"/>
        <v>0</v>
      </c>
      <c r="N80" s="75">
        <f t="shared" si="3"/>
        <v>0</v>
      </c>
      <c r="O80" s="56"/>
      <c r="P80" s="57"/>
      <c r="Q80" s="57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5.75" customHeight="1" x14ac:dyDescent="0.3">
      <c r="A81" s="92">
        <v>2220022</v>
      </c>
      <c r="B81" s="73" t="s">
        <v>78</v>
      </c>
      <c r="C81" s="73">
        <v>140.69999999999999</v>
      </c>
      <c r="D81" s="73">
        <v>140.69999999999999</v>
      </c>
      <c r="E81" s="74" t="s">
        <v>137</v>
      </c>
      <c r="F81" s="75">
        <v>-1.3100000000000023</v>
      </c>
      <c r="G81" s="75">
        <v>-0.60000000000000142</v>
      </c>
      <c r="H81" s="80">
        <v>12</v>
      </c>
      <c r="I81" s="81">
        <v>12.15</v>
      </c>
      <c r="J81" s="81"/>
      <c r="K81" s="83">
        <v>10.1</v>
      </c>
      <c r="L81" s="79"/>
      <c r="M81" s="79">
        <f t="shared" si="2"/>
        <v>0.58999999999999808</v>
      </c>
      <c r="N81" s="75">
        <f t="shared" si="3"/>
        <v>1.4499999999999993</v>
      </c>
      <c r="O81" s="56"/>
      <c r="P81" s="57"/>
      <c r="Q81" s="57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5.75" customHeight="1" x14ac:dyDescent="0.3">
      <c r="A82" s="92">
        <v>2220023</v>
      </c>
      <c r="B82" s="73" t="s">
        <v>32</v>
      </c>
      <c r="C82" s="73">
        <v>18.2</v>
      </c>
      <c r="D82" s="73">
        <v>18.2</v>
      </c>
      <c r="E82" s="74" t="s">
        <v>131</v>
      </c>
      <c r="F82" s="75">
        <v>1</v>
      </c>
      <c r="G82" s="75">
        <v>3</v>
      </c>
      <c r="H82" s="80">
        <v>21</v>
      </c>
      <c r="I82" s="81">
        <v>20</v>
      </c>
      <c r="J82" s="81"/>
      <c r="K82" s="83">
        <v>22</v>
      </c>
      <c r="L82" s="79"/>
      <c r="M82" s="79">
        <f t="shared" si="2"/>
        <v>0</v>
      </c>
      <c r="N82" s="75">
        <f t="shared" si="3"/>
        <v>1</v>
      </c>
      <c r="O82" s="56"/>
      <c r="P82" s="57"/>
      <c r="Q82" s="57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5.75" customHeight="1" x14ac:dyDescent="0.3">
      <c r="A83" s="92">
        <v>2220024</v>
      </c>
      <c r="B83" s="73" t="s">
        <v>33</v>
      </c>
      <c r="C83" s="73">
        <v>31.3</v>
      </c>
      <c r="D83" s="73">
        <v>31.3</v>
      </c>
      <c r="E83" s="74" t="s">
        <v>137</v>
      </c>
      <c r="F83" s="75">
        <v>31.009999999999991</v>
      </c>
      <c r="G83" s="75">
        <v>23</v>
      </c>
      <c r="H83" s="80">
        <v>168</v>
      </c>
      <c r="I83" s="81">
        <v>142</v>
      </c>
      <c r="J83" s="81"/>
      <c r="K83" s="83">
        <v>166.2</v>
      </c>
      <c r="L83" s="79"/>
      <c r="M83" s="79">
        <f t="shared" si="2"/>
        <v>32.81</v>
      </c>
      <c r="N83" s="75">
        <f t="shared" si="3"/>
        <v>-1.1999999999999886</v>
      </c>
      <c r="O83" s="56"/>
      <c r="P83" s="57"/>
      <c r="Q83" s="57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30" x14ac:dyDescent="0.3">
      <c r="A84" s="92">
        <v>2220074</v>
      </c>
      <c r="B84" s="73" t="s">
        <v>188</v>
      </c>
      <c r="C84" s="73">
        <v>312.25</v>
      </c>
      <c r="D84" s="73">
        <v>312.25</v>
      </c>
      <c r="E84" s="74" t="s">
        <v>133</v>
      </c>
      <c r="F84" s="75">
        <v>0</v>
      </c>
      <c r="G84" s="75">
        <v>0</v>
      </c>
      <c r="H84" s="80">
        <v>0</v>
      </c>
      <c r="I84" s="81">
        <v>0</v>
      </c>
      <c r="J84" s="81"/>
      <c r="K84" s="86">
        <v>0</v>
      </c>
      <c r="L84" s="79"/>
      <c r="M84" s="79">
        <f t="shared" si="2"/>
        <v>0</v>
      </c>
      <c r="N84" s="75">
        <f t="shared" si="3"/>
        <v>0</v>
      </c>
      <c r="O84" s="56"/>
      <c r="P84" s="57"/>
      <c r="Q84" s="57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5.75" customHeight="1" x14ac:dyDescent="0.3">
      <c r="A85" s="92">
        <v>2220043</v>
      </c>
      <c r="B85" s="73" t="s">
        <v>189</v>
      </c>
      <c r="C85" s="73">
        <v>125</v>
      </c>
      <c r="D85" s="73">
        <v>125</v>
      </c>
      <c r="E85" s="74" t="s">
        <v>137</v>
      </c>
      <c r="F85" s="75">
        <v>-6.1399999999998727</v>
      </c>
      <c r="G85" s="75">
        <v>23.0300000000002</v>
      </c>
      <c r="H85" s="80">
        <v>980</v>
      </c>
      <c r="I85" s="81">
        <v>983.65</v>
      </c>
      <c r="J85" s="81"/>
      <c r="K85" s="83">
        <v>960.47</v>
      </c>
      <c r="L85" s="79"/>
      <c r="M85" s="79">
        <f t="shared" si="2"/>
        <v>13.3900000000001</v>
      </c>
      <c r="N85" s="75">
        <f t="shared" si="3"/>
        <v>46.21000000000015</v>
      </c>
      <c r="O85" s="56"/>
      <c r="P85" s="57"/>
      <c r="Q85" s="57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5.75" customHeight="1" x14ac:dyDescent="0.3">
      <c r="A86" s="92">
        <v>2220083</v>
      </c>
      <c r="B86" s="73" t="s">
        <v>190</v>
      </c>
      <c r="C86" s="73">
        <v>55</v>
      </c>
      <c r="D86" s="73">
        <v>55</v>
      </c>
      <c r="E86" s="74" t="s">
        <v>137</v>
      </c>
      <c r="F86" s="75">
        <v>0</v>
      </c>
      <c r="G86" s="75">
        <v>0</v>
      </c>
      <c r="H86" s="84">
        <v>0</v>
      </c>
      <c r="I86" s="85">
        <v>0</v>
      </c>
      <c r="J86" s="85"/>
      <c r="K86" s="86">
        <v>0</v>
      </c>
      <c r="L86" s="88"/>
      <c r="M86" s="79">
        <f t="shared" si="2"/>
        <v>0</v>
      </c>
      <c r="N86" s="75">
        <f t="shared" si="3"/>
        <v>0</v>
      </c>
      <c r="O86" s="56"/>
      <c r="P86" s="57"/>
      <c r="Q86" s="57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5.75" customHeight="1" x14ac:dyDescent="0.3">
      <c r="A87" s="92">
        <v>2220143</v>
      </c>
      <c r="B87" s="73" t="s">
        <v>191</v>
      </c>
      <c r="C87" s="73">
        <v>590</v>
      </c>
      <c r="D87" s="73">
        <v>590</v>
      </c>
      <c r="E87" s="74" t="s">
        <v>135</v>
      </c>
      <c r="F87" s="75">
        <v>1</v>
      </c>
      <c r="G87" s="75">
        <v>15</v>
      </c>
      <c r="H87" s="84">
        <v>35</v>
      </c>
      <c r="I87" s="85">
        <v>35</v>
      </c>
      <c r="J87" s="85"/>
      <c r="K87" s="86">
        <v>29</v>
      </c>
      <c r="L87" s="88"/>
      <c r="M87" s="79">
        <f t="shared" si="2"/>
        <v>7</v>
      </c>
      <c r="N87" s="75">
        <f t="shared" si="3"/>
        <v>21</v>
      </c>
      <c r="O87" s="56"/>
      <c r="P87" s="57"/>
      <c r="Q87" s="57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5.75" customHeight="1" x14ac:dyDescent="0.3">
      <c r="A88" s="72">
        <v>2220057</v>
      </c>
      <c r="B88" s="73" t="s">
        <v>192</v>
      </c>
      <c r="C88" s="73">
        <v>650</v>
      </c>
      <c r="D88" s="73">
        <v>650</v>
      </c>
      <c r="E88" s="74" t="s">
        <v>135</v>
      </c>
      <c r="F88" s="75">
        <v>0</v>
      </c>
      <c r="G88" s="75">
        <v>0</v>
      </c>
      <c r="H88" s="80">
        <v>0</v>
      </c>
      <c r="I88" s="81">
        <v>0</v>
      </c>
      <c r="J88" s="81"/>
      <c r="K88" s="83">
        <v>0</v>
      </c>
      <c r="L88" s="79"/>
      <c r="M88" s="79">
        <f t="shared" si="2"/>
        <v>0</v>
      </c>
      <c r="N88" s="75">
        <f t="shared" si="3"/>
        <v>0</v>
      </c>
      <c r="O88" s="56"/>
      <c r="P88" s="57"/>
      <c r="Q88" s="57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5" customHeight="1" x14ac:dyDescent="0.3">
      <c r="A89" s="72">
        <v>2220077</v>
      </c>
      <c r="B89" s="73" t="s">
        <v>193</v>
      </c>
      <c r="C89" s="73">
        <v>156.80000000000001</v>
      </c>
      <c r="D89" s="73">
        <v>156.80000000000001</v>
      </c>
      <c r="E89" s="74" t="s">
        <v>133</v>
      </c>
      <c r="F89" s="75">
        <v>1</v>
      </c>
      <c r="G89" s="75">
        <v>1</v>
      </c>
      <c r="H89" s="80">
        <v>0</v>
      </c>
      <c r="I89" s="81">
        <v>0</v>
      </c>
      <c r="J89" s="81"/>
      <c r="K89" s="83">
        <v>0</v>
      </c>
      <c r="L89" s="79"/>
      <c r="M89" s="79">
        <f t="shared" si="2"/>
        <v>1</v>
      </c>
      <c r="N89" s="75">
        <f t="shared" si="3"/>
        <v>1</v>
      </c>
      <c r="O89" s="56"/>
      <c r="P89" s="57"/>
      <c r="Q89" s="57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5.75" customHeight="1" x14ac:dyDescent="0.3">
      <c r="A90" s="72">
        <v>2220058</v>
      </c>
      <c r="B90" s="73" t="s">
        <v>194</v>
      </c>
      <c r="C90" s="73">
        <v>730</v>
      </c>
      <c r="D90" s="73">
        <v>730</v>
      </c>
      <c r="E90" s="74" t="s">
        <v>135</v>
      </c>
      <c r="F90" s="75">
        <v>2</v>
      </c>
      <c r="G90" s="75">
        <v>2</v>
      </c>
      <c r="H90" s="80">
        <v>3</v>
      </c>
      <c r="I90" s="81">
        <v>3</v>
      </c>
      <c r="J90" s="81"/>
      <c r="K90" s="83">
        <v>2</v>
      </c>
      <c r="L90" s="79"/>
      <c r="M90" s="79">
        <f t="shared" si="2"/>
        <v>3</v>
      </c>
      <c r="N90" s="75">
        <f t="shared" si="3"/>
        <v>3</v>
      </c>
      <c r="O90" s="56"/>
      <c r="P90" s="57"/>
      <c r="Q90" s="57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5.75" customHeight="1" x14ac:dyDescent="0.3">
      <c r="A91" s="72">
        <v>2220133</v>
      </c>
      <c r="B91" s="73" t="s">
        <v>195</v>
      </c>
      <c r="C91" s="73">
        <v>215.18</v>
      </c>
      <c r="D91" s="73">
        <v>215.18</v>
      </c>
      <c r="E91" s="74" t="s">
        <v>133</v>
      </c>
      <c r="F91" s="75">
        <v>0</v>
      </c>
      <c r="G91" s="75">
        <v>0</v>
      </c>
      <c r="H91" s="80">
        <v>0</v>
      </c>
      <c r="I91" s="81">
        <v>0</v>
      </c>
      <c r="J91" s="81"/>
      <c r="K91" s="83">
        <v>0</v>
      </c>
      <c r="L91" s="79"/>
      <c r="M91" s="79">
        <f t="shared" si="2"/>
        <v>0</v>
      </c>
      <c r="N91" s="75">
        <f t="shared" si="3"/>
        <v>0</v>
      </c>
      <c r="O91" s="56"/>
      <c r="P91" s="57"/>
      <c r="Q91" s="57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5.75" customHeight="1" x14ac:dyDescent="0.3">
      <c r="A92" s="72">
        <v>2220088</v>
      </c>
      <c r="B92" s="73" t="s">
        <v>196</v>
      </c>
      <c r="C92" s="73">
        <v>160</v>
      </c>
      <c r="D92" s="73">
        <v>160</v>
      </c>
      <c r="E92" s="74" t="s">
        <v>137</v>
      </c>
      <c r="F92" s="75">
        <v>0</v>
      </c>
      <c r="G92" s="75">
        <v>0</v>
      </c>
      <c r="H92" s="80">
        <v>0</v>
      </c>
      <c r="I92" s="81">
        <v>0</v>
      </c>
      <c r="J92" s="81"/>
      <c r="K92" s="83">
        <v>0</v>
      </c>
      <c r="L92" s="79"/>
      <c r="M92" s="79">
        <f t="shared" si="2"/>
        <v>0</v>
      </c>
      <c r="N92" s="75">
        <f t="shared" si="3"/>
        <v>0</v>
      </c>
      <c r="O92" s="56"/>
      <c r="P92" s="57"/>
      <c r="Q92" s="57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5.75" customHeight="1" x14ac:dyDescent="0.3">
      <c r="A93" s="72">
        <v>2220087</v>
      </c>
      <c r="B93" s="73" t="s">
        <v>197</v>
      </c>
      <c r="C93" s="73">
        <v>830</v>
      </c>
      <c r="D93" s="73">
        <v>830</v>
      </c>
      <c r="E93" s="74" t="s">
        <v>133</v>
      </c>
      <c r="F93" s="75">
        <v>0</v>
      </c>
      <c r="G93" s="75">
        <v>0</v>
      </c>
      <c r="H93" s="80">
        <v>0</v>
      </c>
      <c r="I93" s="81">
        <v>0</v>
      </c>
      <c r="J93" s="81"/>
      <c r="K93" s="83">
        <v>0</v>
      </c>
      <c r="L93" s="79"/>
      <c r="M93" s="79">
        <f t="shared" si="2"/>
        <v>0</v>
      </c>
      <c r="N93" s="75">
        <f t="shared" si="3"/>
        <v>0</v>
      </c>
      <c r="O93" s="56"/>
      <c r="P93" s="57"/>
      <c r="Q93" s="57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5.75" customHeight="1" x14ac:dyDescent="0.3">
      <c r="A94" s="72">
        <v>2220132</v>
      </c>
      <c r="B94" s="73" t="s">
        <v>198</v>
      </c>
      <c r="C94" s="73">
        <v>239</v>
      </c>
      <c r="D94" s="73">
        <v>239</v>
      </c>
      <c r="E94" s="74" t="s">
        <v>135</v>
      </c>
      <c r="F94" s="75">
        <v>0</v>
      </c>
      <c r="G94" s="75">
        <v>0</v>
      </c>
      <c r="H94" s="80">
        <v>0</v>
      </c>
      <c r="I94" s="81">
        <v>0</v>
      </c>
      <c r="J94" s="81"/>
      <c r="K94" s="83">
        <v>0</v>
      </c>
      <c r="L94" s="79"/>
      <c r="M94" s="79">
        <f t="shared" si="2"/>
        <v>0</v>
      </c>
      <c r="N94" s="75">
        <f t="shared" si="3"/>
        <v>0</v>
      </c>
      <c r="O94" s="56"/>
      <c r="P94" s="57"/>
      <c r="Q94" s="57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5.75" customHeight="1" x14ac:dyDescent="0.3">
      <c r="A95" s="72"/>
      <c r="B95" s="73" t="s">
        <v>199</v>
      </c>
      <c r="C95" s="73"/>
      <c r="D95" s="73"/>
      <c r="E95" s="74" t="s">
        <v>135</v>
      </c>
      <c r="F95" s="75">
        <v>0</v>
      </c>
      <c r="G95" s="75">
        <v>0</v>
      </c>
      <c r="H95" s="80">
        <v>0</v>
      </c>
      <c r="I95" s="81">
        <v>0</v>
      </c>
      <c r="J95" s="81"/>
      <c r="K95" s="83">
        <v>0</v>
      </c>
      <c r="L95" s="79"/>
      <c r="M95" s="79">
        <f t="shared" si="2"/>
        <v>0</v>
      </c>
      <c r="N95" s="75">
        <f t="shared" si="3"/>
        <v>0</v>
      </c>
      <c r="O95" s="56"/>
      <c r="P95" s="57"/>
      <c r="Q95" s="57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5.75" customHeight="1" x14ac:dyDescent="0.3">
      <c r="A96" s="72">
        <v>2220025</v>
      </c>
      <c r="B96" s="73" t="s">
        <v>34</v>
      </c>
      <c r="C96" s="73">
        <v>19.2</v>
      </c>
      <c r="D96" s="73">
        <v>19.2</v>
      </c>
      <c r="E96" s="74" t="s">
        <v>137</v>
      </c>
      <c r="F96" s="75">
        <v>-36.899999999999977</v>
      </c>
      <c r="G96" s="75">
        <v>39.350000000000023</v>
      </c>
      <c r="H96" s="80">
        <v>288</v>
      </c>
      <c r="I96" s="81">
        <v>298.75</v>
      </c>
      <c r="J96" s="81"/>
      <c r="K96" s="83">
        <v>292.89999999999998</v>
      </c>
      <c r="L96" s="79"/>
      <c r="M96" s="79">
        <f t="shared" si="2"/>
        <v>-41.799999999999955</v>
      </c>
      <c r="N96" s="75">
        <f t="shared" si="3"/>
        <v>45.200000000000045</v>
      </c>
      <c r="O96" s="56"/>
      <c r="P96" s="57"/>
      <c r="Q96" s="57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5.75" customHeight="1" x14ac:dyDescent="0.3">
      <c r="A97" s="72">
        <v>2220059</v>
      </c>
      <c r="B97" s="73" t="s">
        <v>200</v>
      </c>
      <c r="C97" s="73">
        <v>1310</v>
      </c>
      <c r="D97" s="73">
        <v>1310</v>
      </c>
      <c r="E97" s="74" t="s">
        <v>135</v>
      </c>
      <c r="F97" s="75">
        <v>3</v>
      </c>
      <c r="G97" s="75">
        <v>3</v>
      </c>
      <c r="H97" s="80">
        <v>1</v>
      </c>
      <c r="I97" s="81">
        <v>1</v>
      </c>
      <c r="J97" s="81"/>
      <c r="K97" s="83">
        <v>2</v>
      </c>
      <c r="L97" s="79"/>
      <c r="M97" s="79">
        <f t="shared" si="2"/>
        <v>2</v>
      </c>
      <c r="N97" s="75">
        <f t="shared" si="3"/>
        <v>2</v>
      </c>
      <c r="O97" s="56"/>
      <c r="P97" s="57"/>
      <c r="Q97" s="57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5.75" customHeight="1" x14ac:dyDescent="0.3">
      <c r="A98" s="72">
        <v>2220071</v>
      </c>
      <c r="B98" s="73" t="s">
        <v>201</v>
      </c>
      <c r="C98" s="73">
        <v>371</v>
      </c>
      <c r="D98" s="73">
        <v>371</v>
      </c>
      <c r="E98" s="74" t="s">
        <v>133</v>
      </c>
      <c r="F98" s="75">
        <v>0</v>
      </c>
      <c r="G98" s="75">
        <v>0</v>
      </c>
      <c r="H98" s="80">
        <v>0</v>
      </c>
      <c r="I98" s="81">
        <v>0</v>
      </c>
      <c r="J98" s="81"/>
      <c r="K98" s="83">
        <v>0</v>
      </c>
      <c r="L98" s="79"/>
      <c r="M98" s="79">
        <f t="shared" si="2"/>
        <v>0</v>
      </c>
      <c r="N98" s="75">
        <f t="shared" si="3"/>
        <v>0</v>
      </c>
      <c r="O98" s="56"/>
      <c r="P98" s="57"/>
      <c r="Q98" s="57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5.75" customHeight="1" x14ac:dyDescent="0.3">
      <c r="A99" s="72">
        <v>2220069</v>
      </c>
      <c r="B99" s="73" t="s">
        <v>113</v>
      </c>
      <c r="C99" s="73">
        <v>256</v>
      </c>
      <c r="D99" s="73">
        <v>256</v>
      </c>
      <c r="E99" s="74" t="s">
        <v>133</v>
      </c>
      <c r="F99" s="75">
        <v>8</v>
      </c>
      <c r="G99" s="75">
        <v>8</v>
      </c>
      <c r="H99" s="84">
        <v>0</v>
      </c>
      <c r="I99" s="85">
        <v>0</v>
      </c>
      <c r="J99" s="81"/>
      <c r="K99" s="83">
        <v>2</v>
      </c>
      <c r="L99" s="79"/>
      <c r="M99" s="79">
        <f t="shared" si="2"/>
        <v>6</v>
      </c>
      <c r="N99" s="75">
        <f t="shared" si="3"/>
        <v>6</v>
      </c>
      <c r="O99" s="56"/>
      <c r="P99" s="57"/>
      <c r="Q99" s="57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5.75" customHeight="1" x14ac:dyDescent="0.3">
      <c r="A100" s="72">
        <v>2220078</v>
      </c>
      <c r="B100" s="73" t="s">
        <v>202</v>
      </c>
      <c r="C100" s="73">
        <v>85</v>
      </c>
      <c r="D100" s="73">
        <v>85</v>
      </c>
      <c r="E100" s="74" t="s">
        <v>133</v>
      </c>
      <c r="F100" s="75">
        <v>0</v>
      </c>
      <c r="G100" s="75">
        <v>0</v>
      </c>
      <c r="H100" s="84">
        <v>0</v>
      </c>
      <c r="I100" s="85">
        <v>0</v>
      </c>
      <c r="J100" s="81"/>
      <c r="K100" s="83">
        <v>0</v>
      </c>
      <c r="L100" s="79"/>
      <c r="M100" s="79">
        <f t="shared" si="2"/>
        <v>0</v>
      </c>
      <c r="N100" s="75">
        <f t="shared" si="3"/>
        <v>0</v>
      </c>
      <c r="O100" s="56"/>
      <c r="P100" s="57"/>
      <c r="Q100" s="57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5.75" customHeight="1" x14ac:dyDescent="0.3">
      <c r="A101" s="72">
        <v>2220065</v>
      </c>
      <c r="B101" s="73" t="s">
        <v>203</v>
      </c>
      <c r="C101" s="73">
        <v>136.56</v>
      </c>
      <c r="D101" s="73">
        <v>136.56</v>
      </c>
      <c r="E101" s="74" t="s">
        <v>133</v>
      </c>
      <c r="F101" s="75">
        <v>0</v>
      </c>
      <c r="G101" s="75">
        <v>0</v>
      </c>
      <c r="H101" s="84">
        <v>0</v>
      </c>
      <c r="I101" s="85">
        <v>0</v>
      </c>
      <c r="J101" s="81"/>
      <c r="K101" s="83">
        <v>0</v>
      </c>
      <c r="L101" s="79"/>
      <c r="M101" s="79">
        <f t="shared" si="2"/>
        <v>0</v>
      </c>
      <c r="N101" s="75">
        <f t="shared" si="3"/>
        <v>0</v>
      </c>
      <c r="O101" s="56"/>
      <c r="P101" s="57"/>
      <c r="Q101" s="57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5.75" customHeight="1" x14ac:dyDescent="0.3">
      <c r="A102" s="72">
        <v>2220084</v>
      </c>
      <c r="B102" s="73" t="s">
        <v>204</v>
      </c>
      <c r="C102" s="73">
        <v>320</v>
      </c>
      <c r="D102" s="73">
        <v>320</v>
      </c>
      <c r="E102" s="74" t="s">
        <v>133</v>
      </c>
      <c r="F102" s="75">
        <v>0</v>
      </c>
      <c r="G102" s="75">
        <v>0</v>
      </c>
      <c r="H102" s="80">
        <v>0</v>
      </c>
      <c r="I102" s="81">
        <v>0</v>
      </c>
      <c r="J102" s="81"/>
      <c r="K102" s="83">
        <v>0</v>
      </c>
      <c r="L102" s="79"/>
      <c r="M102" s="79">
        <f t="shared" si="2"/>
        <v>0</v>
      </c>
      <c r="N102" s="75">
        <f t="shared" si="3"/>
        <v>0</v>
      </c>
      <c r="O102" s="56"/>
      <c r="P102" s="57"/>
      <c r="Q102" s="57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5.75" customHeight="1" x14ac:dyDescent="0.3">
      <c r="A103" s="92">
        <v>2220145</v>
      </c>
      <c r="B103" s="106" t="s">
        <v>205</v>
      </c>
      <c r="C103" s="106">
        <v>760</v>
      </c>
      <c r="D103" s="106">
        <v>760</v>
      </c>
      <c r="E103" s="107" t="s">
        <v>133</v>
      </c>
      <c r="F103" s="95">
        <v>0</v>
      </c>
      <c r="G103" s="95">
        <v>0</v>
      </c>
      <c r="H103" s="80">
        <v>0</v>
      </c>
      <c r="I103" s="81">
        <v>0</v>
      </c>
      <c r="J103" s="81"/>
      <c r="K103" s="83">
        <v>0</v>
      </c>
      <c r="L103" s="108"/>
      <c r="M103" s="79">
        <f t="shared" si="2"/>
        <v>0</v>
      </c>
      <c r="N103" s="75">
        <f t="shared" si="3"/>
        <v>0</v>
      </c>
      <c r="O103" s="56"/>
      <c r="P103" s="57"/>
      <c r="Q103" s="57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45" x14ac:dyDescent="0.3">
      <c r="A104" s="92">
        <v>2220146</v>
      </c>
      <c r="B104" s="73" t="s">
        <v>206</v>
      </c>
      <c r="C104" s="73">
        <v>638.4</v>
      </c>
      <c r="D104" s="73">
        <v>638.4</v>
      </c>
      <c r="E104" s="74" t="s">
        <v>133</v>
      </c>
      <c r="F104" s="95">
        <v>0</v>
      </c>
      <c r="G104" s="95">
        <v>0</v>
      </c>
      <c r="H104" s="80">
        <v>0</v>
      </c>
      <c r="I104" s="81">
        <v>0</v>
      </c>
      <c r="J104" s="81"/>
      <c r="K104" s="83">
        <v>0</v>
      </c>
      <c r="L104" s="109"/>
      <c r="M104" s="79">
        <f t="shared" si="2"/>
        <v>0</v>
      </c>
      <c r="N104" s="75">
        <f t="shared" si="3"/>
        <v>0</v>
      </c>
      <c r="O104" s="56"/>
      <c r="P104" s="57"/>
      <c r="Q104" s="57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5.75" customHeight="1" x14ac:dyDescent="0.3">
      <c r="A105" s="72">
        <v>2220026</v>
      </c>
      <c r="B105" s="73" t="s">
        <v>35</v>
      </c>
      <c r="C105" s="73">
        <v>67.7</v>
      </c>
      <c r="D105" s="73">
        <v>67.7</v>
      </c>
      <c r="E105" s="74" t="s">
        <v>137</v>
      </c>
      <c r="F105" s="75">
        <v>-9.8000000000000114</v>
      </c>
      <c r="G105" s="75">
        <v>9</v>
      </c>
      <c r="H105" s="80">
        <v>75</v>
      </c>
      <c r="I105" s="81">
        <v>75.7</v>
      </c>
      <c r="J105" s="81"/>
      <c r="K105" s="83">
        <v>74</v>
      </c>
      <c r="L105" s="79"/>
      <c r="M105" s="79">
        <f t="shared" si="2"/>
        <v>-8.8000000000000114</v>
      </c>
      <c r="N105" s="75">
        <f t="shared" si="3"/>
        <v>10.700000000000003</v>
      </c>
      <c r="O105" s="56"/>
      <c r="P105" s="57"/>
      <c r="Q105" s="57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5.75" customHeight="1" x14ac:dyDescent="0.3">
      <c r="A106" s="72">
        <v>2220027</v>
      </c>
      <c r="B106" s="110" t="s">
        <v>79</v>
      </c>
      <c r="C106" s="110">
        <v>166.7</v>
      </c>
      <c r="D106" s="110">
        <v>166.7</v>
      </c>
      <c r="E106" s="111" t="s">
        <v>137</v>
      </c>
      <c r="F106" s="112">
        <v>-1.399999999999999</v>
      </c>
      <c r="G106" s="112">
        <v>0.90000000000000169</v>
      </c>
      <c r="H106" s="113">
        <v>0</v>
      </c>
      <c r="I106" s="114">
        <v>0</v>
      </c>
      <c r="J106" s="76"/>
      <c r="K106" s="82">
        <v>0</v>
      </c>
      <c r="L106" s="112"/>
      <c r="M106" s="79">
        <f t="shared" si="2"/>
        <v>-1.399999999999999</v>
      </c>
      <c r="N106" s="75">
        <f t="shared" si="3"/>
        <v>0.90000000000000169</v>
      </c>
      <c r="O106" s="91"/>
      <c r="P106" s="57"/>
      <c r="Q106" s="57"/>
      <c r="R106" s="56"/>
      <c r="S106" s="56"/>
      <c r="T106" s="91"/>
      <c r="U106" s="91"/>
      <c r="V106" s="91"/>
      <c r="W106" s="91"/>
      <c r="X106" s="91"/>
      <c r="Y106" s="91"/>
      <c r="Z106" s="91"/>
    </row>
    <row r="107" spans="1:26" ht="15.75" customHeight="1" x14ac:dyDescent="0.3">
      <c r="A107" s="72">
        <v>2220080</v>
      </c>
      <c r="B107" s="73" t="s">
        <v>207</v>
      </c>
      <c r="C107" s="73">
        <v>15.85</v>
      </c>
      <c r="D107" s="73">
        <v>15.85</v>
      </c>
      <c r="E107" s="74" t="s">
        <v>133</v>
      </c>
      <c r="F107" s="75">
        <v>1</v>
      </c>
      <c r="G107" s="75">
        <v>1</v>
      </c>
      <c r="H107" s="76">
        <v>0</v>
      </c>
      <c r="I107" s="77">
        <v>0</v>
      </c>
      <c r="J107" s="77"/>
      <c r="K107" s="78">
        <v>0</v>
      </c>
      <c r="L107" s="75"/>
      <c r="M107" s="79">
        <f t="shared" si="2"/>
        <v>1</v>
      </c>
      <c r="N107" s="75">
        <f t="shared" si="3"/>
        <v>1</v>
      </c>
      <c r="O107" s="56"/>
      <c r="P107" s="57"/>
      <c r="Q107" s="57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5.75" customHeight="1" x14ac:dyDescent="0.3">
      <c r="A108" s="115">
        <v>2220035</v>
      </c>
      <c r="B108" s="110" t="s">
        <v>208</v>
      </c>
      <c r="C108" s="110">
        <v>75</v>
      </c>
      <c r="D108" s="110">
        <v>75</v>
      </c>
      <c r="E108" s="111" t="s">
        <v>133</v>
      </c>
      <c r="F108" s="112">
        <v>-2</v>
      </c>
      <c r="G108" s="112">
        <v>0</v>
      </c>
      <c r="H108" s="76">
        <v>6</v>
      </c>
      <c r="I108" s="76">
        <v>6</v>
      </c>
      <c r="J108" s="114"/>
      <c r="K108" s="116">
        <v>6</v>
      </c>
      <c r="L108" s="112"/>
      <c r="M108" s="79">
        <f t="shared" si="2"/>
        <v>-2</v>
      </c>
      <c r="N108" s="75">
        <f t="shared" si="3"/>
        <v>0</v>
      </c>
      <c r="O108" s="56" t="s">
        <v>209</v>
      </c>
      <c r="P108" s="57"/>
      <c r="Q108" s="57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6.5" customHeight="1" x14ac:dyDescent="0.3">
      <c r="A109" s="72">
        <v>2220045</v>
      </c>
      <c r="B109" s="73" t="s">
        <v>96</v>
      </c>
      <c r="C109" s="110">
        <v>86</v>
      </c>
      <c r="D109" s="110">
        <v>86</v>
      </c>
      <c r="E109" s="111" t="s">
        <v>210</v>
      </c>
      <c r="F109" s="112">
        <v>29</v>
      </c>
      <c r="G109" s="112">
        <v>29</v>
      </c>
      <c r="H109" s="117">
        <v>20</v>
      </c>
      <c r="I109" s="118">
        <v>20</v>
      </c>
      <c r="J109" s="118"/>
      <c r="K109" s="119">
        <v>3</v>
      </c>
      <c r="L109" s="75"/>
      <c r="M109" s="79">
        <f t="shared" si="2"/>
        <v>46</v>
      </c>
      <c r="N109" s="75">
        <f t="shared" si="3"/>
        <v>46</v>
      </c>
      <c r="O109" s="56"/>
      <c r="P109" s="57"/>
      <c r="Q109" s="57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5.75" customHeight="1" x14ac:dyDescent="0.3">
      <c r="A110" s="115">
        <v>2220028</v>
      </c>
      <c r="B110" s="110" t="s">
        <v>36</v>
      </c>
      <c r="C110" s="110">
        <v>29.2</v>
      </c>
      <c r="D110" s="110">
        <v>29.2</v>
      </c>
      <c r="E110" s="111" t="s">
        <v>137</v>
      </c>
      <c r="F110" s="112">
        <v>33.299999999999727</v>
      </c>
      <c r="G110" s="112">
        <v>105.9</v>
      </c>
      <c r="H110" s="117">
        <v>795</v>
      </c>
      <c r="I110" s="118">
        <v>794.3</v>
      </c>
      <c r="J110" s="118"/>
      <c r="K110" s="119">
        <v>785.4</v>
      </c>
      <c r="L110" s="112"/>
      <c r="M110" s="79">
        <f t="shared" si="2"/>
        <v>42.89999999999975</v>
      </c>
      <c r="N110" s="75">
        <f t="shared" si="3"/>
        <v>114.79999999999995</v>
      </c>
      <c r="O110" s="56"/>
      <c r="P110" s="57"/>
      <c r="Q110" s="57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5.6" x14ac:dyDescent="0.3">
      <c r="A111" s="92">
        <v>2220053</v>
      </c>
      <c r="B111" s="93" t="s">
        <v>211</v>
      </c>
      <c r="C111" s="120">
        <v>2830</v>
      </c>
      <c r="D111" s="120">
        <v>2830</v>
      </c>
      <c r="E111" s="94" t="s">
        <v>135</v>
      </c>
      <c r="F111" s="75">
        <v>1</v>
      </c>
      <c r="G111" s="75">
        <v>1</v>
      </c>
      <c r="H111" s="121">
        <v>0</v>
      </c>
      <c r="I111" s="121">
        <v>0</v>
      </c>
      <c r="J111" s="121"/>
      <c r="K111" s="122">
        <v>0</v>
      </c>
      <c r="L111" s="75"/>
      <c r="M111" s="79">
        <f t="shared" si="2"/>
        <v>1</v>
      </c>
      <c r="N111" s="75">
        <f t="shared" si="3"/>
        <v>1</v>
      </c>
      <c r="O111" s="56"/>
      <c r="P111" s="57"/>
      <c r="Q111" s="57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30" x14ac:dyDescent="0.3">
      <c r="A112" s="123"/>
      <c r="B112" s="124" t="s">
        <v>212</v>
      </c>
      <c r="C112" s="125"/>
      <c r="D112" s="125"/>
      <c r="E112" s="126"/>
      <c r="F112" s="112">
        <v>7</v>
      </c>
      <c r="G112" s="112">
        <v>7</v>
      </c>
      <c r="H112" s="127">
        <v>12</v>
      </c>
      <c r="I112" s="127">
        <v>12</v>
      </c>
      <c r="J112" s="127"/>
      <c r="K112" s="128">
        <v>15</v>
      </c>
      <c r="L112" s="112"/>
      <c r="M112" s="79">
        <f t="shared" si="2"/>
        <v>4</v>
      </c>
      <c r="N112" s="75">
        <f t="shared" si="3"/>
        <v>4</v>
      </c>
      <c r="O112" s="56"/>
      <c r="P112" s="57"/>
      <c r="Q112" s="57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30" x14ac:dyDescent="0.3">
      <c r="A113" s="92"/>
      <c r="B113" s="129" t="s">
        <v>213</v>
      </c>
      <c r="C113" s="120"/>
      <c r="D113" s="120"/>
      <c r="E113" s="94"/>
      <c r="F113" s="75">
        <v>0</v>
      </c>
      <c r="G113" s="75">
        <v>0</v>
      </c>
      <c r="H113" s="121">
        <v>6</v>
      </c>
      <c r="I113" s="121">
        <v>6</v>
      </c>
      <c r="J113" s="121"/>
      <c r="K113" s="122">
        <v>5</v>
      </c>
      <c r="L113" s="75"/>
      <c r="M113" s="79">
        <f t="shared" si="2"/>
        <v>1</v>
      </c>
      <c r="N113" s="75">
        <f t="shared" si="3"/>
        <v>1</v>
      </c>
      <c r="O113" s="56"/>
      <c r="P113" s="57"/>
      <c r="Q113" s="57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5.6" x14ac:dyDescent="0.3">
      <c r="A114" s="123"/>
      <c r="B114" s="124" t="s">
        <v>214</v>
      </c>
      <c r="C114" s="125"/>
      <c r="D114" s="125"/>
      <c r="E114" s="126"/>
      <c r="F114" s="112">
        <v>1</v>
      </c>
      <c r="G114" s="112">
        <v>1</v>
      </c>
      <c r="H114" s="127"/>
      <c r="I114" s="127"/>
      <c r="J114" s="127"/>
      <c r="K114" s="128">
        <v>0</v>
      </c>
      <c r="L114" s="112"/>
      <c r="M114" s="79">
        <f t="shared" si="2"/>
        <v>1</v>
      </c>
      <c r="N114" s="75">
        <f t="shared" si="3"/>
        <v>1</v>
      </c>
      <c r="O114" s="56"/>
      <c r="P114" s="57"/>
      <c r="Q114" s="57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6.2" thickBot="1" x14ac:dyDescent="0.35">
      <c r="A115" s="130"/>
      <c r="B115" s="131" t="s">
        <v>215</v>
      </c>
      <c r="C115" s="132"/>
      <c r="D115" s="132"/>
      <c r="E115" s="133"/>
      <c r="F115" s="134">
        <v>1</v>
      </c>
      <c r="G115" s="134">
        <v>1</v>
      </c>
      <c r="H115" s="135">
        <v>2</v>
      </c>
      <c r="I115" s="135">
        <v>2</v>
      </c>
      <c r="J115" s="135"/>
      <c r="K115" s="136">
        <v>0</v>
      </c>
      <c r="L115" s="134"/>
      <c r="M115" s="79">
        <f t="shared" si="2"/>
        <v>3</v>
      </c>
      <c r="N115" s="75">
        <f t="shared" si="3"/>
        <v>3</v>
      </c>
      <c r="O115" s="56"/>
      <c r="P115" s="57"/>
      <c r="Q115" s="57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5.75" customHeight="1" thickTop="1" x14ac:dyDescent="0.3">
      <c r="A116" s="137" t="s">
        <v>68</v>
      </c>
      <c r="B116" s="137"/>
      <c r="C116" s="137"/>
      <c r="D116" s="137"/>
      <c r="E116" s="138"/>
      <c r="F116" s="139">
        <f t="shared" ref="F116:J116" si="4">SUM(F8:F111)</f>
        <v>97.504999999999768</v>
      </c>
      <c r="G116" s="139">
        <f t="shared" si="4"/>
        <v>1161.03</v>
      </c>
      <c r="H116" s="139">
        <f>SUM(H8:H113)</f>
        <v>7567.6</v>
      </c>
      <c r="I116" s="139">
        <f>SUM(I8:I113)</f>
        <v>7676.4499999999989</v>
      </c>
      <c r="J116" s="139">
        <f t="shared" si="4"/>
        <v>0</v>
      </c>
      <c r="K116" s="139">
        <f>SUM(K8:K115)</f>
        <v>7839.3949999999986</v>
      </c>
      <c r="L116" s="139">
        <f t="shared" ref="L116:N116" si="5">SUM(L8:L110)</f>
        <v>0</v>
      </c>
      <c r="M116" s="139">
        <f t="shared" si="5"/>
        <v>-173.29000000000013</v>
      </c>
      <c r="N116" s="139">
        <f t="shared" si="5"/>
        <v>999.08500000000026</v>
      </c>
      <c r="O116" s="56"/>
      <c r="P116" s="57"/>
      <c r="Q116" s="57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5.75" customHeight="1" x14ac:dyDescent="0.3">
      <c r="A117" s="56"/>
      <c r="B117" s="56"/>
      <c r="C117" s="56"/>
      <c r="D117" s="56"/>
      <c r="E117" s="14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7"/>
      <c r="Q117" s="57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5.75" customHeight="1" x14ac:dyDescent="0.3">
      <c r="A118" s="56"/>
      <c r="B118" s="56"/>
      <c r="C118" s="56"/>
      <c r="D118" s="56"/>
      <c r="E118" s="14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7"/>
      <c r="Q118" s="57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5.75" customHeight="1" x14ac:dyDescent="0.3">
      <c r="A119" s="56"/>
      <c r="B119" s="56"/>
      <c r="C119" s="56"/>
      <c r="D119" s="56"/>
      <c r="E119" s="14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7"/>
      <c r="Q119" s="57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5.75" customHeight="1" x14ac:dyDescent="0.3">
      <c r="A120" s="56"/>
      <c r="B120" s="56"/>
      <c r="C120" s="56"/>
      <c r="D120" s="56"/>
      <c r="E120" s="14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7"/>
      <c r="Q120" s="57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5.75" customHeight="1" x14ac:dyDescent="0.3">
      <c r="A121" s="56"/>
      <c r="B121" s="56"/>
      <c r="C121" s="56"/>
      <c r="D121" s="56"/>
      <c r="E121" s="14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7"/>
      <c r="Q121" s="57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5.75" customHeight="1" x14ac:dyDescent="0.3">
      <c r="A122" s="56"/>
      <c r="B122" s="56"/>
      <c r="C122" s="56"/>
      <c r="D122" s="56"/>
      <c r="E122" s="14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7"/>
      <c r="Q122" s="57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5.75" customHeight="1" x14ac:dyDescent="0.3">
      <c r="A123" s="56"/>
      <c r="B123" s="56"/>
      <c r="C123" s="56"/>
      <c r="D123" s="56"/>
      <c r="E123" s="14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7"/>
      <c r="Q123" s="57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5.75" customHeight="1" x14ac:dyDescent="0.3">
      <c r="A124" s="56"/>
      <c r="B124" s="56"/>
      <c r="C124" s="56"/>
      <c r="D124" s="56"/>
      <c r="E124" s="14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7"/>
      <c r="Q124" s="57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5.75" customHeight="1" x14ac:dyDescent="0.3">
      <c r="A125" s="56"/>
      <c r="B125" s="56"/>
      <c r="C125" s="56"/>
      <c r="D125" s="56"/>
      <c r="E125" s="14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7"/>
      <c r="Q125" s="57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5.75" customHeight="1" x14ac:dyDescent="0.3">
      <c r="A126" s="56"/>
      <c r="B126" s="56"/>
      <c r="C126" s="56"/>
      <c r="D126" s="56"/>
      <c r="E126" s="14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7"/>
      <c r="Q126" s="57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5.75" customHeight="1" x14ac:dyDescent="0.3">
      <c r="A127" s="56"/>
      <c r="B127" s="56"/>
      <c r="C127" s="56"/>
      <c r="D127" s="56"/>
      <c r="E127" s="14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7"/>
      <c r="Q127" s="57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5.75" customHeight="1" x14ac:dyDescent="0.3">
      <c r="A128" s="56"/>
      <c r="B128" s="56"/>
      <c r="C128" s="56"/>
      <c r="D128" s="56"/>
      <c r="E128" s="14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7"/>
      <c r="Q128" s="57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5.75" customHeight="1" x14ac:dyDescent="0.3">
      <c r="A129" s="56"/>
      <c r="B129" s="56"/>
      <c r="C129" s="56"/>
      <c r="D129" s="56"/>
      <c r="E129" s="14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7"/>
      <c r="Q129" s="57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5.75" customHeight="1" x14ac:dyDescent="0.3">
      <c r="A130" s="56"/>
      <c r="B130" s="56"/>
      <c r="C130" s="56"/>
      <c r="D130" s="56"/>
      <c r="E130" s="14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7"/>
      <c r="Q130" s="57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5.75" customHeight="1" x14ac:dyDescent="0.3">
      <c r="A131" s="56"/>
      <c r="B131" s="56"/>
      <c r="C131" s="56"/>
      <c r="D131" s="56"/>
      <c r="E131" s="14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7"/>
      <c r="Q131" s="57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5.75" customHeight="1" x14ac:dyDescent="0.3">
      <c r="A132" s="56"/>
      <c r="B132" s="56"/>
      <c r="C132" s="56"/>
      <c r="D132" s="56"/>
      <c r="E132" s="14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7"/>
      <c r="Q132" s="57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5.75" customHeight="1" x14ac:dyDescent="0.3">
      <c r="A133" s="56"/>
      <c r="B133" s="56"/>
      <c r="C133" s="56"/>
      <c r="D133" s="56"/>
      <c r="E133" s="14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7"/>
      <c r="Q133" s="57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5.75" customHeight="1" x14ac:dyDescent="0.3">
      <c r="A134" s="56"/>
      <c r="B134" s="56"/>
      <c r="C134" s="56"/>
      <c r="D134" s="56"/>
      <c r="E134" s="14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7"/>
      <c r="Q134" s="57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5.75" customHeight="1" x14ac:dyDescent="0.3">
      <c r="A135" s="56"/>
      <c r="B135" s="56"/>
      <c r="C135" s="56"/>
      <c r="D135" s="56"/>
      <c r="E135" s="14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7"/>
      <c r="Q135" s="57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5.75" customHeight="1" x14ac:dyDescent="0.3">
      <c r="A136" s="56"/>
      <c r="B136" s="56"/>
      <c r="C136" s="56"/>
      <c r="D136" s="56"/>
      <c r="E136" s="14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7"/>
      <c r="Q136" s="57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5.75" customHeight="1" x14ac:dyDescent="0.3">
      <c r="A137" s="56"/>
      <c r="B137" s="56"/>
      <c r="C137" s="56"/>
      <c r="D137" s="56"/>
      <c r="E137" s="14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7"/>
      <c r="Q137" s="57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5.75" customHeight="1" x14ac:dyDescent="0.3">
      <c r="A138" s="56"/>
      <c r="B138" s="56"/>
      <c r="C138" s="56"/>
      <c r="D138" s="56"/>
      <c r="E138" s="14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7"/>
      <c r="Q138" s="57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5.75" customHeight="1" x14ac:dyDescent="0.3">
      <c r="A139" s="56"/>
      <c r="B139" s="56"/>
      <c r="C139" s="56"/>
      <c r="D139" s="56"/>
      <c r="E139" s="14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7"/>
      <c r="Q139" s="57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5.75" customHeight="1" x14ac:dyDescent="0.3">
      <c r="A140" s="56"/>
      <c r="B140" s="56"/>
      <c r="C140" s="56"/>
      <c r="D140" s="56"/>
      <c r="E140" s="14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7"/>
      <c r="Q140" s="57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5.75" customHeight="1" x14ac:dyDescent="0.3">
      <c r="A141" s="56"/>
      <c r="B141" s="56"/>
      <c r="C141" s="56"/>
      <c r="D141" s="56"/>
      <c r="E141" s="14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7"/>
      <c r="Q141" s="57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5.75" customHeight="1" x14ac:dyDescent="0.3">
      <c r="A142" s="56"/>
      <c r="B142" s="56"/>
      <c r="C142" s="56"/>
      <c r="D142" s="56"/>
      <c r="E142" s="14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7"/>
      <c r="Q142" s="57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5.75" customHeight="1" x14ac:dyDescent="0.3">
      <c r="A143" s="56"/>
      <c r="B143" s="56"/>
      <c r="C143" s="56"/>
      <c r="D143" s="56"/>
      <c r="E143" s="14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7"/>
      <c r="Q143" s="57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5.75" customHeight="1" x14ac:dyDescent="0.3">
      <c r="A144" s="56"/>
      <c r="B144" s="56"/>
      <c r="C144" s="56"/>
      <c r="D144" s="56"/>
      <c r="E144" s="14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7"/>
      <c r="Q144" s="57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5.75" customHeight="1" x14ac:dyDescent="0.3">
      <c r="A145" s="56"/>
      <c r="B145" s="56"/>
      <c r="C145" s="56"/>
      <c r="D145" s="56"/>
      <c r="E145" s="14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7"/>
      <c r="Q145" s="57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5.75" customHeight="1" x14ac:dyDescent="0.3">
      <c r="A146" s="56"/>
      <c r="B146" s="56"/>
      <c r="C146" s="56"/>
      <c r="D146" s="56"/>
      <c r="E146" s="14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7"/>
      <c r="Q146" s="57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5.75" customHeight="1" x14ac:dyDescent="0.3">
      <c r="A147" s="56"/>
      <c r="B147" s="56"/>
      <c r="C147" s="56"/>
      <c r="D147" s="56"/>
      <c r="E147" s="14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7"/>
      <c r="Q147" s="57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5.75" customHeight="1" x14ac:dyDescent="0.3">
      <c r="A148" s="56"/>
      <c r="B148" s="56"/>
      <c r="C148" s="56"/>
      <c r="D148" s="56"/>
      <c r="E148" s="14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7"/>
      <c r="Q148" s="57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5.75" customHeight="1" x14ac:dyDescent="0.3">
      <c r="A149" s="56"/>
      <c r="B149" s="56"/>
      <c r="C149" s="56"/>
      <c r="D149" s="56"/>
      <c r="E149" s="14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7"/>
      <c r="Q149" s="57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5.75" customHeight="1" x14ac:dyDescent="0.3">
      <c r="A150" s="56"/>
      <c r="B150" s="56"/>
      <c r="C150" s="56"/>
      <c r="D150" s="56"/>
      <c r="E150" s="14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7"/>
      <c r="Q150" s="57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5.75" customHeight="1" x14ac:dyDescent="0.3">
      <c r="A151" s="56"/>
      <c r="B151" s="56"/>
      <c r="C151" s="56"/>
      <c r="D151" s="56"/>
      <c r="E151" s="14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7"/>
      <c r="Q151" s="57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5.75" customHeight="1" x14ac:dyDescent="0.3">
      <c r="A152" s="56"/>
      <c r="B152" s="56"/>
      <c r="C152" s="56"/>
      <c r="D152" s="56"/>
      <c r="E152" s="14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7"/>
      <c r="Q152" s="57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5.75" customHeight="1" x14ac:dyDescent="0.3">
      <c r="A153" s="56"/>
      <c r="B153" s="56"/>
      <c r="C153" s="56"/>
      <c r="D153" s="56"/>
      <c r="E153" s="14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7"/>
      <c r="Q153" s="57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5.75" customHeight="1" x14ac:dyDescent="0.3">
      <c r="A154" s="56"/>
      <c r="B154" s="56"/>
      <c r="C154" s="56"/>
      <c r="D154" s="56"/>
      <c r="E154" s="14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7"/>
      <c r="Q154" s="57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5.75" customHeight="1" x14ac:dyDescent="0.3">
      <c r="A155" s="56"/>
      <c r="B155" s="56"/>
      <c r="C155" s="56"/>
      <c r="D155" s="56"/>
      <c r="E155" s="14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7"/>
      <c r="Q155" s="57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5.75" customHeight="1" x14ac:dyDescent="0.3">
      <c r="A156" s="56"/>
      <c r="B156" s="56"/>
      <c r="C156" s="56"/>
      <c r="D156" s="56"/>
      <c r="E156" s="14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7"/>
      <c r="Q156" s="57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5.75" customHeight="1" x14ac:dyDescent="0.3">
      <c r="A157" s="56"/>
      <c r="B157" s="56"/>
      <c r="C157" s="56"/>
      <c r="D157" s="56"/>
      <c r="E157" s="14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7"/>
      <c r="Q157" s="57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5.75" customHeight="1" x14ac:dyDescent="0.3">
      <c r="A158" s="56"/>
      <c r="B158" s="56"/>
      <c r="C158" s="56"/>
      <c r="D158" s="56"/>
      <c r="E158" s="14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7"/>
      <c r="Q158" s="57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5.75" customHeight="1" x14ac:dyDescent="0.3">
      <c r="A159" s="56"/>
      <c r="B159" s="56"/>
      <c r="C159" s="56"/>
      <c r="D159" s="56"/>
      <c r="E159" s="14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7"/>
      <c r="Q159" s="57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5.75" customHeight="1" x14ac:dyDescent="0.3">
      <c r="A160" s="56"/>
      <c r="B160" s="56"/>
      <c r="C160" s="56"/>
      <c r="D160" s="56"/>
      <c r="E160" s="14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7"/>
      <c r="Q160" s="57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5.75" customHeight="1" x14ac:dyDescent="0.3">
      <c r="A161" s="56"/>
      <c r="B161" s="56"/>
      <c r="C161" s="56"/>
      <c r="D161" s="56"/>
      <c r="E161" s="14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7"/>
      <c r="Q161" s="57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5.75" customHeight="1" x14ac:dyDescent="0.3">
      <c r="A162" s="56"/>
      <c r="B162" s="56"/>
      <c r="C162" s="56"/>
      <c r="D162" s="56"/>
      <c r="E162" s="14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7"/>
      <c r="Q162" s="57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5.75" customHeight="1" x14ac:dyDescent="0.3">
      <c r="A163" s="56"/>
      <c r="B163" s="56"/>
      <c r="C163" s="56"/>
      <c r="D163" s="56"/>
      <c r="E163" s="14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7"/>
      <c r="Q163" s="57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5.75" customHeight="1" x14ac:dyDescent="0.3">
      <c r="A164" s="56"/>
      <c r="B164" s="56"/>
      <c r="C164" s="56"/>
      <c r="D164" s="56"/>
      <c r="E164" s="14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7"/>
      <c r="Q164" s="57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5.75" customHeight="1" x14ac:dyDescent="0.3">
      <c r="A165" s="56"/>
      <c r="B165" s="56"/>
      <c r="C165" s="56"/>
      <c r="D165" s="56"/>
      <c r="E165" s="14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7"/>
      <c r="Q165" s="57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5.75" customHeight="1" x14ac:dyDescent="0.3">
      <c r="A166" s="56"/>
      <c r="B166" s="56"/>
      <c r="C166" s="56"/>
      <c r="D166" s="56"/>
      <c r="E166" s="14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7"/>
      <c r="Q166" s="57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5.75" customHeight="1" x14ac:dyDescent="0.3">
      <c r="A167" s="56"/>
      <c r="B167" s="56"/>
      <c r="C167" s="56"/>
      <c r="D167" s="56"/>
      <c r="E167" s="14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7"/>
      <c r="Q167" s="57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5.75" customHeight="1" x14ac:dyDescent="0.3">
      <c r="A168" s="56"/>
      <c r="B168" s="56"/>
      <c r="C168" s="56"/>
      <c r="D168" s="56"/>
      <c r="E168" s="14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7"/>
      <c r="Q168" s="57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5.75" customHeight="1" x14ac:dyDescent="0.3">
      <c r="A169" s="56"/>
      <c r="B169" s="56"/>
      <c r="C169" s="56"/>
      <c r="D169" s="56"/>
      <c r="E169" s="14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7"/>
      <c r="Q169" s="57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5.75" customHeight="1" x14ac:dyDescent="0.3">
      <c r="A170" s="56"/>
      <c r="B170" s="56"/>
      <c r="C170" s="56"/>
      <c r="D170" s="56"/>
      <c r="E170" s="14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7"/>
      <c r="Q170" s="57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5.75" customHeight="1" x14ac:dyDescent="0.3">
      <c r="A171" s="56"/>
      <c r="B171" s="56"/>
      <c r="C171" s="56"/>
      <c r="D171" s="56"/>
      <c r="E171" s="14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7"/>
      <c r="Q171" s="57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5.75" customHeight="1" x14ac:dyDescent="0.3">
      <c r="A172" s="56"/>
      <c r="B172" s="56"/>
      <c r="C172" s="56"/>
      <c r="D172" s="56"/>
      <c r="E172" s="14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7"/>
      <c r="Q172" s="57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5.75" customHeight="1" x14ac:dyDescent="0.3">
      <c r="A173" s="56"/>
      <c r="B173" s="56"/>
      <c r="C173" s="56"/>
      <c r="D173" s="56"/>
      <c r="E173" s="14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7"/>
      <c r="Q173" s="57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5.75" customHeight="1" x14ac:dyDescent="0.3">
      <c r="A174" s="56"/>
      <c r="B174" s="56"/>
      <c r="C174" s="56"/>
      <c r="D174" s="56"/>
      <c r="E174" s="14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7"/>
      <c r="Q174" s="57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5.75" customHeight="1" x14ac:dyDescent="0.3">
      <c r="A175" s="56"/>
      <c r="B175" s="56"/>
      <c r="C175" s="56"/>
      <c r="D175" s="56"/>
      <c r="E175" s="14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7"/>
      <c r="Q175" s="57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5.75" customHeight="1" x14ac:dyDescent="0.3">
      <c r="A176" s="56"/>
      <c r="B176" s="56"/>
      <c r="C176" s="56"/>
      <c r="D176" s="56"/>
      <c r="E176" s="14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7"/>
      <c r="Q176" s="57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5.75" customHeight="1" x14ac:dyDescent="0.3">
      <c r="A177" s="56"/>
      <c r="B177" s="56"/>
      <c r="C177" s="56"/>
      <c r="D177" s="56"/>
      <c r="E177" s="14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7"/>
      <c r="Q177" s="57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5.75" customHeight="1" x14ac:dyDescent="0.3">
      <c r="A178" s="56"/>
      <c r="B178" s="56"/>
      <c r="C178" s="56"/>
      <c r="D178" s="56"/>
      <c r="E178" s="14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7"/>
      <c r="Q178" s="57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5.75" customHeight="1" x14ac:dyDescent="0.3">
      <c r="A179" s="56"/>
      <c r="B179" s="56"/>
      <c r="C179" s="56"/>
      <c r="D179" s="56"/>
      <c r="E179" s="14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7"/>
      <c r="Q179" s="57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5.75" customHeight="1" x14ac:dyDescent="0.3">
      <c r="A180" s="56"/>
      <c r="B180" s="56"/>
      <c r="C180" s="56"/>
      <c r="D180" s="56"/>
      <c r="E180" s="14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7"/>
      <c r="Q180" s="57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5.75" customHeight="1" x14ac:dyDescent="0.3">
      <c r="A181" s="56"/>
      <c r="B181" s="56"/>
      <c r="C181" s="56"/>
      <c r="D181" s="56"/>
      <c r="E181" s="14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7"/>
      <c r="Q181" s="57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5.75" customHeight="1" x14ac:dyDescent="0.3">
      <c r="A182" s="56"/>
      <c r="B182" s="56"/>
      <c r="C182" s="56"/>
      <c r="D182" s="56"/>
      <c r="E182" s="14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7"/>
      <c r="Q182" s="57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5.75" customHeight="1" x14ac:dyDescent="0.3">
      <c r="A183" s="56"/>
      <c r="B183" s="56"/>
      <c r="C183" s="56"/>
      <c r="D183" s="56"/>
      <c r="E183" s="14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7"/>
      <c r="Q183" s="57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5.75" customHeight="1" x14ac:dyDescent="0.3">
      <c r="A184" s="56"/>
      <c r="B184" s="56"/>
      <c r="C184" s="56"/>
      <c r="D184" s="56"/>
      <c r="E184" s="14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7"/>
      <c r="Q184" s="57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5.75" customHeight="1" x14ac:dyDescent="0.3">
      <c r="A185" s="56"/>
      <c r="B185" s="56"/>
      <c r="C185" s="56"/>
      <c r="D185" s="56"/>
      <c r="E185" s="14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7"/>
      <c r="Q185" s="57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5.75" customHeight="1" x14ac:dyDescent="0.3">
      <c r="A186" s="56"/>
      <c r="B186" s="56"/>
      <c r="C186" s="56"/>
      <c r="D186" s="56"/>
      <c r="E186" s="14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7"/>
      <c r="Q186" s="57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5.75" customHeight="1" x14ac:dyDescent="0.3">
      <c r="A187" s="56"/>
      <c r="B187" s="56"/>
      <c r="C187" s="56"/>
      <c r="D187" s="56"/>
      <c r="E187" s="14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7"/>
      <c r="Q187" s="57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5.75" customHeight="1" x14ac:dyDescent="0.3">
      <c r="A188" s="56"/>
      <c r="B188" s="56"/>
      <c r="C188" s="56"/>
      <c r="D188" s="56"/>
      <c r="E188" s="14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7"/>
      <c r="Q188" s="57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5.75" customHeight="1" x14ac:dyDescent="0.3">
      <c r="A189" s="56"/>
      <c r="B189" s="56"/>
      <c r="C189" s="56"/>
      <c r="D189" s="56"/>
      <c r="E189" s="14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7"/>
      <c r="Q189" s="57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5.75" customHeight="1" x14ac:dyDescent="0.3">
      <c r="A190" s="56"/>
      <c r="B190" s="56"/>
      <c r="C190" s="56"/>
      <c r="D190" s="56"/>
      <c r="E190" s="14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7"/>
      <c r="Q190" s="57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5.75" customHeight="1" x14ac:dyDescent="0.3">
      <c r="A191" s="56"/>
      <c r="B191" s="56"/>
      <c r="C191" s="56"/>
      <c r="D191" s="56"/>
      <c r="E191" s="14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7"/>
      <c r="Q191" s="57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5.75" customHeight="1" x14ac:dyDescent="0.3">
      <c r="A192" s="56"/>
      <c r="B192" s="56"/>
      <c r="C192" s="56"/>
      <c r="D192" s="56"/>
      <c r="E192" s="14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7"/>
      <c r="Q192" s="57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5.75" customHeight="1" x14ac:dyDescent="0.3">
      <c r="A193" s="56"/>
      <c r="B193" s="56"/>
      <c r="C193" s="56"/>
      <c r="D193" s="56"/>
      <c r="E193" s="14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7"/>
      <c r="Q193" s="57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5.75" customHeight="1" x14ac:dyDescent="0.3">
      <c r="A194" s="56"/>
      <c r="B194" s="56"/>
      <c r="C194" s="56"/>
      <c r="D194" s="56"/>
      <c r="E194" s="14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7"/>
      <c r="Q194" s="57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5.75" customHeight="1" x14ac:dyDescent="0.3">
      <c r="A195" s="56"/>
      <c r="B195" s="56"/>
      <c r="C195" s="56"/>
      <c r="D195" s="56"/>
      <c r="E195" s="14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7"/>
      <c r="Q195" s="57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5.75" customHeight="1" x14ac:dyDescent="0.3">
      <c r="A196" s="56"/>
      <c r="B196" s="56"/>
      <c r="C196" s="56"/>
      <c r="D196" s="56"/>
      <c r="E196" s="14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7"/>
      <c r="Q196" s="57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5.75" customHeight="1" x14ac:dyDescent="0.3">
      <c r="A197" s="56"/>
      <c r="B197" s="56"/>
      <c r="C197" s="56"/>
      <c r="D197" s="56"/>
      <c r="E197" s="14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7"/>
      <c r="Q197" s="57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5.75" customHeight="1" x14ac:dyDescent="0.3">
      <c r="A198" s="56"/>
      <c r="B198" s="56"/>
      <c r="C198" s="56"/>
      <c r="D198" s="56"/>
      <c r="E198" s="14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7"/>
      <c r="Q198" s="57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5.75" customHeight="1" x14ac:dyDescent="0.3">
      <c r="A199" s="56"/>
      <c r="B199" s="56"/>
      <c r="C199" s="56"/>
      <c r="D199" s="56"/>
      <c r="E199" s="14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7"/>
      <c r="Q199" s="57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5.75" customHeight="1" x14ac:dyDescent="0.3">
      <c r="A200" s="56"/>
      <c r="B200" s="56"/>
      <c r="C200" s="56"/>
      <c r="D200" s="56"/>
      <c r="E200" s="14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7"/>
      <c r="Q200" s="57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5.75" customHeight="1" x14ac:dyDescent="0.3">
      <c r="A201" s="56"/>
      <c r="B201" s="56"/>
      <c r="C201" s="56"/>
      <c r="D201" s="56"/>
      <c r="E201" s="14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7"/>
      <c r="Q201" s="57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5.75" customHeight="1" x14ac:dyDescent="0.3">
      <c r="A202" s="56"/>
      <c r="B202" s="56"/>
      <c r="C202" s="56"/>
      <c r="D202" s="56"/>
      <c r="E202" s="14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7"/>
      <c r="Q202" s="57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5.75" customHeight="1" x14ac:dyDescent="0.3">
      <c r="A203" s="56"/>
      <c r="B203" s="56"/>
      <c r="C203" s="56"/>
      <c r="D203" s="56"/>
      <c r="E203" s="14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7"/>
      <c r="Q203" s="57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5.75" customHeight="1" x14ac:dyDescent="0.3">
      <c r="A204" s="56"/>
      <c r="B204" s="56"/>
      <c r="C204" s="56"/>
      <c r="D204" s="56"/>
      <c r="E204" s="14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7"/>
      <c r="Q204" s="57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5.75" customHeight="1" x14ac:dyDescent="0.3">
      <c r="A205" s="56"/>
      <c r="B205" s="56"/>
      <c r="C205" s="56"/>
      <c r="D205" s="56"/>
      <c r="E205" s="14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7"/>
      <c r="Q205" s="57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5.75" customHeight="1" x14ac:dyDescent="0.3">
      <c r="A206" s="56"/>
      <c r="B206" s="56"/>
      <c r="C206" s="56"/>
      <c r="D206" s="56"/>
      <c r="E206" s="14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7"/>
      <c r="Q206" s="57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5.75" customHeight="1" x14ac:dyDescent="0.3">
      <c r="A207" s="56"/>
      <c r="B207" s="56"/>
      <c r="C207" s="56"/>
      <c r="D207" s="56"/>
      <c r="E207" s="14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7"/>
      <c r="Q207" s="57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5.75" customHeight="1" x14ac:dyDescent="0.3">
      <c r="A208" s="56"/>
      <c r="B208" s="56"/>
      <c r="C208" s="56"/>
      <c r="D208" s="56"/>
      <c r="E208" s="14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7"/>
      <c r="Q208" s="57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5.75" customHeight="1" x14ac:dyDescent="0.3">
      <c r="A209" s="56"/>
      <c r="B209" s="56"/>
      <c r="C209" s="56"/>
      <c r="D209" s="56"/>
      <c r="E209" s="14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7"/>
      <c r="Q209" s="57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5.75" customHeight="1" x14ac:dyDescent="0.3">
      <c r="A210" s="56"/>
      <c r="B210" s="56"/>
      <c r="C210" s="56"/>
      <c r="D210" s="56"/>
      <c r="E210" s="14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7"/>
      <c r="Q210" s="57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5.75" customHeight="1" x14ac:dyDescent="0.3">
      <c r="A211" s="56"/>
      <c r="B211" s="56"/>
      <c r="C211" s="56"/>
      <c r="D211" s="56"/>
      <c r="E211" s="14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7"/>
      <c r="Q211" s="57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5.75" customHeight="1" x14ac:dyDescent="0.3">
      <c r="A212" s="56"/>
      <c r="B212" s="56"/>
      <c r="C212" s="56"/>
      <c r="D212" s="56"/>
      <c r="E212" s="14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7"/>
      <c r="Q212" s="57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5.75" customHeight="1" x14ac:dyDescent="0.3">
      <c r="A213" s="56"/>
      <c r="B213" s="56"/>
      <c r="C213" s="56"/>
      <c r="D213" s="56"/>
      <c r="E213" s="14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7"/>
      <c r="Q213" s="57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5.75" customHeight="1" x14ac:dyDescent="0.3">
      <c r="A214" s="56"/>
      <c r="B214" s="56"/>
      <c r="C214" s="56"/>
      <c r="D214" s="56"/>
      <c r="E214" s="14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7"/>
      <c r="Q214" s="57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5.75" customHeight="1" x14ac:dyDescent="0.3">
      <c r="A215" s="56"/>
      <c r="B215" s="56"/>
      <c r="C215" s="56"/>
      <c r="D215" s="56"/>
      <c r="E215" s="14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7"/>
      <c r="Q215" s="57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5.75" customHeight="1" x14ac:dyDescent="0.3">
      <c r="A216" s="56"/>
      <c r="B216" s="56"/>
      <c r="C216" s="56"/>
      <c r="D216" s="56"/>
      <c r="E216" s="14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7"/>
      <c r="Q216" s="57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5.75" customHeight="1" x14ac:dyDescent="0.3">
      <c r="A217" s="56"/>
      <c r="B217" s="56"/>
      <c r="C217" s="56"/>
      <c r="D217" s="56"/>
      <c r="E217" s="14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7"/>
      <c r="Q217" s="57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5.75" customHeight="1" x14ac:dyDescent="0.3">
      <c r="A218" s="56"/>
      <c r="B218" s="56"/>
      <c r="C218" s="56"/>
      <c r="D218" s="56"/>
      <c r="E218" s="14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7"/>
      <c r="Q218" s="57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5.75" customHeight="1" x14ac:dyDescent="0.3">
      <c r="A219" s="56"/>
      <c r="B219" s="56"/>
      <c r="C219" s="56"/>
      <c r="D219" s="56"/>
      <c r="E219" s="14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7"/>
      <c r="Q219" s="57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5.75" customHeight="1" x14ac:dyDescent="0.3">
      <c r="A220" s="56"/>
      <c r="B220" s="56"/>
      <c r="C220" s="56"/>
      <c r="D220" s="56"/>
      <c r="E220" s="14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7"/>
      <c r="Q220" s="57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5.75" customHeight="1" x14ac:dyDescent="0.3">
      <c r="A221" s="56"/>
      <c r="B221" s="56"/>
      <c r="C221" s="56"/>
      <c r="D221" s="56"/>
      <c r="E221" s="14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7"/>
      <c r="Q221" s="57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5.75" customHeight="1" x14ac:dyDescent="0.3">
      <c r="A222" s="56"/>
      <c r="B222" s="56"/>
      <c r="C222" s="56"/>
      <c r="D222" s="56"/>
      <c r="E222" s="14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7"/>
      <c r="Q222" s="57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5.75" customHeight="1" x14ac:dyDescent="0.3">
      <c r="A223" s="56"/>
      <c r="B223" s="56"/>
      <c r="C223" s="56"/>
      <c r="D223" s="56"/>
      <c r="E223" s="14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7"/>
      <c r="Q223" s="57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5.75" customHeight="1" x14ac:dyDescent="0.3">
      <c r="A224" s="56"/>
      <c r="B224" s="56"/>
      <c r="C224" s="56"/>
      <c r="D224" s="56"/>
      <c r="E224" s="14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7"/>
      <c r="Q224" s="57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5.75" customHeight="1" x14ac:dyDescent="0.3">
      <c r="A225" s="56"/>
      <c r="B225" s="56"/>
      <c r="C225" s="56"/>
      <c r="D225" s="56"/>
      <c r="E225" s="14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7"/>
      <c r="Q225" s="57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5.75" customHeight="1" x14ac:dyDescent="0.3">
      <c r="A226" s="56"/>
      <c r="B226" s="56"/>
      <c r="C226" s="56"/>
      <c r="D226" s="56"/>
      <c r="E226" s="14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7"/>
      <c r="Q226" s="57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5.75" customHeight="1" x14ac:dyDescent="0.3">
      <c r="A227" s="56"/>
      <c r="B227" s="56"/>
      <c r="C227" s="56"/>
      <c r="D227" s="56"/>
      <c r="E227" s="14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7"/>
      <c r="Q227" s="57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5.75" customHeight="1" x14ac:dyDescent="0.3">
      <c r="A228" s="56"/>
      <c r="B228" s="56"/>
      <c r="C228" s="56"/>
      <c r="D228" s="56"/>
      <c r="E228" s="14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7"/>
      <c r="Q228" s="57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5.75" customHeight="1" x14ac:dyDescent="0.3">
      <c r="A229" s="56"/>
      <c r="B229" s="56"/>
      <c r="C229" s="56"/>
      <c r="D229" s="56"/>
      <c r="E229" s="14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7"/>
      <c r="Q229" s="57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5.75" customHeight="1" x14ac:dyDescent="0.3">
      <c r="A230" s="56"/>
      <c r="B230" s="56"/>
      <c r="C230" s="56"/>
      <c r="D230" s="56"/>
      <c r="E230" s="14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7"/>
      <c r="Q230" s="57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5.75" customHeight="1" x14ac:dyDescent="0.3">
      <c r="A231" s="56"/>
      <c r="B231" s="56"/>
      <c r="C231" s="56"/>
      <c r="D231" s="56"/>
      <c r="E231" s="14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7"/>
      <c r="Q231" s="57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5.75" customHeight="1" x14ac:dyDescent="0.3">
      <c r="A232" s="56"/>
      <c r="B232" s="56"/>
      <c r="C232" s="56"/>
      <c r="D232" s="56"/>
      <c r="E232" s="14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7"/>
      <c r="Q232" s="57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5.75" customHeight="1" x14ac:dyDescent="0.3">
      <c r="A233" s="56"/>
      <c r="B233" s="56"/>
      <c r="C233" s="56"/>
      <c r="D233" s="56"/>
      <c r="E233" s="14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7"/>
      <c r="Q233" s="57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5.75" customHeight="1" x14ac:dyDescent="0.3">
      <c r="A234" s="56"/>
      <c r="B234" s="56"/>
      <c r="C234" s="56"/>
      <c r="D234" s="56"/>
      <c r="E234" s="14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7"/>
      <c r="Q234" s="57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5.75" customHeight="1" x14ac:dyDescent="0.3">
      <c r="A235" s="56"/>
      <c r="B235" s="56"/>
      <c r="C235" s="56"/>
      <c r="D235" s="56"/>
      <c r="E235" s="14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7"/>
      <c r="Q235" s="57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5.75" customHeight="1" x14ac:dyDescent="0.3">
      <c r="A236" s="56"/>
      <c r="B236" s="56"/>
      <c r="C236" s="56"/>
      <c r="D236" s="56"/>
      <c r="E236" s="14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7"/>
      <c r="Q236" s="57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5.75" customHeight="1" x14ac:dyDescent="0.3">
      <c r="A237" s="56"/>
      <c r="B237" s="56"/>
      <c r="C237" s="56"/>
      <c r="D237" s="56"/>
      <c r="E237" s="14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7"/>
      <c r="Q237" s="57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5.75" customHeight="1" x14ac:dyDescent="0.3">
      <c r="A238" s="56"/>
      <c r="B238" s="56"/>
      <c r="C238" s="56"/>
      <c r="D238" s="56"/>
      <c r="E238" s="14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7"/>
      <c r="Q238" s="57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5.75" customHeight="1" x14ac:dyDescent="0.3">
      <c r="A239" s="56"/>
      <c r="B239" s="56"/>
      <c r="C239" s="56"/>
      <c r="D239" s="56"/>
      <c r="E239" s="14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7"/>
      <c r="Q239" s="57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5.75" customHeight="1" x14ac:dyDescent="0.3">
      <c r="A240" s="56"/>
      <c r="B240" s="56"/>
      <c r="C240" s="56"/>
      <c r="D240" s="56"/>
      <c r="E240" s="14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7"/>
      <c r="Q240" s="57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5.75" customHeight="1" x14ac:dyDescent="0.3">
      <c r="A241" s="56"/>
      <c r="B241" s="56"/>
      <c r="C241" s="56"/>
      <c r="D241" s="56"/>
      <c r="E241" s="14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7"/>
      <c r="Q241" s="57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5.75" customHeight="1" x14ac:dyDescent="0.3">
      <c r="A242" s="56"/>
      <c r="B242" s="56"/>
      <c r="C242" s="56"/>
      <c r="D242" s="56"/>
      <c r="E242" s="14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7"/>
      <c r="Q242" s="57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5.75" customHeight="1" x14ac:dyDescent="0.3">
      <c r="A243" s="56"/>
      <c r="B243" s="56"/>
      <c r="C243" s="56"/>
      <c r="D243" s="56"/>
      <c r="E243" s="14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7"/>
      <c r="Q243" s="57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5.75" customHeight="1" x14ac:dyDescent="0.3">
      <c r="A244" s="56"/>
      <c r="B244" s="56"/>
      <c r="C244" s="56"/>
      <c r="D244" s="56"/>
      <c r="E244" s="14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7"/>
      <c r="Q244" s="57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5.75" customHeight="1" x14ac:dyDescent="0.3">
      <c r="A245" s="56"/>
      <c r="B245" s="56"/>
      <c r="C245" s="56"/>
      <c r="D245" s="56"/>
      <c r="E245" s="14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7"/>
      <c r="Q245" s="57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5.75" customHeight="1" x14ac:dyDescent="0.3">
      <c r="A246" s="56"/>
      <c r="B246" s="56"/>
      <c r="C246" s="56"/>
      <c r="D246" s="56"/>
      <c r="E246" s="14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7"/>
      <c r="Q246" s="57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5.75" customHeight="1" x14ac:dyDescent="0.3">
      <c r="A247" s="56"/>
      <c r="B247" s="56"/>
      <c r="C247" s="56"/>
      <c r="D247" s="56"/>
      <c r="E247" s="14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7"/>
      <c r="Q247" s="57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5.75" customHeight="1" x14ac:dyDescent="0.3">
      <c r="A248" s="56"/>
      <c r="B248" s="56"/>
      <c r="C248" s="56"/>
      <c r="D248" s="56"/>
      <c r="E248" s="14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7"/>
      <c r="Q248" s="57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5.75" customHeight="1" x14ac:dyDescent="0.3">
      <c r="A249" s="56"/>
      <c r="B249" s="56"/>
      <c r="C249" s="56"/>
      <c r="D249" s="56"/>
      <c r="E249" s="14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7"/>
      <c r="Q249" s="57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5.75" customHeight="1" x14ac:dyDescent="0.3">
      <c r="A250" s="56"/>
      <c r="B250" s="56"/>
      <c r="C250" s="56"/>
      <c r="D250" s="56"/>
      <c r="E250" s="14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7"/>
      <c r="Q250" s="57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5.75" customHeight="1" x14ac:dyDescent="0.3">
      <c r="A251" s="56"/>
      <c r="B251" s="56"/>
      <c r="C251" s="56"/>
      <c r="D251" s="56"/>
      <c r="E251" s="14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7"/>
      <c r="Q251" s="57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5.75" customHeight="1" x14ac:dyDescent="0.3">
      <c r="A252" s="56"/>
      <c r="B252" s="56"/>
      <c r="C252" s="56"/>
      <c r="D252" s="56"/>
      <c r="E252" s="14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7"/>
      <c r="Q252" s="57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5.75" customHeight="1" x14ac:dyDescent="0.3">
      <c r="A253" s="56"/>
      <c r="B253" s="56"/>
      <c r="C253" s="56"/>
      <c r="D253" s="56"/>
      <c r="E253" s="14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7"/>
      <c r="Q253" s="57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5.75" customHeight="1" x14ac:dyDescent="0.3">
      <c r="A254" s="56"/>
      <c r="B254" s="56"/>
      <c r="C254" s="56"/>
      <c r="D254" s="56"/>
      <c r="E254" s="14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7"/>
      <c r="Q254" s="57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5.75" customHeight="1" x14ac:dyDescent="0.3">
      <c r="A255" s="56"/>
      <c r="B255" s="56"/>
      <c r="C255" s="56"/>
      <c r="D255" s="56"/>
      <c r="E255" s="14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7"/>
      <c r="Q255" s="57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5.75" customHeight="1" x14ac:dyDescent="0.3">
      <c r="A256" s="56"/>
      <c r="B256" s="56"/>
      <c r="C256" s="56"/>
      <c r="D256" s="56"/>
      <c r="E256" s="14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7"/>
      <c r="Q256" s="57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5.75" customHeight="1" x14ac:dyDescent="0.3">
      <c r="A257" s="56"/>
      <c r="B257" s="56"/>
      <c r="C257" s="56"/>
      <c r="D257" s="56"/>
      <c r="E257" s="14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7"/>
      <c r="Q257" s="57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5.75" customHeight="1" x14ac:dyDescent="0.3">
      <c r="A258" s="56"/>
      <c r="B258" s="56"/>
      <c r="C258" s="56"/>
      <c r="D258" s="56"/>
      <c r="E258" s="14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7"/>
      <c r="Q258" s="57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5.75" customHeight="1" x14ac:dyDescent="0.3">
      <c r="A259" s="56"/>
      <c r="B259" s="56"/>
      <c r="C259" s="56"/>
      <c r="D259" s="56"/>
      <c r="E259" s="14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7"/>
      <c r="Q259" s="57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5.75" customHeight="1" x14ac:dyDescent="0.3">
      <c r="A260" s="56"/>
      <c r="B260" s="56"/>
      <c r="C260" s="56"/>
      <c r="D260" s="56"/>
      <c r="E260" s="14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7"/>
      <c r="Q260" s="57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5.75" customHeight="1" x14ac:dyDescent="0.3">
      <c r="A261" s="56"/>
      <c r="B261" s="56"/>
      <c r="C261" s="56"/>
      <c r="D261" s="56"/>
      <c r="E261" s="14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7"/>
      <c r="Q261" s="57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5.75" customHeight="1" x14ac:dyDescent="0.3">
      <c r="A262" s="56"/>
      <c r="B262" s="56"/>
      <c r="C262" s="56"/>
      <c r="D262" s="56"/>
      <c r="E262" s="14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7"/>
      <c r="Q262" s="57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5.75" customHeight="1" x14ac:dyDescent="0.3">
      <c r="A263" s="56"/>
      <c r="B263" s="56"/>
      <c r="C263" s="56"/>
      <c r="D263" s="56"/>
      <c r="E263" s="14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7"/>
      <c r="Q263" s="57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5.75" customHeight="1" x14ac:dyDescent="0.3">
      <c r="A264" s="56"/>
      <c r="B264" s="56"/>
      <c r="C264" s="56"/>
      <c r="D264" s="56"/>
      <c r="E264" s="14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7"/>
      <c r="Q264" s="57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15.75" customHeight="1" x14ac:dyDescent="0.3">
      <c r="A265" s="56"/>
      <c r="B265" s="56"/>
      <c r="C265" s="56"/>
      <c r="D265" s="56"/>
      <c r="E265" s="14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7"/>
      <c r="Q265" s="57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15.75" customHeight="1" x14ac:dyDescent="0.3">
      <c r="A266" s="56"/>
      <c r="B266" s="56"/>
      <c r="C266" s="56"/>
      <c r="D266" s="56"/>
      <c r="E266" s="14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7"/>
      <c r="Q266" s="57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15.75" customHeight="1" x14ac:dyDescent="0.3">
      <c r="A267" s="56"/>
      <c r="B267" s="56"/>
      <c r="C267" s="56"/>
      <c r="D267" s="56"/>
      <c r="E267" s="14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7"/>
      <c r="Q267" s="57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15.75" customHeight="1" x14ac:dyDescent="0.3">
      <c r="A268" s="56"/>
      <c r="B268" s="56"/>
      <c r="C268" s="56"/>
      <c r="D268" s="56"/>
      <c r="E268" s="14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7"/>
      <c r="Q268" s="57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15.75" customHeight="1" x14ac:dyDescent="0.3">
      <c r="A269" s="56"/>
      <c r="B269" s="56"/>
      <c r="C269" s="56"/>
      <c r="D269" s="56"/>
      <c r="E269" s="14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7"/>
      <c r="Q269" s="57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15.75" customHeight="1" x14ac:dyDescent="0.3">
      <c r="A270" s="56"/>
      <c r="B270" s="56"/>
      <c r="C270" s="56"/>
      <c r="D270" s="56"/>
      <c r="E270" s="14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7"/>
      <c r="Q270" s="57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15.75" customHeight="1" x14ac:dyDescent="0.3">
      <c r="A271" s="56"/>
      <c r="B271" s="56"/>
      <c r="C271" s="56"/>
      <c r="D271" s="56"/>
      <c r="E271" s="14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7"/>
      <c r="Q271" s="57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15.75" customHeight="1" x14ac:dyDescent="0.3">
      <c r="A272" s="56"/>
      <c r="B272" s="56"/>
      <c r="C272" s="56"/>
      <c r="D272" s="56"/>
      <c r="E272" s="14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7"/>
      <c r="Q272" s="57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15.75" customHeight="1" x14ac:dyDescent="0.3">
      <c r="A273" s="56"/>
      <c r="B273" s="56"/>
      <c r="C273" s="56"/>
      <c r="D273" s="56"/>
      <c r="E273" s="14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7"/>
      <c r="Q273" s="57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15.75" customHeight="1" x14ac:dyDescent="0.3">
      <c r="A274" s="56"/>
      <c r="B274" s="56"/>
      <c r="C274" s="56"/>
      <c r="D274" s="56"/>
      <c r="E274" s="14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7"/>
      <c r="Q274" s="57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15.75" customHeight="1" x14ac:dyDescent="0.3">
      <c r="A275" s="56"/>
      <c r="B275" s="56"/>
      <c r="C275" s="56"/>
      <c r="D275" s="56"/>
      <c r="E275" s="14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7"/>
      <c r="Q275" s="57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15.75" customHeight="1" x14ac:dyDescent="0.3">
      <c r="A276" s="56"/>
      <c r="B276" s="56"/>
      <c r="C276" s="56"/>
      <c r="D276" s="56"/>
      <c r="E276" s="14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7"/>
      <c r="Q276" s="57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15.75" customHeight="1" x14ac:dyDescent="0.3">
      <c r="A277" s="56"/>
      <c r="B277" s="56"/>
      <c r="C277" s="56"/>
      <c r="D277" s="56"/>
      <c r="E277" s="14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7"/>
      <c r="Q277" s="57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15.75" customHeight="1" x14ac:dyDescent="0.3">
      <c r="A278" s="56"/>
      <c r="B278" s="56"/>
      <c r="C278" s="56"/>
      <c r="D278" s="56"/>
      <c r="E278" s="14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7"/>
      <c r="Q278" s="57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15.75" customHeight="1" x14ac:dyDescent="0.3">
      <c r="A279" s="56"/>
      <c r="B279" s="56"/>
      <c r="C279" s="56"/>
      <c r="D279" s="56"/>
      <c r="E279" s="14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7"/>
      <c r="Q279" s="57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15.75" customHeight="1" x14ac:dyDescent="0.3">
      <c r="A280" s="56"/>
      <c r="B280" s="56"/>
      <c r="C280" s="56"/>
      <c r="D280" s="56"/>
      <c r="E280" s="14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7"/>
      <c r="Q280" s="57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15.75" customHeight="1" x14ac:dyDescent="0.3">
      <c r="A281" s="56"/>
      <c r="B281" s="56"/>
      <c r="C281" s="56"/>
      <c r="D281" s="56"/>
      <c r="E281" s="14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7"/>
      <c r="Q281" s="57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15.75" customHeight="1" x14ac:dyDescent="0.3">
      <c r="A282" s="56"/>
      <c r="B282" s="56"/>
      <c r="C282" s="56"/>
      <c r="D282" s="56"/>
      <c r="E282" s="14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7"/>
      <c r="Q282" s="57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15.75" customHeight="1" x14ac:dyDescent="0.3">
      <c r="A283" s="56"/>
      <c r="B283" s="56"/>
      <c r="C283" s="56"/>
      <c r="D283" s="56"/>
      <c r="E283" s="14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7"/>
      <c r="Q283" s="57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15.75" customHeight="1" x14ac:dyDescent="0.3">
      <c r="A284" s="56"/>
      <c r="B284" s="56"/>
      <c r="C284" s="56"/>
      <c r="D284" s="56"/>
      <c r="E284" s="14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7"/>
      <c r="Q284" s="57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15.75" customHeight="1" x14ac:dyDescent="0.3">
      <c r="A285" s="56"/>
      <c r="B285" s="56"/>
      <c r="C285" s="56"/>
      <c r="D285" s="56"/>
      <c r="E285" s="14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7"/>
      <c r="Q285" s="57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15.75" customHeight="1" x14ac:dyDescent="0.3">
      <c r="A286" s="56"/>
      <c r="B286" s="56"/>
      <c r="C286" s="56"/>
      <c r="D286" s="56"/>
      <c r="E286" s="14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7"/>
      <c r="Q286" s="57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15.75" customHeight="1" x14ac:dyDescent="0.3">
      <c r="A287" s="56"/>
      <c r="B287" s="56"/>
      <c r="C287" s="56"/>
      <c r="D287" s="56"/>
      <c r="E287" s="14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7"/>
      <c r="Q287" s="57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15.75" customHeight="1" x14ac:dyDescent="0.3">
      <c r="A288" s="56"/>
      <c r="B288" s="56"/>
      <c r="C288" s="56"/>
      <c r="D288" s="56"/>
      <c r="E288" s="14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7"/>
      <c r="Q288" s="57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15.75" customHeight="1" x14ac:dyDescent="0.3">
      <c r="A289" s="56"/>
      <c r="B289" s="56"/>
      <c r="C289" s="56"/>
      <c r="D289" s="56"/>
      <c r="E289" s="14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7"/>
      <c r="Q289" s="57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15.75" customHeight="1" x14ac:dyDescent="0.3">
      <c r="A290" s="56"/>
      <c r="B290" s="56"/>
      <c r="C290" s="56"/>
      <c r="D290" s="56"/>
      <c r="E290" s="14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7"/>
      <c r="Q290" s="57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15.75" customHeight="1" x14ac:dyDescent="0.3">
      <c r="A291" s="56"/>
      <c r="B291" s="56"/>
      <c r="C291" s="56"/>
      <c r="D291" s="56"/>
      <c r="E291" s="14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7"/>
      <c r="Q291" s="57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15.75" customHeight="1" x14ac:dyDescent="0.3">
      <c r="A292" s="56"/>
      <c r="B292" s="56"/>
      <c r="C292" s="56"/>
      <c r="D292" s="56"/>
      <c r="E292" s="14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7"/>
      <c r="Q292" s="57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15.75" customHeight="1" x14ac:dyDescent="0.3">
      <c r="A293" s="56"/>
      <c r="B293" s="56"/>
      <c r="C293" s="56"/>
      <c r="D293" s="56"/>
      <c r="E293" s="14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7"/>
      <c r="Q293" s="57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15.75" customHeight="1" x14ac:dyDescent="0.3">
      <c r="A294" s="56"/>
      <c r="B294" s="56"/>
      <c r="C294" s="56"/>
      <c r="D294" s="56"/>
      <c r="E294" s="14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7"/>
      <c r="Q294" s="57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15.75" customHeight="1" x14ac:dyDescent="0.3">
      <c r="A295" s="56"/>
      <c r="B295" s="56"/>
      <c r="C295" s="56"/>
      <c r="D295" s="56"/>
      <c r="E295" s="14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7"/>
      <c r="Q295" s="57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15.75" customHeight="1" x14ac:dyDescent="0.3">
      <c r="A296" s="56"/>
      <c r="B296" s="56"/>
      <c r="C296" s="56"/>
      <c r="D296" s="56"/>
      <c r="E296" s="14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7"/>
      <c r="Q296" s="57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15.75" customHeight="1" x14ac:dyDescent="0.3">
      <c r="A297" s="56"/>
      <c r="B297" s="56"/>
      <c r="C297" s="56"/>
      <c r="D297" s="56"/>
      <c r="E297" s="14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7"/>
      <c r="Q297" s="57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15.75" customHeight="1" x14ac:dyDescent="0.3">
      <c r="A298" s="56"/>
      <c r="B298" s="56"/>
      <c r="C298" s="56"/>
      <c r="D298" s="56"/>
      <c r="E298" s="14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7"/>
      <c r="Q298" s="57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15.75" customHeight="1" x14ac:dyDescent="0.3">
      <c r="A299" s="56"/>
      <c r="B299" s="56"/>
      <c r="C299" s="56"/>
      <c r="D299" s="56"/>
      <c r="E299" s="14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7"/>
      <c r="Q299" s="57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15.75" customHeight="1" x14ac:dyDescent="0.3">
      <c r="A300" s="56"/>
      <c r="B300" s="56"/>
      <c r="C300" s="56"/>
      <c r="D300" s="56"/>
      <c r="E300" s="14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7"/>
      <c r="Q300" s="57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15.75" customHeight="1" x14ac:dyDescent="0.3">
      <c r="A301" s="56"/>
      <c r="B301" s="56"/>
      <c r="C301" s="56"/>
      <c r="D301" s="56"/>
      <c r="E301" s="14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7"/>
      <c r="Q301" s="57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15.75" customHeight="1" x14ac:dyDescent="0.3">
      <c r="A302" s="56"/>
      <c r="B302" s="56"/>
      <c r="C302" s="56"/>
      <c r="D302" s="56"/>
      <c r="E302" s="14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7"/>
      <c r="Q302" s="57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15.75" customHeight="1" x14ac:dyDescent="0.3">
      <c r="A303" s="56"/>
      <c r="B303" s="56"/>
      <c r="C303" s="56"/>
      <c r="D303" s="56"/>
      <c r="E303" s="14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7"/>
      <c r="Q303" s="57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15.75" customHeight="1" x14ac:dyDescent="0.3">
      <c r="A304" s="56"/>
      <c r="B304" s="56"/>
      <c r="C304" s="56"/>
      <c r="D304" s="56"/>
      <c r="E304" s="14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7"/>
      <c r="Q304" s="57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15.75" customHeight="1" x14ac:dyDescent="0.3">
      <c r="A305" s="56"/>
      <c r="B305" s="56"/>
      <c r="C305" s="56"/>
      <c r="D305" s="56"/>
      <c r="E305" s="14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7"/>
      <c r="Q305" s="57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15.75" customHeight="1" x14ac:dyDescent="0.3">
      <c r="A306" s="56"/>
      <c r="B306" s="56"/>
      <c r="C306" s="56"/>
      <c r="D306" s="56"/>
      <c r="E306" s="14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7"/>
      <c r="Q306" s="57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15.75" customHeight="1" x14ac:dyDescent="0.3">
      <c r="A307" s="56"/>
      <c r="B307" s="56"/>
      <c r="C307" s="56"/>
      <c r="D307" s="56"/>
      <c r="E307" s="14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7"/>
      <c r="Q307" s="57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15.75" customHeight="1" x14ac:dyDescent="0.3">
      <c r="A308" s="56"/>
      <c r="B308" s="56"/>
      <c r="C308" s="56"/>
      <c r="D308" s="56"/>
      <c r="E308" s="14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7"/>
      <c r="Q308" s="57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15.75" customHeight="1" x14ac:dyDescent="0.3">
      <c r="A309" s="56"/>
      <c r="B309" s="56"/>
      <c r="C309" s="56"/>
      <c r="D309" s="56"/>
      <c r="E309" s="14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7"/>
      <c r="Q309" s="57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15.75" customHeight="1" x14ac:dyDescent="0.3">
      <c r="A310" s="56"/>
      <c r="B310" s="56"/>
      <c r="C310" s="56"/>
      <c r="D310" s="56"/>
      <c r="E310" s="14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7"/>
      <c r="Q310" s="57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15.75" customHeight="1" x14ac:dyDescent="0.3">
      <c r="A311" s="56"/>
      <c r="B311" s="56"/>
      <c r="C311" s="56"/>
      <c r="D311" s="56"/>
      <c r="E311" s="14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7"/>
      <c r="Q311" s="57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15.75" customHeight="1" x14ac:dyDescent="0.3">
      <c r="A312" s="56"/>
      <c r="B312" s="56"/>
      <c r="C312" s="56"/>
      <c r="D312" s="56"/>
      <c r="E312" s="14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7"/>
      <c r="Q312" s="57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15.75" customHeight="1" x14ac:dyDescent="0.3">
      <c r="A313" s="56"/>
      <c r="B313" s="56"/>
      <c r="C313" s="56"/>
      <c r="D313" s="56"/>
      <c r="E313" s="14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7"/>
      <c r="Q313" s="57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15.75" customHeight="1" x14ac:dyDescent="0.3">
      <c r="A314" s="56"/>
      <c r="B314" s="56"/>
      <c r="C314" s="56"/>
      <c r="D314" s="56"/>
      <c r="E314" s="14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7"/>
      <c r="Q314" s="57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15.75" customHeight="1" x14ac:dyDescent="0.3">
      <c r="A315" s="56"/>
      <c r="B315" s="56"/>
      <c r="C315" s="56"/>
      <c r="D315" s="56"/>
      <c r="E315" s="14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7"/>
      <c r="Q315" s="57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15.75" customHeight="1" x14ac:dyDescent="0.3">
      <c r="A316" s="56"/>
      <c r="B316" s="56"/>
      <c r="C316" s="56"/>
      <c r="D316" s="56"/>
      <c r="E316" s="14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7"/>
      <c r="Q316" s="57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15.75" customHeight="1" x14ac:dyDescent="0.3">
      <c r="A317" s="56"/>
      <c r="B317" s="56"/>
      <c r="C317" s="56"/>
      <c r="D317" s="56"/>
      <c r="E317" s="14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7"/>
      <c r="Q317" s="57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15.75" customHeight="1" x14ac:dyDescent="0.3">
      <c r="A318" s="56"/>
      <c r="B318" s="56"/>
      <c r="C318" s="56"/>
      <c r="D318" s="56"/>
      <c r="E318" s="14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7"/>
      <c r="Q318" s="57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15.75" customHeight="1" x14ac:dyDescent="0.3">
      <c r="A319" s="56"/>
      <c r="B319" s="56"/>
      <c r="C319" s="56"/>
      <c r="D319" s="56"/>
      <c r="E319" s="14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7"/>
      <c r="Q319" s="57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15.75" customHeight="1" x14ac:dyDescent="0.3">
      <c r="A320" s="56"/>
      <c r="B320" s="56"/>
      <c r="C320" s="56"/>
      <c r="D320" s="56"/>
      <c r="E320" s="14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7"/>
      <c r="Q320" s="57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15.75" customHeight="1" x14ac:dyDescent="0.3">
      <c r="A321" s="56"/>
      <c r="B321" s="56"/>
      <c r="C321" s="56"/>
      <c r="D321" s="56"/>
      <c r="E321" s="14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7"/>
      <c r="Q321" s="57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15.75" customHeight="1" x14ac:dyDescent="0.3">
      <c r="A322" s="56"/>
      <c r="B322" s="56"/>
      <c r="C322" s="56"/>
      <c r="D322" s="56"/>
      <c r="E322" s="14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7"/>
      <c r="Q322" s="57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15.75" customHeight="1" x14ac:dyDescent="0.3">
      <c r="A323" s="56"/>
      <c r="B323" s="56"/>
      <c r="C323" s="56"/>
      <c r="D323" s="56"/>
      <c r="E323" s="14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7"/>
      <c r="Q323" s="57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15.75" customHeight="1" x14ac:dyDescent="0.3">
      <c r="A324" s="56"/>
      <c r="B324" s="56"/>
      <c r="C324" s="56"/>
      <c r="D324" s="56"/>
      <c r="E324" s="14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7"/>
      <c r="Q324" s="57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15.75" customHeight="1" x14ac:dyDescent="0.3">
      <c r="A325" s="56"/>
      <c r="B325" s="56"/>
      <c r="C325" s="56"/>
      <c r="D325" s="56"/>
      <c r="E325" s="14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7"/>
      <c r="Q325" s="57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15.75" customHeight="1" x14ac:dyDescent="0.3">
      <c r="A326" s="56"/>
      <c r="B326" s="56"/>
      <c r="C326" s="56"/>
      <c r="D326" s="56"/>
      <c r="E326" s="14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7"/>
      <c r="Q326" s="57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15.75" customHeight="1" x14ac:dyDescent="0.3">
      <c r="A327" s="56"/>
      <c r="B327" s="56"/>
      <c r="C327" s="56"/>
      <c r="D327" s="56"/>
      <c r="E327" s="14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7"/>
      <c r="Q327" s="57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15.75" customHeight="1" x14ac:dyDescent="0.3">
      <c r="A328" s="56"/>
      <c r="B328" s="56"/>
      <c r="C328" s="56"/>
      <c r="D328" s="56"/>
      <c r="E328" s="14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7"/>
      <c r="Q328" s="57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15.75" customHeight="1" x14ac:dyDescent="0.3">
      <c r="A329" s="56"/>
      <c r="B329" s="56"/>
      <c r="C329" s="56"/>
      <c r="D329" s="56"/>
      <c r="E329" s="14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7"/>
      <c r="Q329" s="57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15.75" customHeight="1" x14ac:dyDescent="0.3">
      <c r="A330" s="56"/>
      <c r="B330" s="56"/>
      <c r="C330" s="56"/>
      <c r="D330" s="56"/>
      <c r="E330" s="14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7"/>
      <c r="Q330" s="57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15.75" customHeight="1" x14ac:dyDescent="0.3">
      <c r="A331" s="56"/>
      <c r="B331" s="56"/>
      <c r="C331" s="56"/>
      <c r="D331" s="56"/>
      <c r="E331" s="14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7"/>
      <c r="Q331" s="57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15.75" customHeight="1" x14ac:dyDescent="0.3">
      <c r="A332" s="56"/>
      <c r="B332" s="56"/>
      <c r="C332" s="56"/>
      <c r="D332" s="56"/>
      <c r="E332" s="14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7"/>
      <c r="Q332" s="57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15.75" customHeight="1" x14ac:dyDescent="0.3">
      <c r="A333" s="56"/>
      <c r="B333" s="56"/>
      <c r="C333" s="56"/>
      <c r="D333" s="56"/>
      <c r="E333" s="14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7"/>
      <c r="Q333" s="57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15.75" customHeight="1" x14ac:dyDescent="0.3">
      <c r="A334" s="56"/>
      <c r="B334" s="56"/>
      <c r="C334" s="56"/>
      <c r="D334" s="56"/>
      <c r="E334" s="14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7"/>
      <c r="Q334" s="57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15.75" customHeight="1" x14ac:dyDescent="0.3">
      <c r="A335" s="56"/>
      <c r="B335" s="56"/>
      <c r="C335" s="56"/>
      <c r="D335" s="56"/>
      <c r="E335" s="14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7"/>
      <c r="Q335" s="57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15.75" customHeight="1" x14ac:dyDescent="0.3">
      <c r="A336" s="56"/>
      <c r="B336" s="56"/>
      <c r="C336" s="56"/>
      <c r="D336" s="56"/>
      <c r="E336" s="14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7"/>
      <c r="Q336" s="57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15.75" customHeight="1" x14ac:dyDescent="0.3">
      <c r="A337" s="56"/>
      <c r="B337" s="56"/>
      <c r="C337" s="56"/>
      <c r="D337" s="56"/>
      <c r="E337" s="14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7"/>
      <c r="Q337" s="57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15.75" customHeight="1" x14ac:dyDescent="0.3">
      <c r="A338" s="56"/>
      <c r="B338" s="56"/>
      <c r="C338" s="56"/>
      <c r="D338" s="56"/>
      <c r="E338" s="14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7"/>
      <c r="Q338" s="57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15.75" customHeight="1" x14ac:dyDescent="0.3">
      <c r="A339" s="56"/>
      <c r="B339" s="56"/>
      <c r="C339" s="56"/>
      <c r="D339" s="56"/>
      <c r="E339" s="14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7"/>
      <c r="Q339" s="57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15.75" customHeight="1" x14ac:dyDescent="0.3">
      <c r="A340" s="56"/>
      <c r="B340" s="56"/>
      <c r="C340" s="56"/>
      <c r="D340" s="56"/>
      <c r="E340" s="14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7"/>
      <c r="Q340" s="57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15.75" customHeight="1" x14ac:dyDescent="0.3">
      <c r="A341" s="56"/>
      <c r="B341" s="56"/>
      <c r="C341" s="56"/>
      <c r="D341" s="56"/>
      <c r="E341" s="14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7"/>
      <c r="Q341" s="57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15.75" customHeight="1" x14ac:dyDescent="0.3">
      <c r="A342" s="56"/>
      <c r="B342" s="56"/>
      <c r="C342" s="56"/>
      <c r="D342" s="56"/>
      <c r="E342" s="14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7"/>
      <c r="Q342" s="57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15.75" customHeight="1" x14ac:dyDescent="0.3">
      <c r="A343" s="56"/>
      <c r="B343" s="56"/>
      <c r="C343" s="56"/>
      <c r="D343" s="56"/>
      <c r="E343" s="14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7"/>
      <c r="Q343" s="57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15.75" customHeight="1" x14ac:dyDescent="0.3">
      <c r="A344" s="56"/>
      <c r="B344" s="56"/>
      <c r="C344" s="56"/>
      <c r="D344" s="56"/>
      <c r="E344" s="14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7"/>
      <c r="Q344" s="57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15.75" customHeight="1" x14ac:dyDescent="0.3">
      <c r="A345" s="56"/>
      <c r="B345" s="56"/>
      <c r="C345" s="56"/>
      <c r="D345" s="56"/>
      <c r="E345" s="14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7"/>
      <c r="Q345" s="57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15.75" customHeight="1" x14ac:dyDescent="0.3">
      <c r="A346" s="56"/>
      <c r="B346" s="56"/>
      <c r="C346" s="56"/>
      <c r="D346" s="56"/>
      <c r="E346" s="14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7"/>
      <c r="Q346" s="57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15.75" customHeight="1" x14ac:dyDescent="0.3">
      <c r="A347" s="56"/>
      <c r="B347" s="56"/>
      <c r="C347" s="56"/>
      <c r="D347" s="56"/>
      <c r="E347" s="14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7"/>
      <c r="Q347" s="57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15.75" customHeight="1" x14ac:dyDescent="0.3">
      <c r="A348" s="56"/>
      <c r="B348" s="56"/>
      <c r="C348" s="56"/>
      <c r="D348" s="56"/>
      <c r="E348" s="14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7"/>
      <c r="Q348" s="57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15.75" customHeight="1" x14ac:dyDescent="0.3">
      <c r="A349" s="56"/>
      <c r="B349" s="56"/>
      <c r="C349" s="56"/>
      <c r="D349" s="56"/>
      <c r="E349" s="14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7"/>
      <c r="Q349" s="57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15.75" customHeight="1" x14ac:dyDescent="0.3">
      <c r="A350" s="56"/>
      <c r="B350" s="56"/>
      <c r="C350" s="56"/>
      <c r="D350" s="56"/>
      <c r="E350" s="14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7"/>
      <c r="Q350" s="57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15.75" customHeight="1" x14ac:dyDescent="0.3">
      <c r="A351" s="56"/>
      <c r="B351" s="56"/>
      <c r="C351" s="56"/>
      <c r="D351" s="56"/>
      <c r="E351" s="14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7"/>
      <c r="Q351" s="57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15.75" customHeight="1" x14ac:dyDescent="0.3">
      <c r="A352" s="56"/>
      <c r="B352" s="56"/>
      <c r="C352" s="56"/>
      <c r="D352" s="56"/>
      <c r="E352" s="14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7"/>
      <c r="Q352" s="57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15.75" customHeight="1" x14ac:dyDescent="0.3">
      <c r="A353" s="56"/>
      <c r="B353" s="56"/>
      <c r="C353" s="56"/>
      <c r="D353" s="56"/>
      <c r="E353" s="14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7"/>
      <c r="Q353" s="57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15.75" customHeight="1" x14ac:dyDescent="0.3">
      <c r="A354" s="56"/>
      <c r="B354" s="56"/>
      <c r="C354" s="56"/>
      <c r="D354" s="56"/>
      <c r="E354" s="14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7"/>
      <c r="Q354" s="57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15.75" customHeight="1" x14ac:dyDescent="0.3">
      <c r="A355" s="56"/>
      <c r="B355" s="56"/>
      <c r="C355" s="56"/>
      <c r="D355" s="56"/>
      <c r="E355" s="14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7"/>
      <c r="Q355" s="57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15.75" customHeight="1" x14ac:dyDescent="0.3">
      <c r="A356" s="56"/>
      <c r="B356" s="56"/>
      <c r="C356" s="56"/>
      <c r="D356" s="56"/>
      <c r="E356" s="14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7"/>
      <c r="Q356" s="57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15.75" customHeight="1" x14ac:dyDescent="0.3">
      <c r="A357" s="56"/>
      <c r="B357" s="56"/>
      <c r="C357" s="56"/>
      <c r="D357" s="56"/>
      <c r="E357" s="14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7"/>
      <c r="Q357" s="57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15.75" customHeight="1" x14ac:dyDescent="0.3">
      <c r="A358" s="56"/>
      <c r="B358" s="56"/>
      <c r="C358" s="56"/>
      <c r="D358" s="56"/>
      <c r="E358" s="14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7"/>
      <c r="Q358" s="57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15.75" customHeight="1" x14ac:dyDescent="0.3">
      <c r="A359" s="56"/>
      <c r="B359" s="56"/>
      <c r="C359" s="56"/>
      <c r="D359" s="56"/>
      <c r="E359" s="14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7"/>
      <c r="Q359" s="57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15.75" customHeight="1" x14ac:dyDescent="0.3">
      <c r="A360" s="56"/>
      <c r="B360" s="56"/>
      <c r="C360" s="56"/>
      <c r="D360" s="56"/>
      <c r="E360" s="14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7"/>
      <c r="Q360" s="57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15.75" customHeight="1" x14ac:dyDescent="0.3">
      <c r="A361" s="56"/>
      <c r="B361" s="56"/>
      <c r="C361" s="56"/>
      <c r="D361" s="56"/>
      <c r="E361" s="14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7"/>
      <c r="Q361" s="57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15.75" customHeight="1" x14ac:dyDescent="0.3">
      <c r="A362" s="56"/>
      <c r="B362" s="56"/>
      <c r="C362" s="56"/>
      <c r="D362" s="56"/>
      <c r="E362" s="14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7"/>
      <c r="Q362" s="57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15.75" customHeight="1" x14ac:dyDescent="0.3">
      <c r="A363" s="56"/>
      <c r="B363" s="56"/>
      <c r="C363" s="56"/>
      <c r="D363" s="56"/>
      <c r="E363" s="14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7"/>
      <c r="Q363" s="57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15.75" customHeight="1" x14ac:dyDescent="0.3">
      <c r="A364" s="56"/>
      <c r="B364" s="56"/>
      <c r="C364" s="56"/>
      <c r="D364" s="56"/>
      <c r="E364" s="14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7"/>
      <c r="Q364" s="57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15.75" customHeight="1" x14ac:dyDescent="0.3">
      <c r="A365" s="56"/>
      <c r="B365" s="56"/>
      <c r="C365" s="56"/>
      <c r="D365" s="56"/>
      <c r="E365" s="14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7"/>
      <c r="Q365" s="57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15.75" customHeight="1" x14ac:dyDescent="0.3">
      <c r="A366" s="56"/>
      <c r="B366" s="56"/>
      <c r="C366" s="56"/>
      <c r="D366" s="56"/>
      <c r="E366" s="14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7"/>
      <c r="Q366" s="57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15.75" customHeight="1" x14ac:dyDescent="0.3">
      <c r="A367" s="56"/>
      <c r="B367" s="56"/>
      <c r="C367" s="56"/>
      <c r="D367" s="56"/>
      <c r="E367" s="14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7"/>
      <c r="Q367" s="57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15.75" customHeight="1" x14ac:dyDescent="0.3">
      <c r="A368" s="56"/>
      <c r="B368" s="56"/>
      <c r="C368" s="56"/>
      <c r="D368" s="56"/>
      <c r="E368" s="14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7"/>
      <c r="Q368" s="57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15.75" customHeight="1" x14ac:dyDescent="0.3">
      <c r="A369" s="56"/>
      <c r="B369" s="56"/>
      <c r="C369" s="56"/>
      <c r="D369" s="56"/>
      <c r="E369" s="14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7"/>
      <c r="Q369" s="57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15.75" customHeight="1" x14ac:dyDescent="0.3">
      <c r="A370" s="56"/>
      <c r="B370" s="56"/>
      <c r="C370" s="56"/>
      <c r="D370" s="56"/>
      <c r="E370" s="14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7"/>
      <c r="Q370" s="57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15.75" customHeight="1" x14ac:dyDescent="0.3">
      <c r="A371" s="56"/>
      <c r="B371" s="56"/>
      <c r="C371" s="56"/>
      <c r="D371" s="56"/>
      <c r="E371" s="14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7"/>
      <c r="Q371" s="57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15.75" customHeight="1" x14ac:dyDescent="0.3">
      <c r="A372" s="56"/>
      <c r="B372" s="56"/>
      <c r="C372" s="56"/>
      <c r="D372" s="56"/>
      <c r="E372" s="14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7"/>
      <c r="Q372" s="57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15.75" customHeight="1" x14ac:dyDescent="0.3">
      <c r="A373" s="56"/>
      <c r="B373" s="56"/>
      <c r="C373" s="56"/>
      <c r="D373" s="56"/>
      <c r="E373" s="14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7"/>
      <c r="Q373" s="57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15.75" customHeight="1" x14ac:dyDescent="0.3">
      <c r="A374" s="56"/>
      <c r="B374" s="56"/>
      <c r="C374" s="56"/>
      <c r="D374" s="56"/>
      <c r="E374" s="14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7"/>
      <c r="Q374" s="57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15.75" customHeight="1" x14ac:dyDescent="0.3">
      <c r="A375" s="56"/>
      <c r="B375" s="56"/>
      <c r="C375" s="56"/>
      <c r="D375" s="56"/>
      <c r="E375" s="14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7"/>
      <c r="Q375" s="57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15.75" customHeight="1" x14ac:dyDescent="0.3">
      <c r="A376" s="56"/>
      <c r="B376" s="56"/>
      <c r="C376" s="56"/>
      <c r="D376" s="56"/>
      <c r="E376" s="14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7"/>
      <c r="Q376" s="57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15.75" customHeight="1" x14ac:dyDescent="0.3">
      <c r="A377" s="56"/>
      <c r="B377" s="56"/>
      <c r="C377" s="56"/>
      <c r="D377" s="56"/>
      <c r="E377" s="14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7"/>
      <c r="Q377" s="57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15.75" customHeight="1" x14ac:dyDescent="0.3">
      <c r="A378" s="56"/>
      <c r="B378" s="56"/>
      <c r="C378" s="56"/>
      <c r="D378" s="56"/>
      <c r="E378" s="14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7"/>
      <c r="Q378" s="57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15.75" customHeight="1" x14ac:dyDescent="0.3">
      <c r="A379" s="56"/>
      <c r="B379" s="56"/>
      <c r="C379" s="56"/>
      <c r="D379" s="56"/>
      <c r="E379" s="14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7"/>
      <c r="Q379" s="57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15.75" customHeight="1" x14ac:dyDescent="0.3">
      <c r="A380" s="56"/>
      <c r="B380" s="56"/>
      <c r="C380" s="56"/>
      <c r="D380" s="56"/>
      <c r="E380" s="14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7"/>
      <c r="Q380" s="57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15.75" customHeight="1" x14ac:dyDescent="0.3">
      <c r="A381" s="56"/>
      <c r="B381" s="56"/>
      <c r="C381" s="56"/>
      <c r="D381" s="56"/>
      <c r="E381" s="14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7"/>
      <c r="Q381" s="57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15.75" customHeight="1" x14ac:dyDescent="0.3">
      <c r="A382" s="56"/>
      <c r="B382" s="56"/>
      <c r="C382" s="56"/>
      <c r="D382" s="56"/>
      <c r="E382" s="14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7"/>
      <c r="Q382" s="57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15.75" customHeight="1" x14ac:dyDescent="0.3">
      <c r="A383" s="56"/>
      <c r="B383" s="56"/>
      <c r="C383" s="56"/>
      <c r="D383" s="56"/>
      <c r="E383" s="14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7"/>
      <c r="Q383" s="57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15.75" customHeight="1" x14ac:dyDescent="0.3">
      <c r="A384" s="56"/>
      <c r="B384" s="56"/>
      <c r="C384" s="56"/>
      <c r="D384" s="56"/>
      <c r="E384" s="14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7"/>
      <c r="Q384" s="57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15.75" customHeight="1" x14ac:dyDescent="0.3">
      <c r="A385" s="56"/>
      <c r="B385" s="56"/>
      <c r="C385" s="56"/>
      <c r="D385" s="56"/>
      <c r="E385" s="14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7"/>
      <c r="Q385" s="57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15.75" customHeight="1" x14ac:dyDescent="0.3">
      <c r="A386" s="56"/>
      <c r="B386" s="56"/>
      <c r="C386" s="56"/>
      <c r="D386" s="56"/>
      <c r="E386" s="14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7"/>
      <c r="Q386" s="57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15.75" customHeight="1" x14ac:dyDescent="0.3">
      <c r="A387" s="56"/>
      <c r="B387" s="56"/>
      <c r="C387" s="56"/>
      <c r="D387" s="56"/>
      <c r="E387" s="14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7"/>
      <c r="Q387" s="57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15.75" customHeight="1" x14ac:dyDescent="0.3">
      <c r="A388" s="56"/>
      <c r="B388" s="56"/>
      <c r="C388" s="56"/>
      <c r="D388" s="56"/>
      <c r="E388" s="14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7"/>
      <c r="Q388" s="57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15.75" customHeight="1" x14ac:dyDescent="0.3">
      <c r="A389" s="56"/>
      <c r="B389" s="56"/>
      <c r="C389" s="56"/>
      <c r="D389" s="56"/>
      <c r="E389" s="14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7"/>
      <c r="Q389" s="57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15.75" customHeight="1" x14ac:dyDescent="0.3">
      <c r="A390" s="56"/>
      <c r="B390" s="56"/>
      <c r="C390" s="56"/>
      <c r="D390" s="56"/>
      <c r="E390" s="14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7"/>
      <c r="Q390" s="57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15.75" customHeight="1" x14ac:dyDescent="0.3">
      <c r="A391" s="56"/>
      <c r="B391" s="56"/>
      <c r="C391" s="56"/>
      <c r="D391" s="56"/>
      <c r="E391" s="14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7"/>
      <c r="Q391" s="57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15.75" customHeight="1" x14ac:dyDescent="0.3">
      <c r="A392" s="56"/>
      <c r="B392" s="56"/>
      <c r="C392" s="56"/>
      <c r="D392" s="56"/>
      <c r="E392" s="14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7"/>
      <c r="Q392" s="57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15.75" customHeight="1" x14ac:dyDescent="0.3">
      <c r="A393" s="56"/>
      <c r="B393" s="56"/>
      <c r="C393" s="56"/>
      <c r="D393" s="56"/>
      <c r="E393" s="14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7"/>
      <c r="Q393" s="57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15.75" customHeight="1" x14ac:dyDescent="0.3">
      <c r="A394" s="56"/>
      <c r="B394" s="56"/>
      <c r="C394" s="56"/>
      <c r="D394" s="56"/>
      <c r="E394" s="14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7"/>
      <c r="Q394" s="57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15.75" customHeight="1" x14ac:dyDescent="0.3">
      <c r="A395" s="56"/>
      <c r="B395" s="56"/>
      <c r="C395" s="56"/>
      <c r="D395" s="56"/>
      <c r="E395" s="14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7"/>
      <c r="Q395" s="57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15.75" customHeight="1" x14ac:dyDescent="0.3">
      <c r="A396" s="56"/>
      <c r="B396" s="56"/>
      <c r="C396" s="56"/>
      <c r="D396" s="56"/>
      <c r="E396" s="14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7"/>
      <c r="Q396" s="57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15.75" customHeight="1" x14ac:dyDescent="0.3">
      <c r="A397" s="56"/>
      <c r="B397" s="56"/>
      <c r="C397" s="56"/>
      <c r="D397" s="56"/>
      <c r="E397" s="14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7"/>
      <c r="Q397" s="57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15.75" customHeight="1" x14ac:dyDescent="0.3">
      <c r="A398" s="56"/>
      <c r="B398" s="56"/>
      <c r="C398" s="56"/>
      <c r="D398" s="56"/>
      <c r="E398" s="14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7"/>
      <c r="Q398" s="57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15.75" customHeight="1" x14ac:dyDescent="0.3">
      <c r="A399" s="56"/>
      <c r="B399" s="56"/>
      <c r="C399" s="56"/>
      <c r="D399" s="56"/>
      <c r="E399" s="14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7"/>
      <c r="Q399" s="57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15.75" customHeight="1" x14ac:dyDescent="0.3">
      <c r="A400" s="56"/>
      <c r="B400" s="56"/>
      <c r="C400" s="56"/>
      <c r="D400" s="56"/>
      <c r="E400" s="14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7"/>
      <c r="Q400" s="57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15.75" customHeight="1" x14ac:dyDescent="0.3">
      <c r="A401" s="56"/>
      <c r="B401" s="56"/>
      <c r="C401" s="56"/>
      <c r="D401" s="56"/>
      <c r="E401" s="14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7"/>
      <c r="Q401" s="57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15.75" customHeight="1" x14ac:dyDescent="0.3">
      <c r="A402" s="56"/>
      <c r="B402" s="56"/>
      <c r="C402" s="56"/>
      <c r="D402" s="56"/>
      <c r="E402" s="14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7"/>
      <c r="Q402" s="57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15.75" customHeight="1" x14ac:dyDescent="0.3">
      <c r="A403" s="56"/>
      <c r="B403" s="56"/>
      <c r="C403" s="56"/>
      <c r="D403" s="56"/>
      <c r="E403" s="14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7"/>
      <c r="Q403" s="57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15.75" customHeight="1" x14ac:dyDescent="0.3">
      <c r="A404" s="56"/>
      <c r="B404" s="56"/>
      <c r="C404" s="56"/>
      <c r="D404" s="56"/>
      <c r="E404" s="14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7"/>
      <c r="Q404" s="57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15.75" customHeight="1" x14ac:dyDescent="0.3">
      <c r="A405" s="56"/>
      <c r="B405" s="56"/>
      <c r="C405" s="56"/>
      <c r="D405" s="56"/>
      <c r="E405" s="14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7"/>
      <c r="Q405" s="57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15.75" customHeight="1" x14ac:dyDescent="0.3">
      <c r="A406" s="56"/>
      <c r="B406" s="56"/>
      <c r="C406" s="56"/>
      <c r="D406" s="56"/>
      <c r="E406" s="14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7"/>
      <c r="Q406" s="57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15.75" customHeight="1" x14ac:dyDescent="0.3">
      <c r="A407" s="56"/>
      <c r="B407" s="56"/>
      <c r="C407" s="56"/>
      <c r="D407" s="56"/>
      <c r="E407" s="14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7"/>
      <c r="Q407" s="57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15.75" customHeight="1" x14ac:dyDescent="0.3">
      <c r="A408" s="56"/>
      <c r="B408" s="56"/>
      <c r="C408" s="56"/>
      <c r="D408" s="56"/>
      <c r="E408" s="14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7"/>
      <c r="Q408" s="57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15.75" customHeight="1" x14ac:dyDescent="0.3">
      <c r="A409" s="56"/>
      <c r="B409" s="56"/>
      <c r="C409" s="56"/>
      <c r="D409" s="56"/>
      <c r="E409" s="14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7"/>
      <c r="Q409" s="57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15.75" customHeight="1" x14ac:dyDescent="0.3">
      <c r="A410" s="56"/>
      <c r="B410" s="56"/>
      <c r="C410" s="56"/>
      <c r="D410" s="56"/>
      <c r="E410" s="14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7"/>
      <c r="Q410" s="57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15.75" customHeight="1" x14ac:dyDescent="0.3">
      <c r="A411" s="56"/>
      <c r="B411" s="56"/>
      <c r="C411" s="56"/>
      <c r="D411" s="56"/>
      <c r="E411" s="14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7"/>
      <c r="Q411" s="57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15.75" customHeight="1" x14ac:dyDescent="0.3">
      <c r="A412" s="56"/>
      <c r="B412" s="56"/>
      <c r="C412" s="56"/>
      <c r="D412" s="56"/>
      <c r="E412" s="14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7"/>
      <c r="Q412" s="57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15.75" customHeight="1" x14ac:dyDescent="0.3">
      <c r="A413" s="56"/>
      <c r="B413" s="56"/>
      <c r="C413" s="56"/>
      <c r="D413" s="56"/>
      <c r="E413" s="14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7"/>
      <c r="Q413" s="57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15.75" customHeight="1" x14ac:dyDescent="0.3">
      <c r="A414" s="56"/>
      <c r="B414" s="56"/>
      <c r="C414" s="56"/>
      <c r="D414" s="56"/>
      <c r="E414" s="14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7"/>
      <c r="Q414" s="57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15.75" customHeight="1" x14ac:dyDescent="0.3">
      <c r="A415" s="56"/>
      <c r="B415" s="56"/>
      <c r="C415" s="56"/>
      <c r="D415" s="56"/>
      <c r="E415" s="14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7"/>
      <c r="Q415" s="57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15.75" customHeight="1" x14ac:dyDescent="0.3">
      <c r="A416" s="56"/>
      <c r="B416" s="56"/>
      <c r="C416" s="56"/>
      <c r="D416" s="56"/>
      <c r="E416" s="14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7"/>
      <c r="Q416" s="57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15.75" customHeight="1" x14ac:dyDescent="0.3">
      <c r="A417" s="56"/>
      <c r="B417" s="56"/>
      <c r="C417" s="56"/>
      <c r="D417" s="56"/>
      <c r="E417" s="14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7"/>
      <c r="Q417" s="57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15.75" customHeight="1" x14ac:dyDescent="0.3">
      <c r="A418" s="56"/>
      <c r="B418" s="56"/>
      <c r="C418" s="56"/>
      <c r="D418" s="56"/>
      <c r="E418" s="14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7"/>
      <c r="Q418" s="57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15.75" customHeight="1" x14ac:dyDescent="0.3">
      <c r="A419" s="56"/>
      <c r="B419" s="56"/>
      <c r="C419" s="56"/>
      <c r="D419" s="56"/>
      <c r="E419" s="14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7"/>
      <c r="Q419" s="57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15.75" customHeight="1" x14ac:dyDescent="0.3">
      <c r="A420" s="56"/>
      <c r="B420" s="56"/>
      <c r="C420" s="56"/>
      <c r="D420" s="56"/>
      <c r="E420" s="14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7"/>
      <c r="Q420" s="57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15.75" customHeight="1" x14ac:dyDescent="0.3">
      <c r="A421" s="56"/>
      <c r="B421" s="56"/>
      <c r="C421" s="56"/>
      <c r="D421" s="56"/>
      <c r="E421" s="14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7"/>
      <c r="Q421" s="57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15.75" customHeight="1" x14ac:dyDescent="0.3">
      <c r="A422" s="56"/>
      <c r="B422" s="56"/>
      <c r="C422" s="56"/>
      <c r="D422" s="56"/>
      <c r="E422" s="14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7"/>
      <c r="Q422" s="57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15.75" customHeight="1" x14ac:dyDescent="0.3">
      <c r="A423" s="56"/>
      <c r="B423" s="56"/>
      <c r="C423" s="56"/>
      <c r="D423" s="56"/>
      <c r="E423" s="14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7"/>
      <c r="Q423" s="57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15.75" customHeight="1" x14ac:dyDescent="0.3">
      <c r="A424" s="56"/>
      <c r="B424" s="56"/>
      <c r="C424" s="56"/>
      <c r="D424" s="56"/>
      <c r="E424" s="14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7"/>
      <c r="Q424" s="57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15.75" customHeight="1" x14ac:dyDescent="0.3">
      <c r="A425" s="56"/>
      <c r="B425" s="56"/>
      <c r="C425" s="56"/>
      <c r="D425" s="56"/>
      <c r="E425" s="14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7"/>
      <c r="Q425" s="57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15.75" customHeight="1" x14ac:dyDescent="0.3">
      <c r="A426" s="56"/>
      <c r="B426" s="56"/>
      <c r="C426" s="56"/>
      <c r="D426" s="56"/>
      <c r="E426" s="14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7"/>
      <c r="Q426" s="57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15.75" customHeight="1" x14ac:dyDescent="0.3">
      <c r="A427" s="56"/>
      <c r="B427" s="56"/>
      <c r="C427" s="56"/>
      <c r="D427" s="56"/>
      <c r="E427" s="14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7"/>
      <c r="Q427" s="57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15.75" customHeight="1" x14ac:dyDescent="0.3">
      <c r="A428" s="56"/>
      <c r="B428" s="56"/>
      <c r="C428" s="56"/>
      <c r="D428" s="56"/>
      <c r="E428" s="14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7"/>
      <c r="Q428" s="57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15.75" customHeight="1" x14ac:dyDescent="0.3">
      <c r="A429" s="56"/>
      <c r="B429" s="56"/>
      <c r="C429" s="56"/>
      <c r="D429" s="56"/>
      <c r="E429" s="14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7"/>
      <c r="Q429" s="57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15.75" customHeight="1" x14ac:dyDescent="0.3">
      <c r="A430" s="56"/>
      <c r="B430" s="56"/>
      <c r="C430" s="56"/>
      <c r="D430" s="56"/>
      <c r="E430" s="14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7"/>
      <c r="Q430" s="57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15.75" customHeight="1" x14ac:dyDescent="0.3">
      <c r="A431" s="56"/>
      <c r="B431" s="56"/>
      <c r="C431" s="56"/>
      <c r="D431" s="56"/>
      <c r="E431" s="14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7"/>
      <c r="Q431" s="57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15.75" customHeight="1" x14ac:dyDescent="0.3">
      <c r="A432" s="56"/>
      <c r="B432" s="56"/>
      <c r="C432" s="56"/>
      <c r="D432" s="56"/>
      <c r="E432" s="14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7"/>
      <c r="Q432" s="57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15.75" customHeight="1" x14ac:dyDescent="0.3">
      <c r="A433" s="56"/>
      <c r="B433" s="56"/>
      <c r="C433" s="56"/>
      <c r="D433" s="56"/>
      <c r="E433" s="14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7"/>
      <c r="Q433" s="57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15.75" customHeight="1" x14ac:dyDescent="0.3">
      <c r="A434" s="56"/>
      <c r="B434" s="56"/>
      <c r="C434" s="56"/>
      <c r="D434" s="56"/>
      <c r="E434" s="14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7"/>
      <c r="Q434" s="57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15.75" customHeight="1" x14ac:dyDescent="0.3">
      <c r="A435" s="56"/>
      <c r="B435" s="56"/>
      <c r="C435" s="56"/>
      <c r="D435" s="56"/>
      <c r="E435" s="14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7"/>
      <c r="Q435" s="57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15.75" customHeight="1" x14ac:dyDescent="0.3">
      <c r="A436" s="56"/>
      <c r="B436" s="56"/>
      <c r="C436" s="56"/>
      <c r="D436" s="56"/>
      <c r="E436" s="14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7"/>
      <c r="Q436" s="57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15.75" customHeight="1" x14ac:dyDescent="0.3">
      <c r="A437" s="56"/>
      <c r="B437" s="56"/>
      <c r="C437" s="56"/>
      <c r="D437" s="56"/>
      <c r="E437" s="14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7"/>
      <c r="Q437" s="57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15.75" customHeight="1" x14ac:dyDescent="0.3">
      <c r="A438" s="56"/>
      <c r="B438" s="56"/>
      <c r="C438" s="56"/>
      <c r="D438" s="56"/>
      <c r="E438" s="14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7"/>
      <c r="Q438" s="57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15.75" customHeight="1" x14ac:dyDescent="0.3">
      <c r="A439" s="56"/>
      <c r="B439" s="56"/>
      <c r="C439" s="56"/>
      <c r="D439" s="56"/>
      <c r="E439" s="14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7"/>
      <c r="Q439" s="57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15.75" customHeight="1" x14ac:dyDescent="0.3">
      <c r="A440" s="56"/>
      <c r="B440" s="56"/>
      <c r="C440" s="56"/>
      <c r="D440" s="56"/>
      <c r="E440" s="14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7"/>
      <c r="Q440" s="57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15.75" customHeight="1" x14ac:dyDescent="0.3">
      <c r="A441" s="56"/>
      <c r="B441" s="56"/>
      <c r="C441" s="56"/>
      <c r="D441" s="56"/>
      <c r="E441" s="14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7"/>
      <c r="Q441" s="57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15.75" customHeight="1" x14ac:dyDescent="0.3">
      <c r="A442" s="56"/>
      <c r="B442" s="56"/>
      <c r="C442" s="56"/>
      <c r="D442" s="56"/>
      <c r="E442" s="14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7"/>
      <c r="Q442" s="57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15.75" customHeight="1" x14ac:dyDescent="0.3">
      <c r="A443" s="56"/>
      <c r="B443" s="56"/>
      <c r="C443" s="56"/>
      <c r="D443" s="56"/>
      <c r="E443" s="14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7"/>
      <c r="Q443" s="57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15.75" customHeight="1" x14ac:dyDescent="0.3">
      <c r="A444" s="56"/>
      <c r="B444" s="56"/>
      <c r="C444" s="56"/>
      <c r="D444" s="56"/>
      <c r="E444" s="14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7"/>
      <c r="Q444" s="57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15.75" customHeight="1" x14ac:dyDescent="0.3">
      <c r="A445" s="56"/>
      <c r="B445" s="56"/>
      <c r="C445" s="56"/>
      <c r="D445" s="56"/>
      <c r="E445" s="14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7"/>
      <c r="Q445" s="57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15.75" customHeight="1" x14ac:dyDescent="0.3">
      <c r="A446" s="56"/>
      <c r="B446" s="56"/>
      <c r="C446" s="56"/>
      <c r="D446" s="56"/>
      <c r="E446" s="14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7"/>
      <c r="Q446" s="57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15.75" customHeight="1" x14ac:dyDescent="0.3">
      <c r="A447" s="56"/>
      <c r="B447" s="56"/>
      <c r="C447" s="56"/>
      <c r="D447" s="56"/>
      <c r="E447" s="14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7"/>
      <c r="Q447" s="57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15.75" customHeight="1" x14ac:dyDescent="0.3">
      <c r="A448" s="56"/>
      <c r="B448" s="56"/>
      <c r="C448" s="56"/>
      <c r="D448" s="56"/>
      <c r="E448" s="14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7"/>
      <c r="Q448" s="57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15.75" customHeight="1" x14ac:dyDescent="0.3">
      <c r="A449" s="56"/>
      <c r="B449" s="56"/>
      <c r="C449" s="56"/>
      <c r="D449" s="56"/>
      <c r="E449" s="14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7"/>
      <c r="Q449" s="57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15.75" customHeight="1" x14ac:dyDescent="0.3">
      <c r="A450" s="56"/>
      <c r="B450" s="56"/>
      <c r="C450" s="56"/>
      <c r="D450" s="56"/>
      <c r="E450" s="14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7"/>
      <c r="Q450" s="57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15.75" customHeight="1" x14ac:dyDescent="0.3">
      <c r="A451" s="56"/>
      <c r="B451" s="56"/>
      <c r="C451" s="56"/>
      <c r="D451" s="56"/>
      <c r="E451" s="14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7"/>
      <c r="Q451" s="57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15.75" customHeight="1" x14ac:dyDescent="0.3">
      <c r="A452" s="56"/>
      <c r="B452" s="56"/>
      <c r="C452" s="56"/>
      <c r="D452" s="56"/>
      <c r="E452" s="14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7"/>
      <c r="Q452" s="57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15.75" customHeight="1" x14ac:dyDescent="0.3">
      <c r="A453" s="56"/>
      <c r="B453" s="56"/>
      <c r="C453" s="56"/>
      <c r="D453" s="56"/>
      <c r="E453" s="14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7"/>
      <c r="Q453" s="57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15.75" customHeight="1" x14ac:dyDescent="0.3">
      <c r="A454" s="56"/>
      <c r="B454" s="56"/>
      <c r="C454" s="56"/>
      <c r="D454" s="56"/>
      <c r="E454" s="14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7"/>
      <c r="Q454" s="57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15.75" customHeight="1" x14ac:dyDescent="0.3">
      <c r="A455" s="56"/>
      <c r="B455" s="56"/>
      <c r="C455" s="56"/>
      <c r="D455" s="56"/>
      <c r="E455" s="14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7"/>
      <c r="Q455" s="57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15.75" customHeight="1" x14ac:dyDescent="0.3">
      <c r="A456" s="56"/>
      <c r="B456" s="56"/>
      <c r="C456" s="56"/>
      <c r="D456" s="56"/>
      <c r="E456" s="14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7"/>
      <c r="Q456" s="57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15.75" customHeight="1" x14ac:dyDescent="0.3">
      <c r="A457" s="56"/>
      <c r="B457" s="56"/>
      <c r="C457" s="56"/>
      <c r="D457" s="56"/>
      <c r="E457" s="14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7"/>
      <c r="Q457" s="57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15.75" customHeight="1" x14ac:dyDescent="0.3">
      <c r="A458" s="56"/>
      <c r="B458" s="56"/>
      <c r="C458" s="56"/>
      <c r="D458" s="56"/>
      <c r="E458" s="14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7"/>
      <c r="Q458" s="57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15.75" customHeight="1" x14ac:dyDescent="0.3">
      <c r="A459" s="56"/>
      <c r="B459" s="56"/>
      <c r="C459" s="56"/>
      <c r="D459" s="56"/>
      <c r="E459" s="14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7"/>
      <c r="Q459" s="57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15.75" customHeight="1" x14ac:dyDescent="0.3">
      <c r="A460" s="56"/>
      <c r="B460" s="56"/>
      <c r="C460" s="56"/>
      <c r="D460" s="56"/>
      <c r="E460" s="14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7"/>
      <c r="Q460" s="57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15.75" customHeight="1" x14ac:dyDescent="0.3">
      <c r="A461" s="56"/>
      <c r="B461" s="56"/>
      <c r="C461" s="56"/>
      <c r="D461" s="56"/>
      <c r="E461" s="14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7"/>
      <c r="Q461" s="57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15.75" customHeight="1" x14ac:dyDescent="0.3">
      <c r="A462" s="56"/>
      <c r="B462" s="56"/>
      <c r="C462" s="56"/>
      <c r="D462" s="56"/>
      <c r="E462" s="14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7"/>
      <c r="Q462" s="57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15.75" customHeight="1" x14ac:dyDescent="0.3">
      <c r="A463" s="56"/>
      <c r="B463" s="56"/>
      <c r="C463" s="56"/>
      <c r="D463" s="56"/>
      <c r="E463" s="14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7"/>
      <c r="Q463" s="57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15.75" customHeight="1" x14ac:dyDescent="0.3">
      <c r="A464" s="56"/>
      <c r="B464" s="56"/>
      <c r="C464" s="56"/>
      <c r="D464" s="56"/>
      <c r="E464" s="14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7"/>
      <c r="Q464" s="57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15.75" customHeight="1" x14ac:dyDescent="0.3">
      <c r="A465" s="56"/>
      <c r="B465" s="56"/>
      <c r="C465" s="56"/>
      <c r="D465" s="56"/>
      <c r="E465" s="14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7"/>
      <c r="Q465" s="57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15.75" customHeight="1" x14ac:dyDescent="0.3">
      <c r="A466" s="56"/>
      <c r="B466" s="56"/>
      <c r="C466" s="56"/>
      <c r="D466" s="56"/>
      <c r="E466" s="14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7"/>
      <c r="Q466" s="57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15.75" customHeight="1" x14ac:dyDescent="0.3">
      <c r="A467" s="56"/>
      <c r="B467" s="56"/>
      <c r="C467" s="56"/>
      <c r="D467" s="56"/>
      <c r="E467" s="14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7"/>
      <c r="Q467" s="57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15.75" customHeight="1" x14ac:dyDescent="0.3">
      <c r="A468" s="56"/>
      <c r="B468" s="56"/>
      <c r="C468" s="56"/>
      <c r="D468" s="56"/>
      <c r="E468" s="14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7"/>
      <c r="Q468" s="57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15.75" customHeight="1" x14ac:dyDescent="0.3">
      <c r="A469" s="56"/>
      <c r="B469" s="56"/>
      <c r="C469" s="56"/>
      <c r="D469" s="56"/>
      <c r="E469" s="14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7"/>
      <c r="Q469" s="57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15.75" customHeight="1" x14ac:dyDescent="0.3">
      <c r="A470" s="56"/>
      <c r="B470" s="56"/>
      <c r="C470" s="56"/>
      <c r="D470" s="56"/>
      <c r="E470" s="14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7"/>
      <c r="Q470" s="57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15.75" customHeight="1" x14ac:dyDescent="0.3">
      <c r="A471" s="56"/>
      <c r="B471" s="56"/>
      <c r="C471" s="56"/>
      <c r="D471" s="56"/>
      <c r="E471" s="14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7"/>
      <c r="Q471" s="57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15.75" customHeight="1" x14ac:dyDescent="0.3">
      <c r="A472" s="56"/>
      <c r="B472" s="56"/>
      <c r="C472" s="56"/>
      <c r="D472" s="56"/>
      <c r="E472" s="14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7"/>
      <c r="Q472" s="57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15.75" customHeight="1" x14ac:dyDescent="0.3">
      <c r="A473" s="56"/>
      <c r="B473" s="56"/>
      <c r="C473" s="56"/>
      <c r="D473" s="56"/>
      <c r="E473" s="14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7"/>
      <c r="Q473" s="57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15.75" customHeight="1" x14ac:dyDescent="0.3">
      <c r="A474" s="56"/>
      <c r="B474" s="56"/>
      <c r="C474" s="56"/>
      <c r="D474" s="56"/>
      <c r="E474" s="14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7"/>
      <c r="Q474" s="57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15.75" customHeight="1" x14ac:dyDescent="0.3">
      <c r="A475" s="56"/>
      <c r="B475" s="56"/>
      <c r="C475" s="56"/>
      <c r="D475" s="56"/>
      <c r="E475" s="14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7"/>
      <c r="Q475" s="57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15.75" customHeight="1" x14ac:dyDescent="0.3">
      <c r="A476" s="56"/>
      <c r="B476" s="56"/>
      <c r="C476" s="56"/>
      <c r="D476" s="56"/>
      <c r="E476" s="14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7"/>
      <c r="Q476" s="57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15.75" customHeight="1" x14ac:dyDescent="0.3">
      <c r="A477" s="56"/>
      <c r="B477" s="56"/>
      <c r="C477" s="56"/>
      <c r="D477" s="56"/>
      <c r="E477" s="14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7"/>
      <c r="Q477" s="57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15.75" customHeight="1" x14ac:dyDescent="0.3">
      <c r="A478" s="56"/>
      <c r="B478" s="56"/>
      <c r="C478" s="56"/>
      <c r="D478" s="56"/>
      <c r="E478" s="14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7"/>
      <c r="Q478" s="57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15.75" customHeight="1" x14ac:dyDescent="0.3">
      <c r="A479" s="56"/>
      <c r="B479" s="56"/>
      <c r="C479" s="56"/>
      <c r="D479" s="56"/>
      <c r="E479" s="14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7"/>
      <c r="Q479" s="57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15.75" customHeight="1" x14ac:dyDescent="0.3">
      <c r="A480" s="56"/>
      <c r="B480" s="56"/>
      <c r="C480" s="56"/>
      <c r="D480" s="56"/>
      <c r="E480" s="14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7"/>
      <c r="Q480" s="57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15.75" customHeight="1" x14ac:dyDescent="0.3">
      <c r="A481" s="56"/>
      <c r="B481" s="56"/>
      <c r="C481" s="56"/>
      <c r="D481" s="56"/>
      <c r="E481" s="14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7"/>
      <c r="Q481" s="57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15.75" customHeight="1" x14ac:dyDescent="0.3">
      <c r="A482" s="56"/>
      <c r="B482" s="56"/>
      <c r="C482" s="56"/>
      <c r="D482" s="56"/>
      <c r="E482" s="14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7"/>
      <c r="Q482" s="57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15.75" customHeight="1" x14ac:dyDescent="0.3">
      <c r="A483" s="56"/>
      <c r="B483" s="56"/>
      <c r="C483" s="56"/>
      <c r="D483" s="56"/>
      <c r="E483" s="14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7"/>
      <c r="Q483" s="57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15.75" customHeight="1" x14ac:dyDescent="0.3">
      <c r="A484" s="56"/>
      <c r="B484" s="56"/>
      <c r="C484" s="56"/>
      <c r="D484" s="56"/>
      <c r="E484" s="14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7"/>
      <c r="Q484" s="57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15.75" customHeight="1" x14ac:dyDescent="0.3">
      <c r="A485" s="56"/>
      <c r="B485" s="56"/>
      <c r="C485" s="56"/>
      <c r="D485" s="56"/>
      <c r="E485" s="14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7"/>
      <c r="Q485" s="57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15.75" customHeight="1" x14ac:dyDescent="0.3">
      <c r="A486" s="56"/>
      <c r="B486" s="56"/>
      <c r="C486" s="56"/>
      <c r="D486" s="56"/>
      <c r="E486" s="14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7"/>
      <c r="Q486" s="57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15.75" customHeight="1" x14ac:dyDescent="0.3">
      <c r="A487" s="56"/>
      <c r="B487" s="56"/>
      <c r="C487" s="56"/>
      <c r="D487" s="56"/>
      <c r="E487" s="14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7"/>
      <c r="Q487" s="57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15.75" customHeight="1" x14ac:dyDescent="0.3">
      <c r="A488" s="56"/>
      <c r="B488" s="56"/>
      <c r="C488" s="56"/>
      <c r="D488" s="56"/>
      <c r="E488" s="14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7"/>
      <c r="Q488" s="57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15.75" customHeight="1" x14ac:dyDescent="0.3">
      <c r="A489" s="56"/>
      <c r="B489" s="56"/>
      <c r="C489" s="56"/>
      <c r="D489" s="56"/>
      <c r="E489" s="14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7"/>
      <c r="Q489" s="57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15.75" customHeight="1" x14ac:dyDescent="0.3">
      <c r="A490" s="56"/>
      <c r="B490" s="56"/>
      <c r="C490" s="56"/>
      <c r="D490" s="56"/>
      <c r="E490" s="14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7"/>
      <c r="Q490" s="57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15.75" customHeight="1" x14ac:dyDescent="0.3">
      <c r="A491" s="56"/>
      <c r="B491" s="56"/>
      <c r="C491" s="56"/>
      <c r="D491" s="56"/>
      <c r="E491" s="14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7"/>
      <c r="Q491" s="57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15.75" customHeight="1" x14ac:dyDescent="0.3">
      <c r="A492" s="56"/>
      <c r="B492" s="56"/>
      <c r="C492" s="56"/>
      <c r="D492" s="56"/>
      <c r="E492" s="14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7"/>
      <c r="Q492" s="57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15.75" customHeight="1" x14ac:dyDescent="0.3">
      <c r="A493" s="56"/>
      <c r="B493" s="56"/>
      <c r="C493" s="56"/>
      <c r="D493" s="56"/>
      <c r="E493" s="14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7"/>
      <c r="Q493" s="57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15.75" customHeight="1" x14ac:dyDescent="0.3">
      <c r="A494" s="56"/>
      <c r="B494" s="56"/>
      <c r="C494" s="56"/>
      <c r="D494" s="56"/>
      <c r="E494" s="14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7"/>
      <c r="Q494" s="57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15.75" customHeight="1" x14ac:dyDescent="0.3">
      <c r="A495" s="56"/>
      <c r="B495" s="56"/>
      <c r="C495" s="56"/>
      <c r="D495" s="56"/>
      <c r="E495" s="14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7"/>
      <c r="Q495" s="57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15.75" customHeight="1" x14ac:dyDescent="0.3">
      <c r="A496" s="56"/>
      <c r="B496" s="56"/>
      <c r="C496" s="56"/>
      <c r="D496" s="56"/>
      <c r="E496" s="14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7"/>
      <c r="Q496" s="57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15.75" customHeight="1" x14ac:dyDescent="0.3">
      <c r="A497" s="56"/>
      <c r="B497" s="56"/>
      <c r="C497" s="56"/>
      <c r="D497" s="56"/>
      <c r="E497" s="14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7"/>
      <c r="Q497" s="57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15.75" customHeight="1" x14ac:dyDescent="0.3">
      <c r="A498" s="56"/>
      <c r="B498" s="56"/>
      <c r="C498" s="56"/>
      <c r="D498" s="56"/>
      <c r="E498" s="14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7"/>
      <c r="Q498" s="57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15.75" customHeight="1" x14ac:dyDescent="0.3">
      <c r="A499" s="56"/>
      <c r="B499" s="56"/>
      <c r="C499" s="56"/>
      <c r="D499" s="56"/>
      <c r="E499" s="14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7"/>
      <c r="Q499" s="57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15.75" customHeight="1" x14ac:dyDescent="0.3">
      <c r="A500" s="56"/>
      <c r="B500" s="56"/>
      <c r="C500" s="56"/>
      <c r="D500" s="56"/>
      <c r="E500" s="14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7"/>
      <c r="Q500" s="57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15.75" customHeight="1" x14ac:dyDescent="0.3">
      <c r="A501" s="56"/>
      <c r="B501" s="56"/>
      <c r="C501" s="56"/>
      <c r="D501" s="56"/>
      <c r="E501" s="14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7"/>
      <c r="Q501" s="57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15.75" customHeight="1" x14ac:dyDescent="0.3">
      <c r="A502" s="56"/>
      <c r="B502" s="56"/>
      <c r="C502" s="56"/>
      <c r="D502" s="56"/>
      <c r="E502" s="14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7"/>
      <c r="Q502" s="57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15.75" customHeight="1" x14ac:dyDescent="0.3">
      <c r="A503" s="56"/>
      <c r="B503" s="56"/>
      <c r="C503" s="56"/>
      <c r="D503" s="56"/>
      <c r="E503" s="14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7"/>
      <c r="Q503" s="57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15.75" customHeight="1" x14ac:dyDescent="0.3">
      <c r="A504" s="56"/>
      <c r="B504" s="56"/>
      <c r="C504" s="56"/>
      <c r="D504" s="56"/>
      <c r="E504" s="14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7"/>
      <c r="Q504" s="57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15.75" customHeight="1" x14ac:dyDescent="0.3">
      <c r="A505" s="56"/>
      <c r="B505" s="56"/>
      <c r="C505" s="56"/>
      <c r="D505" s="56"/>
      <c r="E505" s="14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7"/>
      <c r="Q505" s="57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15.75" customHeight="1" x14ac:dyDescent="0.3">
      <c r="A506" s="56"/>
      <c r="B506" s="56"/>
      <c r="C506" s="56"/>
      <c r="D506" s="56"/>
      <c r="E506" s="14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7"/>
      <c r="Q506" s="57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15.75" customHeight="1" x14ac:dyDescent="0.3">
      <c r="A507" s="56"/>
      <c r="B507" s="56"/>
      <c r="C507" s="56"/>
      <c r="D507" s="56"/>
      <c r="E507" s="14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7"/>
      <c r="Q507" s="57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15.75" customHeight="1" x14ac:dyDescent="0.3">
      <c r="A508" s="56"/>
      <c r="B508" s="56"/>
      <c r="C508" s="56"/>
      <c r="D508" s="56"/>
      <c r="E508" s="14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7"/>
      <c r="Q508" s="57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15.75" customHeight="1" x14ac:dyDescent="0.3">
      <c r="A509" s="56"/>
      <c r="B509" s="56"/>
      <c r="C509" s="56"/>
      <c r="D509" s="56"/>
      <c r="E509" s="14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7"/>
      <c r="Q509" s="57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15.75" customHeight="1" x14ac:dyDescent="0.3">
      <c r="A510" s="56"/>
      <c r="B510" s="56"/>
      <c r="C510" s="56"/>
      <c r="D510" s="56"/>
      <c r="E510" s="14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7"/>
      <c r="Q510" s="57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15.75" customHeight="1" x14ac:dyDescent="0.3">
      <c r="A511" s="56"/>
      <c r="B511" s="56"/>
      <c r="C511" s="56"/>
      <c r="D511" s="56"/>
      <c r="E511" s="14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7"/>
      <c r="Q511" s="57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15.75" customHeight="1" x14ac:dyDescent="0.3">
      <c r="A512" s="56"/>
      <c r="B512" s="56"/>
      <c r="C512" s="56"/>
      <c r="D512" s="56"/>
      <c r="E512" s="14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7"/>
      <c r="Q512" s="57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15.75" customHeight="1" x14ac:dyDescent="0.3">
      <c r="A513" s="56"/>
      <c r="B513" s="56"/>
      <c r="C513" s="56"/>
      <c r="D513" s="56"/>
      <c r="E513" s="14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7"/>
      <c r="Q513" s="57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15.75" customHeight="1" x14ac:dyDescent="0.3">
      <c r="A514" s="56"/>
      <c r="B514" s="56"/>
      <c r="C514" s="56"/>
      <c r="D514" s="56"/>
      <c r="E514" s="14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7"/>
      <c r="Q514" s="57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15.75" customHeight="1" x14ac:dyDescent="0.3">
      <c r="A515" s="56"/>
      <c r="B515" s="56"/>
      <c r="C515" s="56"/>
      <c r="D515" s="56"/>
      <c r="E515" s="14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7"/>
      <c r="Q515" s="57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15.75" customHeight="1" x14ac:dyDescent="0.3">
      <c r="A516" s="56"/>
      <c r="B516" s="56"/>
      <c r="C516" s="56"/>
      <c r="D516" s="56"/>
      <c r="E516" s="14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7"/>
      <c r="Q516" s="57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15.75" customHeight="1" x14ac:dyDescent="0.3">
      <c r="A517" s="56"/>
      <c r="B517" s="56"/>
      <c r="C517" s="56"/>
      <c r="D517" s="56"/>
      <c r="E517" s="14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7"/>
      <c r="Q517" s="57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15.75" customHeight="1" x14ac:dyDescent="0.3">
      <c r="A518" s="56"/>
      <c r="B518" s="56"/>
      <c r="C518" s="56"/>
      <c r="D518" s="56"/>
      <c r="E518" s="14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7"/>
      <c r="Q518" s="57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15.75" customHeight="1" x14ac:dyDescent="0.3">
      <c r="A519" s="56"/>
      <c r="B519" s="56"/>
      <c r="C519" s="56"/>
      <c r="D519" s="56"/>
      <c r="E519" s="14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7"/>
      <c r="Q519" s="57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15.75" customHeight="1" x14ac:dyDescent="0.3">
      <c r="A520" s="56"/>
      <c r="B520" s="56"/>
      <c r="C520" s="56"/>
      <c r="D520" s="56"/>
      <c r="E520" s="14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7"/>
      <c r="Q520" s="57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15.75" customHeight="1" x14ac:dyDescent="0.3">
      <c r="A521" s="56"/>
      <c r="B521" s="56"/>
      <c r="C521" s="56"/>
      <c r="D521" s="56"/>
      <c r="E521" s="14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7"/>
      <c r="Q521" s="57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5.75" customHeight="1" x14ac:dyDescent="0.3">
      <c r="A522" s="56"/>
      <c r="B522" s="56"/>
      <c r="C522" s="56"/>
      <c r="D522" s="56"/>
      <c r="E522" s="14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7"/>
      <c r="Q522" s="57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15.75" customHeight="1" x14ac:dyDescent="0.3">
      <c r="A523" s="56"/>
      <c r="B523" s="56"/>
      <c r="C523" s="56"/>
      <c r="D523" s="56"/>
      <c r="E523" s="14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7"/>
      <c r="Q523" s="57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15.75" customHeight="1" x14ac:dyDescent="0.3">
      <c r="A524" s="56"/>
      <c r="B524" s="56"/>
      <c r="C524" s="56"/>
      <c r="D524" s="56"/>
      <c r="E524" s="14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7"/>
      <c r="Q524" s="57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15.75" customHeight="1" x14ac:dyDescent="0.3">
      <c r="A525" s="56"/>
      <c r="B525" s="56"/>
      <c r="C525" s="56"/>
      <c r="D525" s="56"/>
      <c r="E525" s="14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7"/>
      <c r="Q525" s="57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15.75" customHeight="1" x14ac:dyDescent="0.3">
      <c r="A526" s="56"/>
      <c r="B526" s="56"/>
      <c r="C526" s="56"/>
      <c r="D526" s="56"/>
      <c r="E526" s="14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7"/>
      <c r="Q526" s="57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15.75" customHeight="1" x14ac:dyDescent="0.3">
      <c r="A527" s="56"/>
      <c r="B527" s="56"/>
      <c r="C527" s="56"/>
      <c r="D527" s="56"/>
      <c r="E527" s="14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7"/>
      <c r="Q527" s="57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15.75" customHeight="1" x14ac:dyDescent="0.3">
      <c r="A528" s="56"/>
      <c r="B528" s="56"/>
      <c r="C528" s="56"/>
      <c r="D528" s="56"/>
      <c r="E528" s="14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7"/>
      <c r="Q528" s="57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15.75" customHeight="1" x14ac:dyDescent="0.3">
      <c r="A529" s="56"/>
      <c r="B529" s="56"/>
      <c r="C529" s="56"/>
      <c r="D529" s="56"/>
      <c r="E529" s="14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7"/>
      <c r="Q529" s="57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15.75" customHeight="1" x14ac:dyDescent="0.3">
      <c r="A530" s="56"/>
      <c r="B530" s="56"/>
      <c r="C530" s="56"/>
      <c r="D530" s="56"/>
      <c r="E530" s="14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7"/>
      <c r="Q530" s="57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15.75" customHeight="1" x14ac:dyDescent="0.3">
      <c r="A531" s="56"/>
      <c r="B531" s="56"/>
      <c r="C531" s="56"/>
      <c r="D531" s="56"/>
      <c r="E531" s="14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7"/>
      <c r="Q531" s="57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15.75" customHeight="1" x14ac:dyDescent="0.3">
      <c r="A532" s="56"/>
      <c r="B532" s="56"/>
      <c r="C532" s="56"/>
      <c r="D532" s="56"/>
      <c r="E532" s="14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7"/>
      <c r="Q532" s="57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15.75" customHeight="1" x14ac:dyDescent="0.3">
      <c r="A533" s="56"/>
      <c r="B533" s="56"/>
      <c r="C533" s="56"/>
      <c r="D533" s="56"/>
      <c r="E533" s="14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7"/>
      <c r="Q533" s="57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15.75" customHeight="1" x14ac:dyDescent="0.3">
      <c r="A534" s="56"/>
      <c r="B534" s="56"/>
      <c r="C534" s="56"/>
      <c r="D534" s="56"/>
      <c r="E534" s="14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7"/>
      <c r="Q534" s="57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15.75" customHeight="1" x14ac:dyDescent="0.3">
      <c r="A535" s="56"/>
      <c r="B535" s="56"/>
      <c r="C535" s="56"/>
      <c r="D535" s="56"/>
      <c r="E535" s="14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7"/>
      <c r="Q535" s="57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15.75" customHeight="1" x14ac:dyDescent="0.3">
      <c r="A536" s="56"/>
      <c r="B536" s="56"/>
      <c r="C536" s="56"/>
      <c r="D536" s="56"/>
      <c r="E536" s="14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7"/>
      <c r="Q536" s="57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15.75" customHeight="1" x14ac:dyDescent="0.3">
      <c r="A537" s="56"/>
      <c r="B537" s="56"/>
      <c r="C537" s="56"/>
      <c r="D537" s="56"/>
      <c r="E537" s="14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7"/>
      <c r="Q537" s="57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15.75" customHeight="1" x14ac:dyDescent="0.3">
      <c r="A538" s="56"/>
      <c r="B538" s="56"/>
      <c r="C538" s="56"/>
      <c r="D538" s="56"/>
      <c r="E538" s="14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7"/>
      <c r="Q538" s="57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15.75" customHeight="1" x14ac:dyDescent="0.3">
      <c r="A539" s="56"/>
      <c r="B539" s="56"/>
      <c r="C539" s="56"/>
      <c r="D539" s="56"/>
      <c r="E539" s="14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7"/>
      <c r="Q539" s="57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15.75" customHeight="1" x14ac:dyDescent="0.3">
      <c r="A540" s="56"/>
      <c r="B540" s="56"/>
      <c r="C540" s="56"/>
      <c r="D540" s="56"/>
      <c r="E540" s="14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7"/>
      <c r="Q540" s="57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15.75" customHeight="1" x14ac:dyDescent="0.3">
      <c r="A541" s="56"/>
      <c r="B541" s="56"/>
      <c r="C541" s="56"/>
      <c r="D541" s="56"/>
      <c r="E541" s="14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7"/>
      <c r="Q541" s="57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15.75" customHeight="1" x14ac:dyDescent="0.3">
      <c r="A542" s="56"/>
      <c r="B542" s="56"/>
      <c r="C542" s="56"/>
      <c r="D542" s="56"/>
      <c r="E542" s="14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7"/>
      <c r="Q542" s="57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15.75" customHeight="1" x14ac:dyDescent="0.3">
      <c r="A543" s="56"/>
      <c r="B543" s="56"/>
      <c r="C543" s="56"/>
      <c r="D543" s="56"/>
      <c r="E543" s="14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7"/>
      <c r="Q543" s="57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15.75" customHeight="1" x14ac:dyDescent="0.3">
      <c r="A544" s="56"/>
      <c r="B544" s="56"/>
      <c r="C544" s="56"/>
      <c r="D544" s="56"/>
      <c r="E544" s="14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7"/>
      <c r="Q544" s="57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15.75" customHeight="1" x14ac:dyDescent="0.3">
      <c r="A545" s="56"/>
      <c r="B545" s="56"/>
      <c r="C545" s="56"/>
      <c r="D545" s="56"/>
      <c r="E545" s="14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7"/>
      <c r="Q545" s="57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15.75" customHeight="1" x14ac:dyDescent="0.3">
      <c r="A546" s="56"/>
      <c r="B546" s="56"/>
      <c r="C546" s="56"/>
      <c r="D546" s="56"/>
      <c r="E546" s="14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7"/>
      <c r="Q546" s="57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15.75" customHeight="1" x14ac:dyDescent="0.3">
      <c r="A547" s="56"/>
      <c r="B547" s="56"/>
      <c r="C547" s="56"/>
      <c r="D547" s="56"/>
      <c r="E547" s="14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7"/>
      <c r="Q547" s="57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15.75" customHeight="1" x14ac:dyDescent="0.3">
      <c r="A548" s="56"/>
      <c r="B548" s="56"/>
      <c r="C548" s="56"/>
      <c r="D548" s="56"/>
      <c r="E548" s="14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7"/>
      <c r="Q548" s="57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15.75" customHeight="1" x14ac:dyDescent="0.3">
      <c r="A549" s="56"/>
      <c r="B549" s="56"/>
      <c r="C549" s="56"/>
      <c r="D549" s="56"/>
      <c r="E549" s="14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7"/>
      <c r="Q549" s="57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15.75" customHeight="1" x14ac:dyDescent="0.3">
      <c r="A550" s="56"/>
      <c r="B550" s="56"/>
      <c r="C550" s="56"/>
      <c r="D550" s="56"/>
      <c r="E550" s="14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7"/>
      <c r="Q550" s="57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15.75" customHeight="1" x14ac:dyDescent="0.3">
      <c r="A551" s="56"/>
      <c r="B551" s="56"/>
      <c r="C551" s="56"/>
      <c r="D551" s="56"/>
      <c r="E551" s="14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7"/>
      <c r="Q551" s="57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15.75" customHeight="1" x14ac:dyDescent="0.3">
      <c r="A552" s="56"/>
      <c r="B552" s="56"/>
      <c r="C552" s="56"/>
      <c r="D552" s="56"/>
      <c r="E552" s="14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7"/>
      <c r="Q552" s="57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15.75" customHeight="1" x14ac:dyDescent="0.3">
      <c r="A553" s="56"/>
      <c r="B553" s="56"/>
      <c r="C553" s="56"/>
      <c r="D553" s="56"/>
      <c r="E553" s="14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7"/>
      <c r="Q553" s="57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15.75" customHeight="1" x14ac:dyDescent="0.3">
      <c r="A554" s="56"/>
      <c r="B554" s="56"/>
      <c r="C554" s="56"/>
      <c r="D554" s="56"/>
      <c r="E554" s="14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7"/>
      <c r="Q554" s="57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15.75" customHeight="1" x14ac:dyDescent="0.3">
      <c r="A555" s="56"/>
      <c r="B555" s="56"/>
      <c r="C555" s="56"/>
      <c r="D555" s="56"/>
      <c r="E555" s="14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7"/>
      <c r="Q555" s="57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15.75" customHeight="1" x14ac:dyDescent="0.3">
      <c r="A556" s="56"/>
      <c r="B556" s="56"/>
      <c r="C556" s="56"/>
      <c r="D556" s="56"/>
      <c r="E556" s="14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7"/>
      <c r="Q556" s="57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15.75" customHeight="1" x14ac:dyDescent="0.3">
      <c r="A557" s="56"/>
      <c r="B557" s="56"/>
      <c r="C557" s="56"/>
      <c r="D557" s="56"/>
      <c r="E557" s="14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7"/>
      <c r="Q557" s="57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15.75" customHeight="1" x14ac:dyDescent="0.3">
      <c r="A558" s="56"/>
      <c r="B558" s="56"/>
      <c r="C558" s="56"/>
      <c r="D558" s="56"/>
      <c r="E558" s="14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7"/>
      <c r="Q558" s="57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15.75" customHeight="1" x14ac:dyDescent="0.3">
      <c r="A559" s="56"/>
      <c r="B559" s="56"/>
      <c r="C559" s="56"/>
      <c r="D559" s="56"/>
      <c r="E559" s="14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7"/>
      <c r="Q559" s="57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15.75" customHeight="1" x14ac:dyDescent="0.3">
      <c r="A560" s="56"/>
      <c r="B560" s="56"/>
      <c r="C560" s="56"/>
      <c r="D560" s="56"/>
      <c r="E560" s="14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7"/>
      <c r="Q560" s="57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15.75" customHeight="1" x14ac:dyDescent="0.3">
      <c r="A561" s="56"/>
      <c r="B561" s="56"/>
      <c r="C561" s="56"/>
      <c r="D561" s="56"/>
      <c r="E561" s="14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7"/>
      <c r="Q561" s="57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15.75" customHeight="1" x14ac:dyDescent="0.3">
      <c r="A562" s="56"/>
      <c r="B562" s="56"/>
      <c r="C562" s="56"/>
      <c r="D562" s="56"/>
      <c r="E562" s="14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7"/>
      <c r="Q562" s="57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15.75" customHeight="1" x14ac:dyDescent="0.3">
      <c r="A563" s="56"/>
      <c r="B563" s="56"/>
      <c r="C563" s="56"/>
      <c r="D563" s="56"/>
      <c r="E563" s="14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7"/>
      <c r="Q563" s="57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15.75" customHeight="1" x14ac:dyDescent="0.3">
      <c r="A564" s="56"/>
      <c r="B564" s="56"/>
      <c r="C564" s="56"/>
      <c r="D564" s="56"/>
      <c r="E564" s="14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7"/>
      <c r="Q564" s="57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15.75" customHeight="1" x14ac:dyDescent="0.3">
      <c r="A565" s="56"/>
      <c r="B565" s="56"/>
      <c r="C565" s="56"/>
      <c r="D565" s="56"/>
      <c r="E565" s="14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7"/>
      <c r="Q565" s="57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15.75" customHeight="1" x14ac:dyDescent="0.3">
      <c r="A566" s="56"/>
      <c r="B566" s="56"/>
      <c r="C566" s="56"/>
      <c r="D566" s="56"/>
      <c r="E566" s="14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7"/>
      <c r="Q566" s="57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15.75" customHeight="1" x14ac:dyDescent="0.3">
      <c r="A567" s="56"/>
      <c r="B567" s="56"/>
      <c r="C567" s="56"/>
      <c r="D567" s="56"/>
      <c r="E567" s="14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7"/>
      <c r="Q567" s="57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15.75" customHeight="1" x14ac:dyDescent="0.3">
      <c r="A568" s="56"/>
      <c r="B568" s="56"/>
      <c r="C568" s="56"/>
      <c r="D568" s="56"/>
      <c r="E568" s="14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7"/>
      <c r="Q568" s="57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15.75" customHeight="1" x14ac:dyDescent="0.3">
      <c r="A569" s="56"/>
      <c r="B569" s="56"/>
      <c r="C569" s="56"/>
      <c r="D569" s="56"/>
      <c r="E569" s="14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7"/>
      <c r="Q569" s="57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15.75" customHeight="1" x14ac:dyDescent="0.3">
      <c r="A570" s="56"/>
      <c r="B570" s="56"/>
      <c r="C570" s="56"/>
      <c r="D570" s="56"/>
      <c r="E570" s="14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7"/>
      <c r="Q570" s="57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15.75" customHeight="1" x14ac:dyDescent="0.3">
      <c r="A571" s="56"/>
      <c r="B571" s="56"/>
      <c r="C571" s="56"/>
      <c r="D571" s="56"/>
      <c r="E571" s="14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7"/>
      <c r="Q571" s="57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15.75" customHeight="1" x14ac:dyDescent="0.3">
      <c r="A572" s="56"/>
      <c r="B572" s="56"/>
      <c r="C572" s="56"/>
      <c r="D572" s="56"/>
      <c r="E572" s="14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7"/>
      <c r="Q572" s="57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15.75" customHeight="1" x14ac:dyDescent="0.3">
      <c r="A573" s="56"/>
      <c r="B573" s="56"/>
      <c r="C573" s="56"/>
      <c r="D573" s="56"/>
      <c r="E573" s="14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7"/>
      <c r="Q573" s="57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15.75" customHeight="1" x14ac:dyDescent="0.3">
      <c r="A574" s="56"/>
      <c r="B574" s="56"/>
      <c r="C574" s="56"/>
      <c r="D574" s="56"/>
      <c r="E574" s="14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7"/>
      <c r="Q574" s="57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15.75" customHeight="1" x14ac:dyDescent="0.3">
      <c r="A575" s="56"/>
      <c r="B575" s="56"/>
      <c r="C575" s="56"/>
      <c r="D575" s="56"/>
      <c r="E575" s="14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7"/>
      <c r="Q575" s="57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15.75" customHeight="1" x14ac:dyDescent="0.3">
      <c r="A576" s="56"/>
      <c r="B576" s="56"/>
      <c r="C576" s="56"/>
      <c r="D576" s="56"/>
      <c r="E576" s="14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7"/>
      <c r="Q576" s="57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15.75" customHeight="1" x14ac:dyDescent="0.3">
      <c r="A577" s="56"/>
      <c r="B577" s="56"/>
      <c r="C577" s="56"/>
      <c r="D577" s="56"/>
      <c r="E577" s="14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7"/>
      <c r="Q577" s="57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15.75" customHeight="1" x14ac:dyDescent="0.3">
      <c r="A578" s="56"/>
      <c r="B578" s="56"/>
      <c r="C578" s="56"/>
      <c r="D578" s="56"/>
      <c r="E578" s="14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7"/>
      <c r="Q578" s="57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15.75" customHeight="1" x14ac:dyDescent="0.3">
      <c r="A579" s="56"/>
      <c r="B579" s="56"/>
      <c r="C579" s="56"/>
      <c r="D579" s="56"/>
      <c r="E579" s="14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7"/>
      <c r="Q579" s="57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15.75" customHeight="1" x14ac:dyDescent="0.3">
      <c r="A580" s="56"/>
      <c r="B580" s="56"/>
      <c r="C580" s="56"/>
      <c r="D580" s="56"/>
      <c r="E580" s="14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7"/>
      <c r="Q580" s="57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15.75" customHeight="1" x14ac:dyDescent="0.3">
      <c r="A581" s="56"/>
      <c r="B581" s="56"/>
      <c r="C581" s="56"/>
      <c r="D581" s="56"/>
      <c r="E581" s="14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7"/>
      <c r="Q581" s="57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15.75" customHeight="1" x14ac:dyDescent="0.3">
      <c r="A582" s="56"/>
      <c r="B582" s="56"/>
      <c r="C582" s="56"/>
      <c r="D582" s="56"/>
      <c r="E582" s="14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7"/>
      <c r="Q582" s="57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15.75" customHeight="1" x14ac:dyDescent="0.3">
      <c r="A583" s="56"/>
      <c r="B583" s="56"/>
      <c r="C583" s="56"/>
      <c r="D583" s="56"/>
      <c r="E583" s="14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7"/>
      <c r="Q583" s="57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15.75" customHeight="1" x14ac:dyDescent="0.3">
      <c r="A584" s="56"/>
      <c r="B584" s="56"/>
      <c r="C584" s="56"/>
      <c r="D584" s="56"/>
      <c r="E584" s="14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7"/>
      <c r="Q584" s="57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15.75" customHeight="1" x14ac:dyDescent="0.3">
      <c r="A585" s="56"/>
      <c r="B585" s="56"/>
      <c r="C585" s="56"/>
      <c r="D585" s="56"/>
      <c r="E585" s="14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7"/>
      <c r="Q585" s="57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15.75" customHeight="1" x14ac:dyDescent="0.3">
      <c r="A586" s="56"/>
      <c r="B586" s="56"/>
      <c r="C586" s="56"/>
      <c r="D586" s="56"/>
      <c r="E586" s="14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7"/>
      <c r="Q586" s="57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15.75" customHeight="1" x14ac:dyDescent="0.3">
      <c r="A587" s="56"/>
      <c r="B587" s="56"/>
      <c r="C587" s="56"/>
      <c r="D587" s="56"/>
      <c r="E587" s="14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7"/>
      <c r="Q587" s="57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15.75" customHeight="1" x14ac:dyDescent="0.3">
      <c r="A588" s="56"/>
      <c r="B588" s="56"/>
      <c r="C588" s="56"/>
      <c r="D588" s="56"/>
      <c r="E588" s="14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7"/>
      <c r="Q588" s="57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15.75" customHeight="1" x14ac:dyDescent="0.3">
      <c r="A589" s="56"/>
      <c r="B589" s="56"/>
      <c r="C589" s="56"/>
      <c r="D589" s="56"/>
      <c r="E589" s="14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7"/>
      <c r="Q589" s="57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15.75" customHeight="1" x14ac:dyDescent="0.3">
      <c r="A590" s="56"/>
      <c r="B590" s="56"/>
      <c r="C590" s="56"/>
      <c r="D590" s="56"/>
      <c r="E590" s="14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7"/>
      <c r="Q590" s="57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15.75" customHeight="1" x14ac:dyDescent="0.3">
      <c r="A591" s="56"/>
      <c r="B591" s="56"/>
      <c r="C591" s="56"/>
      <c r="D591" s="56"/>
      <c r="E591" s="14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7"/>
      <c r="Q591" s="57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15.75" customHeight="1" x14ac:dyDescent="0.3">
      <c r="A592" s="56"/>
      <c r="B592" s="56"/>
      <c r="C592" s="56"/>
      <c r="D592" s="56"/>
      <c r="E592" s="14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7"/>
      <c r="Q592" s="57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15.75" customHeight="1" x14ac:dyDescent="0.3">
      <c r="A593" s="56"/>
      <c r="B593" s="56"/>
      <c r="C593" s="56"/>
      <c r="D593" s="56"/>
      <c r="E593" s="14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7"/>
      <c r="Q593" s="57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15.75" customHeight="1" x14ac:dyDescent="0.3">
      <c r="A594" s="56"/>
      <c r="B594" s="56"/>
      <c r="C594" s="56"/>
      <c r="D594" s="56"/>
      <c r="E594" s="14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7"/>
      <c r="Q594" s="57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15.75" customHeight="1" x14ac:dyDescent="0.3">
      <c r="A595" s="56"/>
      <c r="B595" s="56"/>
      <c r="C595" s="56"/>
      <c r="D595" s="56"/>
      <c r="E595" s="14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7"/>
      <c r="Q595" s="57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15.75" customHeight="1" x14ac:dyDescent="0.3">
      <c r="A596" s="56"/>
      <c r="B596" s="56"/>
      <c r="C596" s="56"/>
      <c r="D596" s="56"/>
      <c r="E596" s="14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7"/>
      <c r="Q596" s="57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15.75" customHeight="1" x14ac:dyDescent="0.3">
      <c r="A597" s="56"/>
      <c r="B597" s="56"/>
      <c r="C597" s="56"/>
      <c r="D597" s="56"/>
      <c r="E597" s="14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7"/>
      <c r="Q597" s="57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15.75" customHeight="1" x14ac:dyDescent="0.3">
      <c r="A598" s="56"/>
      <c r="B598" s="56"/>
      <c r="C598" s="56"/>
      <c r="D598" s="56"/>
      <c r="E598" s="14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7"/>
      <c r="Q598" s="57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15.75" customHeight="1" x14ac:dyDescent="0.3">
      <c r="A599" s="56"/>
      <c r="B599" s="56"/>
      <c r="C599" s="56"/>
      <c r="D599" s="56"/>
      <c r="E599" s="14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7"/>
      <c r="Q599" s="57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15.75" customHeight="1" x14ac:dyDescent="0.3">
      <c r="A600" s="56"/>
      <c r="B600" s="56"/>
      <c r="C600" s="56"/>
      <c r="D600" s="56"/>
      <c r="E600" s="14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7"/>
      <c r="Q600" s="57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15.75" customHeight="1" x14ac:dyDescent="0.3">
      <c r="A601" s="56"/>
      <c r="B601" s="56"/>
      <c r="C601" s="56"/>
      <c r="D601" s="56"/>
      <c r="E601" s="14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7"/>
      <c r="Q601" s="57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15.75" customHeight="1" x14ac:dyDescent="0.3">
      <c r="A602" s="56"/>
      <c r="B602" s="56"/>
      <c r="C602" s="56"/>
      <c r="D602" s="56"/>
      <c r="E602" s="14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7"/>
      <c r="Q602" s="57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15.75" customHeight="1" x14ac:dyDescent="0.3">
      <c r="A603" s="56"/>
      <c r="B603" s="56"/>
      <c r="C603" s="56"/>
      <c r="D603" s="56"/>
      <c r="E603" s="14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7"/>
      <c r="Q603" s="57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15.75" customHeight="1" x14ac:dyDescent="0.3">
      <c r="A604" s="56"/>
      <c r="B604" s="56"/>
      <c r="C604" s="56"/>
      <c r="D604" s="56"/>
      <c r="E604" s="14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7"/>
      <c r="Q604" s="57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15.75" customHeight="1" x14ac:dyDescent="0.3">
      <c r="A605" s="56"/>
      <c r="B605" s="56"/>
      <c r="C605" s="56"/>
      <c r="D605" s="56"/>
      <c r="E605" s="14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7"/>
      <c r="Q605" s="57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15.75" customHeight="1" x14ac:dyDescent="0.3">
      <c r="A606" s="56"/>
      <c r="B606" s="56"/>
      <c r="C606" s="56"/>
      <c r="D606" s="56"/>
      <c r="E606" s="14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7"/>
      <c r="Q606" s="57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15.75" customHeight="1" x14ac:dyDescent="0.3">
      <c r="A607" s="56"/>
      <c r="B607" s="56"/>
      <c r="C607" s="56"/>
      <c r="D607" s="56"/>
      <c r="E607" s="14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7"/>
      <c r="Q607" s="57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15.75" customHeight="1" x14ac:dyDescent="0.3">
      <c r="A608" s="56"/>
      <c r="B608" s="56"/>
      <c r="C608" s="56"/>
      <c r="D608" s="56"/>
      <c r="E608" s="14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7"/>
      <c r="Q608" s="57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15.75" customHeight="1" x14ac:dyDescent="0.3">
      <c r="A609" s="56"/>
      <c r="B609" s="56"/>
      <c r="C609" s="56"/>
      <c r="D609" s="56"/>
      <c r="E609" s="14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7"/>
      <c r="Q609" s="57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15.75" customHeight="1" x14ac:dyDescent="0.3">
      <c r="A610" s="56"/>
      <c r="B610" s="56"/>
      <c r="C610" s="56"/>
      <c r="D610" s="56"/>
      <c r="E610" s="14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7"/>
      <c r="Q610" s="57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15.75" customHeight="1" x14ac:dyDescent="0.3">
      <c r="A611" s="56"/>
      <c r="B611" s="56"/>
      <c r="C611" s="56"/>
      <c r="D611" s="56"/>
      <c r="E611" s="14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7"/>
      <c r="Q611" s="57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15.75" customHeight="1" x14ac:dyDescent="0.3">
      <c r="A612" s="56"/>
      <c r="B612" s="56"/>
      <c r="C612" s="56"/>
      <c r="D612" s="56"/>
      <c r="E612" s="14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7"/>
      <c r="Q612" s="57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15.75" customHeight="1" x14ac:dyDescent="0.3">
      <c r="A613" s="56"/>
      <c r="B613" s="56"/>
      <c r="C613" s="56"/>
      <c r="D613" s="56"/>
      <c r="E613" s="14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7"/>
      <c r="Q613" s="57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15.75" customHeight="1" x14ac:dyDescent="0.3">
      <c r="A614" s="56"/>
      <c r="B614" s="56"/>
      <c r="C614" s="56"/>
      <c r="D614" s="56"/>
      <c r="E614" s="14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7"/>
      <c r="Q614" s="57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15.75" customHeight="1" x14ac:dyDescent="0.3">
      <c r="A615" s="56"/>
      <c r="B615" s="56"/>
      <c r="C615" s="56"/>
      <c r="D615" s="56"/>
      <c r="E615" s="14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7"/>
      <c r="Q615" s="57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15.75" customHeight="1" x14ac:dyDescent="0.3">
      <c r="A616" s="56"/>
      <c r="B616" s="56"/>
      <c r="C616" s="56"/>
      <c r="D616" s="56"/>
      <c r="E616" s="14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7"/>
      <c r="Q616" s="57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15.75" customHeight="1" x14ac:dyDescent="0.3">
      <c r="A617" s="56"/>
      <c r="B617" s="56"/>
      <c r="C617" s="56"/>
      <c r="D617" s="56"/>
      <c r="E617" s="14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7"/>
      <c r="Q617" s="57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15.75" customHeight="1" x14ac:dyDescent="0.3">
      <c r="A618" s="56"/>
      <c r="B618" s="56"/>
      <c r="C618" s="56"/>
      <c r="D618" s="56"/>
      <c r="E618" s="14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7"/>
      <c r="Q618" s="57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15.75" customHeight="1" x14ac:dyDescent="0.3">
      <c r="A619" s="56"/>
      <c r="B619" s="56"/>
      <c r="C619" s="56"/>
      <c r="D619" s="56"/>
      <c r="E619" s="14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7"/>
      <c r="Q619" s="57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15.75" customHeight="1" x14ac:dyDescent="0.3">
      <c r="A620" s="56"/>
      <c r="B620" s="56"/>
      <c r="C620" s="56"/>
      <c r="D620" s="56"/>
      <c r="E620" s="14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7"/>
      <c r="Q620" s="57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15.75" customHeight="1" x14ac:dyDescent="0.3">
      <c r="A621" s="56"/>
      <c r="B621" s="56"/>
      <c r="C621" s="56"/>
      <c r="D621" s="56"/>
      <c r="E621" s="14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7"/>
      <c r="Q621" s="57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15.75" customHeight="1" x14ac:dyDescent="0.3">
      <c r="A622" s="56"/>
      <c r="B622" s="56"/>
      <c r="C622" s="56"/>
      <c r="D622" s="56"/>
      <c r="E622" s="14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7"/>
      <c r="Q622" s="57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15.75" customHeight="1" x14ac:dyDescent="0.3">
      <c r="A623" s="56"/>
      <c r="B623" s="56"/>
      <c r="C623" s="56"/>
      <c r="D623" s="56"/>
      <c r="E623" s="14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7"/>
      <c r="Q623" s="57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15.75" customHeight="1" x14ac:dyDescent="0.3">
      <c r="A624" s="56"/>
      <c r="B624" s="56"/>
      <c r="C624" s="56"/>
      <c r="D624" s="56"/>
      <c r="E624" s="14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7"/>
      <c r="Q624" s="57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15.75" customHeight="1" x14ac:dyDescent="0.3">
      <c r="A625" s="56"/>
      <c r="B625" s="56"/>
      <c r="C625" s="56"/>
      <c r="D625" s="56"/>
      <c r="E625" s="14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7"/>
      <c r="Q625" s="57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15.75" customHeight="1" x14ac:dyDescent="0.3">
      <c r="A626" s="56"/>
      <c r="B626" s="56"/>
      <c r="C626" s="56"/>
      <c r="D626" s="56"/>
      <c r="E626" s="14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7"/>
      <c r="Q626" s="57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15.75" customHeight="1" x14ac:dyDescent="0.3">
      <c r="A627" s="56"/>
      <c r="B627" s="56"/>
      <c r="C627" s="56"/>
      <c r="D627" s="56"/>
      <c r="E627" s="14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7"/>
      <c r="Q627" s="57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15.75" customHeight="1" x14ac:dyDescent="0.3">
      <c r="A628" s="56"/>
      <c r="B628" s="56"/>
      <c r="C628" s="56"/>
      <c r="D628" s="56"/>
      <c r="E628" s="14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7"/>
      <c r="Q628" s="57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15.75" customHeight="1" x14ac:dyDescent="0.3">
      <c r="A629" s="56"/>
      <c r="B629" s="56"/>
      <c r="C629" s="56"/>
      <c r="D629" s="56"/>
      <c r="E629" s="14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7"/>
      <c r="Q629" s="57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15.75" customHeight="1" x14ac:dyDescent="0.3">
      <c r="A630" s="56"/>
      <c r="B630" s="56"/>
      <c r="C630" s="56"/>
      <c r="D630" s="56"/>
      <c r="E630" s="14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7"/>
      <c r="Q630" s="57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15.75" customHeight="1" x14ac:dyDescent="0.3">
      <c r="A631" s="56"/>
      <c r="B631" s="56"/>
      <c r="C631" s="56"/>
      <c r="D631" s="56"/>
      <c r="E631" s="14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7"/>
      <c r="Q631" s="57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15.75" customHeight="1" x14ac:dyDescent="0.3">
      <c r="A632" s="56"/>
      <c r="B632" s="56"/>
      <c r="C632" s="56"/>
      <c r="D632" s="56"/>
      <c r="E632" s="14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7"/>
      <c r="Q632" s="57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15.75" customHeight="1" x14ac:dyDescent="0.3">
      <c r="A633" s="56"/>
      <c r="B633" s="56"/>
      <c r="C633" s="56"/>
      <c r="D633" s="56"/>
      <c r="E633" s="14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7"/>
      <c r="Q633" s="57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15.75" customHeight="1" x14ac:dyDescent="0.3">
      <c r="A634" s="56"/>
      <c r="B634" s="56"/>
      <c r="C634" s="56"/>
      <c r="D634" s="56"/>
      <c r="E634" s="14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7"/>
      <c r="Q634" s="57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15.75" customHeight="1" x14ac:dyDescent="0.3">
      <c r="A635" s="56"/>
      <c r="B635" s="56"/>
      <c r="C635" s="56"/>
      <c r="D635" s="56"/>
      <c r="E635" s="14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7"/>
      <c r="Q635" s="57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15.75" customHeight="1" x14ac:dyDescent="0.3">
      <c r="A636" s="56"/>
      <c r="B636" s="56"/>
      <c r="C636" s="56"/>
      <c r="D636" s="56"/>
      <c r="E636" s="14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7"/>
      <c r="Q636" s="57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15.75" customHeight="1" x14ac:dyDescent="0.3">
      <c r="A637" s="56"/>
      <c r="B637" s="56"/>
      <c r="C637" s="56"/>
      <c r="D637" s="56"/>
      <c r="E637" s="14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7"/>
      <c r="Q637" s="57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15.75" customHeight="1" x14ac:dyDescent="0.3">
      <c r="A638" s="56"/>
      <c r="B638" s="56"/>
      <c r="C638" s="56"/>
      <c r="D638" s="56"/>
      <c r="E638" s="14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7"/>
      <c r="Q638" s="57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15.75" customHeight="1" x14ac:dyDescent="0.3">
      <c r="A639" s="56"/>
      <c r="B639" s="56"/>
      <c r="C639" s="56"/>
      <c r="D639" s="56"/>
      <c r="E639" s="14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7"/>
      <c r="Q639" s="57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15.75" customHeight="1" x14ac:dyDescent="0.3">
      <c r="A640" s="56"/>
      <c r="B640" s="56"/>
      <c r="C640" s="56"/>
      <c r="D640" s="56"/>
      <c r="E640" s="14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7"/>
      <c r="Q640" s="57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15.75" customHeight="1" x14ac:dyDescent="0.3">
      <c r="A641" s="56"/>
      <c r="B641" s="56"/>
      <c r="C641" s="56"/>
      <c r="D641" s="56"/>
      <c r="E641" s="14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7"/>
      <c r="Q641" s="57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15.75" customHeight="1" x14ac:dyDescent="0.3">
      <c r="A642" s="56"/>
      <c r="B642" s="56"/>
      <c r="C642" s="56"/>
      <c r="D642" s="56"/>
      <c r="E642" s="14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7"/>
      <c r="Q642" s="57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15.75" customHeight="1" x14ac:dyDescent="0.3">
      <c r="A643" s="56"/>
      <c r="B643" s="56"/>
      <c r="C643" s="56"/>
      <c r="D643" s="56"/>
      <c r="E643" s="14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7"/>
      <c r="Q643" s="57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15.75" customHeight="1" x14ac:dyDescent="0.3">
      <c r="A644" s="56"/>
      <c r="B644" s="56"/>
      <c r="C644" s="56"/>
      <c r="D644" s="56"/>
      <c r="E644" s="14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7"/>
      <c r="Q644" s="57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15.75" customHeight="1" x14ac:dyDescent="0.3">
      <c r="A645" s="56"/>
      <c r="B645" s="56"/>
      <c r="C645" s="56"/>
      <c r="D645" s="56"/>
      <c r="E645" s="14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7"/>
      <c r="Q645" s="57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15.75" customHeight="1" x14ac:dyDescent="0.3">
      <c r="A646" s="56"/>
      <c r="B646" s="56"/>
      <c r="C646" s="56"/>
      <c r="D646" s="56"/>
      <c r="E646" s="14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7"/>
      <c r="Q646" s="57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15.75" customHeight="1" x14ac:dyDescent="0.3">
      <c r="A647" s="56"/>
      <c r="B647" s="56"/>
      <c r="C647" s="56"/>
      <c r="D647" s="56"/>
      <c r="E647" s="14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7"/>
      <c r="Q647" s="57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15.75" customHeight="1" x14ac:dyDescent="0.3">
      <c r="A648" s="56"/>
      <c r="B648" s="56"/>
      <c r="C648" s="56"/>
      <c r="D648" s="56"/>
      <c r="E648" s="14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7"/>
      <c r="Q648" s="57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15.75" customHeight="1" x14ac:dyDescent="0.3">
      <c r="A649" s="56"/>
      <c r="B649" s="56"/>
      <c r="C649" s="56"/>
      <c r="D649" s="56"/>
      <c r="E649" s="14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7"/>
      <c r="Q649" s="57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15.75" customHeight="1" x14ac:dyDescent="0.3">
      <c r="A650" s="56"/>
      <c r="B650" s="56"/>
      <c r="C650" s="56"/>
      <c r="D650" s="56"/>
      <c r="E650" s="14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7"/>
      <c r="Q650" s="57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15.75" customHeight="1" x14ac:dyDescent="0.3">
      <c r="A651" s="56"/>
      <c r="B651" s="56"/>
      <c r="C651" s="56"/>
      <c r="D651" s="56"/>
      <c r="E651" s="14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7"/>
      <c r="Q651" s="57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15.75" customHeight="1" x14ac:dyDescent="0.3">
      <c r="A652" s="56"/>
      <c r="B652" s="56"/>
      <c r="C652" s="56"/>
      <c r="D652" s="56"/>
      <c r="E652" s="14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7"/>
      <c r="Q652" s="57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15.75" customHeight="1" x14ac:dyDescent="0.3">
      <c r="A653" s="56"/>
      <c r="B653" s="56"/>
      <c r="C653" s="56"/>
      <c r="D653" s="56"/>
      <c r="E653" s="14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7"/>
      <c r="Q653" s="57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15.75" customHeight="1" x14ac:dyDescent="0.3">
      <c r="A654" s="56"/>
      <c r="B654" s="56"/>
      <c r="C654" s="56"/>
      <c r="D654" s="56"/>
      <c r="E654" s="14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7"/>
      <c r="Q654" s="57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15.75" customHeight="1" x14ac:dyDescent="0.3">
      <c r="A655" s="56"/>
      <c r="B655" s="56"/>
      <c r="C655" s="56"/>
      <c r="D655" s="56"/>
      <c r="E655" s="14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7"/>
      <c r="Q655" s="57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15.75" customHeight="1" x14ac:dyDescent="0.3">
      <c r="A656" s="56"/>
      <c r="B656" s="56"/>
      <c r="C656" s="56"/>
      <c r="D656" s="56"/>
      <c r="E656" s="14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7"/>
      <c r="Q656" s="57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15.75" customHeight="1" x14ac:dyDescent="0.3">
      <c r="A657" s="56"/>
      <c r="B657" s="56"/>
      <c r="C657" s="56"/>
      <c r="D657" s="56"/>
      <c r="E657" s="14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7"/>
      <c r="Q657" s="57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15.75" customHeight="1" x14ac:dyDescent="0.3">
      <c r="A658" s="56"/>
      <c r="B658" s="56"/>
      <c r="C658" s="56"/>
      <c r="D658" s="56"/>
      <c r="E658" s="14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7"/>
      <c r="Q658" s="57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15.75" customHeight="1" x14ac:dyDescent="0.3">
      <c r="A659" s="56"/>
      <c r="B659" s="56"/>
      <c r="C659" s="56"/>
      <c r="D659" s="56"/>
      <c r="E659" s="14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7"/>
      <c r="Q659" s="57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15.75" customHeight="1" x14ac:dyDescent="0.3">
      <c r="A660" s="56"/>
      <c r="B660" s="56"/>
      <c r="C660" s="56"/>
      <c r="D660" s="56"/>
      <c r="E660" s="14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7"/>
      <c r="Q660" s="57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15.75" customHeight="1" x14ac:dyDescent="0.3">
      <c r="A661" s="56"/>
      <c r="B661" s="56"/>
      <c r="C661" s="56"/>
      <c r="D661" s="56"/>
      <c r="E661" s="14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7"/>
      <c r="Q661" s="57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15.75" customHeight="1" x14ac:dyDescent="0.3">
      <c r="A662" s="56"/>
      <c r="B662" s="56"/>
      <c r="C662" s="56"/>
      <c r="D662" s="56"/>
      <c r="E662" s="14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7"/>
      <c r="Q662" s="57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15.75" customHeight="1" x14ac:dyDescent="0.3">
      <c r="A663" s="56"/>
      <c r="B663" s="56"/>
      <c r="C663" s="56"/>
      <c r="D663" s="56"/>
      <c r="E663" s="14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7"/>
      <c r="Q663" s="57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15.75" customHeight="1" x14ac:dyDescent="0.3">
      <c r="A664" s="56"/>
      <c r="B664" s="56"/>
      <c r="C664" s="56"/>
      <c r="D664" s="56"/>
      <c r="E664" s="14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7"/>
      <c r="Q664" s="57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15.75" customHeight="1" x14ac:dyDescent="0.3">
      <c r="A665" s="56"/>
      <c r="B665" s="56"/>
      <c r="C665" s="56"/>
      <c r="D665" s="56"/>
      <c r="E665" s="14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7"/>
      <c r="Q665" s="57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15.75" customHeight="1" x14ac:dyDescent="0.3">
      <c r="A666" s="56"/>
      <c r="B666" s="56"/>
      <c r="C666" s="56"/>
      <c r="D666" s="56"/>
      <c r="E666" s="14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7"/>
      <c r="Q666" s="57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15.75" customHeight="1" x14ac:dyDescent="0.3">
      <c r="A667" s="56"/>
      <c r="B667" s="56"/>
      <c r="C667" s="56"/>
      <c r="D667" s="56"/>
      <c r="E667" s="14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7"/>
      <c r="Q667" s="57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15.75" customHeight="1" x14ac:dyDescent="0.3">
      <c r="A668" s="56"/>
      <c r="B668" s="56"/>
      <c r="C668" s="56"/>
      <c r="D668" s="56"/>
      <c r="E668" s="14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7"/>
      <c r="Q668" s="57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15.75" customHeight="1" x14ac:dyDescent="0.3">
      <c r="A669" s="56"/>
      <c r="B669" s="56"/>
      <c r="C669" s="56"/>
      <c r="D669" s="56"/>
      <c r="E669" s="14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7"/>
      <c r="Q669" s="57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15.75" customHeight="1" x14ac:dyDescent="0.3">
      <c r="A670" s="56"/>
      <c r="B670" s="56"/>
      <c r="C670" s="56"/>
      <c r="D670" s="56"/>
      <c r="E670" s="14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7"/>
      <c r="Q670" s="57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15.75" customHeight="1" x14ac:dyDescent="0.3">
      <c r="A671" s="56"/>
      <c r="B671" s="56"/>
      <c r="C671" s="56"/>
      <c r="D671" s="56"/>
      <c r="E671" s="14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7"/>
      <c r="Q671" s="57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15.75" customHeight="1" x14ac:dyDescent="0.3">
      <c r="A672" s="56"/>
      <c r="B672" s="56"/>
      <c r="C672" s="56"/>
      <c r="D672" s="56"/>
      <c r="E672" s="14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7"/>
      <c r="Q672" s="57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15.75" customHeight="1" x14ac:dyDescent="0.3">
      <c r="A673" s="56"/>
      <c r="B673" s="56"/>
      <c r="C673" s="56"/>
      <c r="D673" s="56"/>
      <c r="E673" s="14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7"/>
      <c r="Q673" s="57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15.75" customHeight="1" x14ac:dyDescent="0.3">
      <c r="A674" s="56"/>
      <c r="B674" s="56"/>
      <c r="C674" s="56"/>
      <c r="D674" s="56"/>
      <c r="E674" s="14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7"/>
      <c r="Q674" s="57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15.75" customHeight="1" x14ac:dyDescent="0.3">
      <c r="A675" s="56"/>
      <c r="B675" s="56"/>
      <c r="C675" s="56"/>
      <c r="D675" s="56"/>
      <c r="E675" s="14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7"/>
      <c r="Q675" s="57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15.75" customHeight="1" x14ac:dyDescent="0.3">
      <c r="A676" s="56"/>
      <c r="B676" s="56"/>
      <c r="C676" s="56"/>
      <c r="D676" s="56"/>
      <c r="E676" s="14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7"/>
      <c r="Q676" s="57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15.75" customHeight="1" x14ac:dyDescent="0.3">
      <c r="A677" s="56"/>
      <c r="B677" s="56"/>
      <c r="C677" s="56"/>
      <c r="D677" s="56"/>
      <c r="E677" s="14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7"/>
      <c r="Q677" s="57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15.75" customHeight="1" x14ac:dyDescent="0.3">
      <c r="A678" s="56"/>
      <c r="B678" s="56"/>
      <c r="C678" s="56"/>
      <c r="D678" s="56"/>
      <c r="E678" s="14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7"/>
      <c r="Q678" s="57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15.75" customHeight="1" x14ac:dyDescent="0.3">
      <c r="A679" s="56"/>
      <c r="B679" s="56"/>
      <c r="C679" s="56"/>
      <c r="D679" s="56"/>
      <c r="E679" s="14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7"/>
      <c r="Q679" s="57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15.75" customHeight="1" x14ac:dyDescent="0.3">
      <c r="A680" s="56"/>
      <c r="B680" s="56"/>
      <c r="C680" s="56"/>
      <c r="D680" s="56"/>
      <c r="E680" s="14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7"/>
      <c r="Q680" s="57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15.75" customHeight="1" x14ac:dyDescent="0.3">
      <c r="A681" s="56"/>
      <c r="B681" s="56"/>
      <c r="C681" s="56"/>
      <c r="D681" s="56"/>
      <c r="E681" s="14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7"/>
      <c r="Q681" s="57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15.75" customHeight="1" x14ac:dyDescent="0.3">
      <c r="A682" s="56"/>
      <c r="B682" s="56"/>
      <c r="C682" s="56"/>
      <c r="D682" s="56"/>
      <c r="E682" s="14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7"/>
      <c r="Q682" s="57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15.75" customHeight="1" x14ac:dyDescent="0.3">
      <c r="A683" s="56"/>
      <c r="B683" s="56"/>
      <c r="C683" s="56"/>
      <c r="D683" s="56"/>
      <c r="E683" s="14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7"/>
      <c r="Q683" s="57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15.75" customHeight="1" x14ac:dyDescent="0.3">
      <c r="A684" s="56"/>
      <c r="B684" s="56"/>
      <c r="C684" s="56"/>
      <c r="D684" s="56"/>
      <c r="E684" s="14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7"/>
      <c r="Q684" s="57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15.75" customHeight="1" x14ac:dyDescent="0.3">
      <c r="A685" s="56"/>
      <c r="B685" s="56"/>
      <c r="C685" s="56"/>
      <c r="D685" s="56"/>
      <c r="E685" s="14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7"/>
      <c r="Q685" s="57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15.75" customHeight="1" x14ac:dyDescent="0.3">
      <c r="A686" s="56"/>
      <c r="B686" s="56"/>
      <c r="C686" s="56"/>
      <c r="D686" s="56"/>
      <c r="E686" s="14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7"/>
      <c r="Q686" s="57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15.75" customHeight="1" x14ac:dyDescent="0.3">
      <c r="A687" s="56"/>
      <c r="B687" s="56"/>
      <c r="C687" s="56"/>
      <c r="D687" s="56"/>
      <c r="E687" s="14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7"/>
      <c r="Q687" s="57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15.75" customHeight="1" x14ac:dyDescent="0.3">
      <c r="A688" s="56"/>
      <c r="B688" s="56"/>
      <c r="C688" s="56"/>
      <c r="D688" s="56"/>
      <c r="E688" s="14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7"/>
      <c r="Q688" s="57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15.75" customHeight="1" x14ac:dyDescent="0.3">
      <c r="A689" s="56"/>
      <c r="B689" s="56"/>
      <c r="C689" s="56"/>
      <c r="D689" s="56"/>
      <c r="E689" s="14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7"/>
      <c r="Q689" s="57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15.75" customHeight="1" x14ac:dyDescent="0.3">
      <c r="A690" s="56"/>
      <c r="B690" s="56"/>
      <c r="C690" s="56"/>
      <c r="D690" s="56"/>
      <c r="E690" s="14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7"/>
      <c r="Q690" s="57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15.75" customHeight="1" x14ac:dyDescent="0.3">
      <c r="A691" s="56"/>
      <c r="B691" s="56"/>
      <c r="C691" s="56"/>
      <c r="D691" s="56"/>
      <c r="E691" s="14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7"/>
      <c r="Q691" s="57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15.75" customHeight="1" x14ac:dyDescent="0.3">
      <c r="A692" s="56"/>
      <c r="B692" s="56"/>
      <c r="C692" s="56"/>
      <c r="D692" s="56"/>
      <c r="E692" s="14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7"/>
      <c r="Q692" s="57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15.75" customHeight="1" x14ac:dyDescent="0.3">
      <c r="A693" s="56"/>
      <c r="B693" s="56"/>
      <c r="C693" s="56"/>
      <c r="D693" s="56"/>
      <c r="E693" s="14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7"/>
      <c r="Q693" s="57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15.75" customHeight="1" x14ac:dyDescent="0.3">
      <c r="A694" s="56"/>
      <c r="B694" s="56"/>
      <c r="C694" s="56"/>
      <c r="D694" s="56"/>
      <c r="E694" s="14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7"/>
      <c r="Q694" s="57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15.75" customHeight="1" x14ac:dyDescent="0.3">
      <c r="A695" s="56"/>
      <c r="B695" s="56"/>
      <c r="C695" s="56"/>
      <c r="D695" s="56"/>
      <c r="E695" s="14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7"/>
      <c r="Q695" s="57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15.75" customHeight="1" x14ac:dyDescent="0.3">
      <c r="A696" s="56"/>
      <c r="B696" s="56"/>
      <c r="C696" s="56"/>
      <c r="D696" s="56"/>
      <c r="E696" s="14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7"/>
      <c r="Q696" s="57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15.75" customHeight="1" x14ac:dyDescent="0.3">
      <c r="A697" s="56"/>
      <c r="B697" s="56"/>
      <c r="C697" s="56"/>
      <c r="D697" s="56"/>
      <c r="E697" s="14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7"/>
      <c r="Q697" s="57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15.75" customHeight="1" x14ac:dyDescent="0.3">
      <c r="A698" s="56"/>
      <c r="B698" s="56"/>
      <c r="C698" s="56"/>
      <c r="D698" s="56"/>
      <c r="E698" s="14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7"/>
      <c r="Q698" s="57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15.75" customHeight="1" x14ac:dyDescent="0.3">
      <c r="A699" s="56"/>
      <c r="B699" s="56"/>
      <c r="C699" s="56"/>
      <c r="D699" s="56"/>
      <c r="E699" s="14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7"/>
      <c r="Q699" s="57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15.75" customHeight="1" x14ac:dyDescent="0.3">
      <c r="A700" s="56"/>
      <c r="B700" s="56"/>
      <c r="C700" s="56"/>
      <c r="D700" s="56"/>
      <c r="E700" s="14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7"/>
      <c r="Q700" s="57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15.75" customHeight="1" x14ac:dyDescent="0.3">
      <c r="A701" s="56"/>
      <c r="B701" s="56"/>
      <c r="C701" s="56"/>
      <c r="D701" s="56"/>
      <c r="E701" s="14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7"/>
      <c r="Q701" s="57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15.75" customHeight="1" x14ac:dyDescent="0.3">
      <c r="A702" s="56"/>
      <c r="B702" s="56"/>
      <c r="C702" s="56"/>
      <c r="D702" s="56"/>
      <c r="E702" s="14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7"/>
      <c r="Q702" s="57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15.75" customHeight="1" x14ac:dyDescent="0.3">
      <c r="A703" s="56"/>
      <c r="B703" s="56"/>
      <c r="C703" s="56"/>
      <c r="D703" s="56"/>
      <c r="E703" s="14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7"/>
      <c r="Q703" s="57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15.75" customHeight="1" x14ac:dyDescent="0.3">
      <c r="A704" s="56"/>
      <c r="B704" s="56"/>
      <c r="C704" s="56"/>
      <c r="D704" s="56"/>
      <c r="E704" s="14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7"/>
      <c r="Q704" s="57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15.75" customHeight="1" x14ac:dyDescent="0.3">
      <c r="A705" s="56"/>
      <c r="B705" s="56"/>
      <c r="C705" s="56"/>
      <c r="D705" s="56"/>
      <c r="E705" s="14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7"/>
      <c r="Q705" s="57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15.75" customHeight="1" x14ac:dyDescent="0.3">
      <c r="A706" s="56"/>
      <c r="B706" s="56"/>
      <c r="C706" s="56"/>
      <c r="D706" s="56"/>
      <c r="E706" s="14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7"/>
      <c r="Q706" s="57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15.75" customHeight="1" x14ac:dyDescent="0.3">
      <c r="A707" s="56"/>
      <c r="B707" s="56"/>
      <c r="C707" s="56"/>
      <c r="D707" s="56"/>
      <c r="E707" s="14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7"/>
      <c r="Q707" s="57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15.75" customHeight="1" x14ac:dyDescent="0.3">
      <c r="A708" s="56"/>
      <c r="B708" s="56"/>
      <c r="C708" s="56"/>
      <c r="D708" s="56"/>
      <c r="E708" s="14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7"/>
      <c r="Q708" s="57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15.75" customHeight="1" x14ac:dyDescent="0.3">
      <c r="A709" s="56"/>
      <c r="B709" s="56"/>
      <c r="C709" s="56"/>
      <c r="D709" s="56"/>
      <c r="E709" s="14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7"/>
      <c r="Q709" s="57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15.75" customHeight="1" x14ac:dyDescent="0.3">
      <c r="A710" s="56"/>
      <c r="B710" s="56"/>
      <c r="C710" s="56"/>
      <c r="D710" s="56"/>
      <c r="E710" s="14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7"/>
      <c r="Q710" s="57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15.75" customHeight="1" x14ac:dyDescent="0.3">
      <c r="A711" s="56"/>
      <c r="B711" s="56"/>
      <c r="C711" s="56"/>
      <c r="D711" s="56"/>
      <c r="E711" s="14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7"/>
      <c r="Q711" s="57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15.75" customHeight="1" x14ac:dyDescent="0.3">
      <c r="A712" s="56"/>
      <c r="B712" s="56"/>
      <c r="C712" s="56"/>
      <c r="D712" s="56"/>
      <c r="E712" s="14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7"/>
      <c r="Q712" s="57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15.75" customHeight="1" x14ac:dyDescent="0.3">
      <c r="A713" s="56"/>
      <c r="B713" s="56"/>
      <c r="C713" s="56"/>
      <c r="D713" s="56"/>
      <c r="E713" s="14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7"/>
      <c r="Q713" s="57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15.75" customHeight="1" x14ac:dyDescent="0.3">
      <c r="A714" s="56"/>
      <c r="B714" s="56"/>
      <c r="C714" s="56"/>
      <c r="D714" s="56"/>
      <c r="E714" s="14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7"/>
      <c r="Q714" s="57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15.75" customHeight="1" x14ac:dyDescent="0.3">
      <c r="A715" s="56"/>
      <c r="B715" s="56"/>
      <c r="C715" s="56"/>
      <c r="D715" s="56"/>
      <c r="E715" s="14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7"/>
      <c r="Q715" s="57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15.75" customHeight="1" x14ac:dyDescent="0.3">
      <c r="A716" s="56"/>
      <c r="B716" s="56"/>
      <c r="C716" s="56"/>
      <c r="D716" s="56"/>
      <c r="E716" s="14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7"/>
      <c r="Q716" s="57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15.75" customHeight="1" x14ac:dyDescent="0.3">
      <c r="A717" s="56"/>
      <c r="B717" s="56"/>
      <c r="C717" s="56"/>
      <c r="D717" s="56"/>
      <c r="E717" s="14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7"/>
      <c r="Q717" s="57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15.75" customHeight="1" x14ac:dyDescent="0.3">
      <c r="A718" s="56"/>
      <c r="B718" s="56"/>
      <c r="C718" s="56"/>
      <c r="D718" s="56"/>
      <c r="E718" s="14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7"/>
      <c r="Q718" s="57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15.75" customHeight="1" x14ac:dyDescent="0.3">
      <c r="A719" s="56"/>
      <c r="B719" s="56"/>
      <c r="C719" s="56"/>
      <c r="D719" s="56"/>
      <c r="E719" s="14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7"/>
      <c r="Q719" s="57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15.75" customHeight="1" x14ac:dyDescent="0.3">
      <c r="A720" s="56"/>
      <c r="B720" s="56"/>
      <c r="C720" s="56"/>
      <c r="D720" s="56"/>
      <c r="E720" s="14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7"/>
      <c r="Q720" s="57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15.75" customHeight="1" x14ac:dyDescent="0.3">
      <c r="A721" s="56"/>
      <c r="B721" s="56"/>
      <c r="C721" s="56"/>
      <c r="D721" s="56"/>
      <c r="E721" s="14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7"/>
      <c r="Q721" s="57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15.75" customHeight="1" x14ac:dyDescent="0.3">
      <c r="A722" s="56"/>
      <c r="B722" s="56"/>
      <c r="C722" s="56"/>
      <c r="D722" s="56"/>
      <c r="E722" s="14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7"/>
      <c r="Q722" s="57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15.75" customHeight="1" x14ac:dyDescent="0.3">
      <c r="A723" s="56"/>
      <c r="B723" s="56"/>
      <c r="C723" s="56"/>
      <c r="D723" s="56"/>
      <c r="E723" s="14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7"/>
      <c r="Q723" s="57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15.75" customHeight="1" x14ac:dyDescent="0.3">
      <c r="A724" s="56"/>
      <c r="B724" s="56"/>
      <c r="C724" s="56"/>
      <c r="D724" s="56"/>
      <c r="E724" s="14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7"/>
      <c r="Q724" s="57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15.75" customHeight="1" x14ac:dyDescent="0.3">
      <c r="A725" s="56"/>
      <c r="B725" s="56"/>
      <c r="C725" s="56"/>
      <c r="D725" s="56"/>
      <c r="E725" s="14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7"/>
      <c r="Q725" s="57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15.75" customHeight="1" x14ac:dyDescent="0.3">
      <c r="A726" s="56"/>
      <c r="B726" s="56"/>
      <c r="C726" s="56"/>
      <c r="D726" s="56"/>
      <c r="E726" s="14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7"/>
      <c r="Q726" s="57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15.75" customHeight="1" x14ac:dyDescent="0.3">
      <c r="A727" s="56"/>
      <c r="B727" s="56"/>
      <c r="C727" s="56"/>
      <c r="D727" s="56"/>
      <c r="E727" s="14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7"/>
      <c r="Q727" s="57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15.75" customHeight="1" x14ac:dyDescent="0.3">
      <c r="A728" s="56"/>
      <c r="B728" s="56"/>
      <c r="C728" s="56"/>
      <c r="D728" s="56"/>
      <c r="E728" s="14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7"/>
      <c r="Q728" s="57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15.75" customHeight="1" x14ac:dyDescent="0.3">
      <c r="A729" s="56"/>
      <c r="B729" s="56"/>
      <c r="C729" s="56"/>
      <c r="D729" s="56"/>
      <c r="E729" s="14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7"/>
      <c r="Q729" s="57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15.75" customHeight="1" x14ac:dyDescent="0.3">
      <c r="A730" s="56"/>
      <c r="B730" s="56"/>
      <c r="C730" s="56"/>
      <c r="D730" s="56"/>
      <c r="E730" s="14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7"/>
      <c r="Q730" s="57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15.75" customHeight="1" x14ac:dyDescent="0.3">
      <c r="A731" s="56"/>
      <c r="B731" s="56"/>
      <c r="C731" s="56"/>
      <c r="D731" s="56"/>
      <c r="E731" s="14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7"/>
      <c r="Q731" s="57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15.75" customHeight="1" x14ac:dyDescent="0.3">
      <c r="A732" s="56"/>
      <c r="B732" s="56"/>
      <c r="C732" s="56"/>
      <c r="D732" s="56"/>
      <c r="E732" s="14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7"/>
      <c r="Q732" s="57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15.75" customHeight="1" x14ac:dyDescent="0.3">
      <c r="A733" s="56"/>
      <c r="B733" s="56"/>
      <c r="C733" s="56"/>
      <c r="D733" s="56"/>
      <c r="E733" s="14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7"/>
      <c r="Q733" s="57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15.75" customHeight="1" x14ac:dyDescent="0.3">
      <c r="A734" s="56"/>
      <c r="B734" s="56"/>
      <c r="C734" s="56"/>
      <c r="D734" s="56"/>
      <c r="E734" s="14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7"/>
      <c r="Q734" s="57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15.75" customHeight="1" x14ac:dyDescent="0.3">
      <c r="A735" s="56"/>
      <c r="B735" s="56"/>
      <c r="C735" s="56"/>
      <c r="D735" s="56"/>
      <c r="E735" s="14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7"/>
      <c r="Q735" s="57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15.75" customHeight="1" x14ac:dyDescent="0.3">
      <c r="A736" s="56"/>
      <c r="B736" s="56"/>
      <c r="C736" s="56"/>
      <c r="D736" s="56"/>
      <c r="E736" s="14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7"/>
      <c r="Q736" s="57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15.75" customHeight="1" x14ac:dyDescent="0.3">
      <c r="A737" s="56"/>
      <c r="B737" s="56"/>
      <c r="C737" s="56"/>
      <c r="D737" s="56"/>
      <c r="E737" s="14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7"/>
      <c r="Q737" s="57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15.75" customHeight="1" x14ac:dyDescent="0.3">
      <c r="A738" s="56"/>
      <c r="B738" s="56"/>
      <c r="C738" s="56"/>
      <c r="D738" s="56"/>
      <c r="E738" s="14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7"/>
      <c r="Q738" s="57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15.75" customHeight="1" x14ac:dyDescent="0.3">
      <c r="A739" s="56"/>
      <c r="B739" s="56"/>
      <c r="C739" s="56"/>
      <c r="D739" s="56"/>
      <c r="E739" s="14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7"/>
      <c r="Q739" s="57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15.75" customHeight="1" x14ac:dyDescent="0.3">
      <c r="A740" s="56"/>
      <c r="B740" s="56"/>
      <c r="C740" s="56"/>
      <c r="D740" s="56"/>
      <c r="E740" s="14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7"/>
      <c r="Q740" s="57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15.75" customHeight="1" x14ac:dyDescent="0.3">
      <c r="A741" s="56"/>
      <c r="B741" s="56"/>
      <c r="C741" s="56"/>
      <c r="D741" s="56"/>
      <c r="E741" s="14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7"/>
      <c r="Q741" s="57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15.75" customHeight="1" x14ac:dyDescent="0.3">
      <c r="A742" s="56"/>
      <c r="B742" s="56"/>
      <c r="C742" s="56"/>
      <c r="D742" s="56"/>
      <c r="E742" s="14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7"/>
      <c r="Q742" s="57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15.75" customHeight="1" x14ac:dyDescent="0.3">
      <c r="A743" s="56"/>
      <c r="B743" s="56"/>
      <c r="C743" s="56"/>
      <c r="D743" s="56"/>
      <c r="E743" s="14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7"/>
      <c r="Q743" s="57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15.75" customHeight="1" x14ac:dyDescent="0.3">
      <c r="A744" s="56"/>
      <c r="B744" s="56"/>
      <c r="C744" s="56"/>
      <c r="D744" s="56"/>
      <c r="E744" s="14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7"/>
      <c r="Q744" s="57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15.75" customHeight="1" x14ac:dyDescent="0.3">
      <c r="A745" s="56"/>
      <c r="B745" s="56"/>
      <c r="C745" s="56"/>
      <c r="D745" s="56"/>
      <c r="E745" s="14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7"/>
      <c r="Q745" s="57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15.75" customHeight="1" x14ac:dyDescent="0.3">
      <c r="A746" s="56"/>
      <c r="B746" s="56"/>
      <c r="C746" s="56"/>
      <c r="D746" s="56"/>
      <c r="E746" s="14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7"/>
      <c r="Q746" s="57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15.75" customHeight="1" x14ac:dyDescent="0.3">
      <c r="A747" s="56"/>
      <c r="B747" s="56"/>
      <c r="C747" s="56"/>
      <c r="D747" s="56"/>
      <c r="E747" s="14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7"/>
      <c r="Q747" s="57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15.75" customHeight="1" x14ac:dyDescent="0.3">
      <c r="A748" s="56"/>
      <c r="B748" s="56"/>
      <c r="C748" s="56"/>
      <c r="D748" s="56"/>
      <c r="E748" s="14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7"/>
      <c r="Q748" s="57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15.75" customHeight="1" x14ac:dyDescent="0.3">
      <c r="A749" s="56"/>
      <c r="B749" s="56"/>
      <c r="C749" s="56"/>
      <c r="D749" s="56"/>
      <c r="E749" s="14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7"/>
      <c r="Q749" s="57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15.75" customHeight="1" x14ac:dyDescent="0.3">
      <c r="A750" s="56"/>
      <c r="B750" s="56"/>
      <c r="C750" s="56"/>
      <c r="D750" s="56"/>
      <c r="E750" s="14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7"/>
      <c r="Q750" s="57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15.75" customHeight="1" x14ac:dyDescent="0.3">
      <c r="A751" s="56"/>
      <c r="B751" s="56"/>
      <c r="C751" s="56"/>
      <c r="D751" s="56"/>
      <c r="E751" s="14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7"/>
      <c r="Q751" s="57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15.75" customHeight="1" x14ac:dyDescent="0.3">
      <c r="A752" s="56"/>
      <c r="B752" s="56"/>
      <c r="C752" s="56"/>
      <c r="D752" s="56"/>
      <c r="E752" s="14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7"/>
      <c r="Q752" s="57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15.75" customHeight="1" x14ac:dyDescent="0.3">
      <c r="A753" s="56"/>
      <c r="B753" s="56"/>
      <c r="C753" s="56"/>
      <c r="D753" s="56"/>
      <c r="E753" s="14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7"/>
      <c r="Q753" s="57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15.75" customHeight="1" x14ac:dyDescent="0.3">
      <c r="A754" s="56"/>
      <c r="B754" s="56"/>
      <c r="C754" s="56"/>
      <c r="D754" s="56"/>
      <c r="E754" s="14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7"/>
      <c r="Q754" s="57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15.75" customHeight="1" x14ac:dyDescent="0.3">
      <c r="A755" s="56"/>
      <c r="B755" s="56"/>
      <c r="C755" s="56"/>
      <c r="D755" s="56"/>
      <c r="E755" s="14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7"/>
      <c r="Q755" s="57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15.75" customHeight="1" x14ac:dyDescent="0.3">
      <c r="A756" s="56"/>
      <c r="B756" s="56"/>
      <c r="C756" s="56"/>
      <c r="D756" s="56"/>
      <c r="E756" s="14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7"/>
      <c r="Q756" s="57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15.75" customHeight="1" x14ac:dyDescent="0.3">
      <c r="A757" s="56"/>
      <c r="B757" s="56"/>
      <c r="C757" s="56"/>
      <c r="D757" s="56"/>
      <c r="E757" s="14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7"/>
      <c r="Q757" s="57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15.75" customHeight="1" x14ac:dyDescent="0.3">
      <c r="A758" s="56"/>
      <c r="B758" s="56"/>
      <c r="C758" s="56"/>
      <c r="D758" s="56"/>
      <c r="E758" s="14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7"/>
      <c r="Q758" s="57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15.75" customHeight="1" x14ac:dyDescent="0.3">
      <c r="A759" s="56"/>
      <c r="B759" s="56"/>
      <c r="C759" s="56"/>
      <c r="D759" s="56"/>
      <c r="E759" s="14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7"/>
      <c r="Q759" s="57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15.75" customHeight="1" x14ac:dyDescent="0.3">
      <c r="A760" s="56"/>
      <c r="B760" s="56"/>
      <c r="C760" s="56"/>
      <c r="D760" s="56"/>
      <c r="E760" s="14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7"/>
      <c r="Q760" s="57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15.75" customHeight="1" x14ac:dyDescent="0.3">
      <c r="A761" s="56"/>
      <c r="B761" s="56"/>
      <c r="C761" s="56"/>
      <c r="D761" s="56"/>
      <c r="E761" s="14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7"/>
      <c r="Q761" s="57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15.75" customHeight="1" x14ac:dyDescent="0.3">
      <c r="A762" s="56"/>
      <c r="B762" s="56"/>
      <c r="C762" s="56"/>
      <c r="D762" s="56"/>
      <c r="E762" s="14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7"/>
      <c r="Q762" s="57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15.75" customHeight="1" x14ac:dyDescent="0.3">
      <c r="A763" s="56"/>
      <c r="B763" s="56"/>
      <c r="C763" s="56"/>
      <c r="D763" s="56"/>
      <c r="E763" s="14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7"/>
      <c r="Q763" s="57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15.75" customHeight="1" x14ac:dyDescent="0.3">
      <c r="A764" s="56"/>
      <c r="B764" s="56"/>
      <c r="C764" s="56"/>
      <c r="D764" s="56"/>
      <c r="E764" s="14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7"/>
      <c r="Q764" s="57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15.75" customHeight="1" x14ac:dyDescent="0.3">
      <c r="A765" s="56"/>
      <c r="B765" s="56"/>
      <c r="C765" s="56"/>
      <c r="D765" s="56"/>
      <c r="E765" s="14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7"/>
      <c r="Q765" s="57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15.75" customHeight="1" x14ac:dyDescent="0.3">
      <c r="A766" s="56"/>
      <c r="B766" s="56"/>
      <c r="C766" s="56"/>
      <c r="D766" s="56"/>
      <c r="E766" s="14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7"/>
      <c r="Q766" s="57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15.75" customHeight="1" x14ac:dyDescent="0.3">
      <c r="A767" s="56"/>
      <c r="B767" s="56"/>
      <c r="C767" s="56"/>
      <c r="D767" s="56"/>
      <c r="E767" s="14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7"/>
      <c r="Q767" s="57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15.75" customHeight="1" x14ac:dyDescent="0.3">
      <c r="A768" s="56"/>
      <c r="B768" s="56"/>
      <c r="C768" s="56"/>
      <c r="D768" s="56"/>
      <c r="E768" s="14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7"/>
      <c r="Q768" s="57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15.75" customHeight="1" x14ac:dyDescent="0.3">
      <c r="A769" s="56"/>
      <c r="B769" s="56"/>
      <c r="C769" s="56"/>
      <c r="D769" s="56"/>
      <c r="E769" s="14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7"/>
      <c r="Q769" s="57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15.75" customHeight="1" x14ac:dyDescent="0.3">
      <c r="A770" s="56"/>
      <c r="B770" s="56"/>
      <c r="C770" s="56"/>
      <c r="D770" s="56"/>
      <c r="E770" s="14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7"/>
      <c r="Q770" s="57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15.75" customHeight="1" x14ac:dyDescent="0.3">
      <c r="A771" s="56"/>
      <c r="B771" s="56"/>
      <c r="C771" s="56"/>
      <c r="D771" s="56"/>
      <c r="E771" s="14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7"/>
      <c r="Q771" s="57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15.75" customHeight="1" x14ac:dyDescent="0.3">
      <c r="A772" s="56"/>
      <c r="B772" s="56"/>
      <c r="C772" s="56"/>
      <c r="D772" s="56"/>
      <c r="E772" s="14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7"/>
      <c r="Q772" s="57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15.75" customHeight="1" x14ac:dyDescent="0.3">
      <c r="A773" s="56"/>
      <c r="B773" s="56"/>
      <c r="C773" s="56"/>
      <c r="D773" s="56"/>
      <c r="E773" s="14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7"/>
      <c r="Q773" s="57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15.75" customHeight="1" x14ac:dyDescent="0.3">
      <c r="A774" s="56"/>
      <c r="B774" s="56"/>
      <c r="C774" s="56"/>
      <c r="D774" s="56"/>
      <c r="E774" s="14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7"/>
      <c r="Q774" s="57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15.75" customHeight="1" x14ac:dyDescent="0.3">
      <c r="A775" s="56"/>
      <c r="B775" s="56"/>
      <c r="C775" s="56"/>
      <c r="D775" s="56"/>
      <c r="E775" s="14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7"/>
      <c r="Q775" s="57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15.75" customHeight="1" x14ac:dyDescent="0.3">
      <c r="A776" s="56"/>
      <c r="B776" s="56"/>
      <c r="C776" s="56"/>
      <c r="D776" s="56"/>
      <c r="E776" s="14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7"/>
      <c r="Q776" s="57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15.75" customHeight="1" x14ac:dyDescent="0.3">
      <c r="A777" s="56"/>
      <c r="B777" s="56"/>
      <c r="C777" s="56"/>
      <c r="D777" s="56"/>
      <c r="E777" s="14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7"/>
      <c r="Q777" s="57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15.75" customHeight="1" x14ac:dyDescent="0.3">
      <c r="A778" s="56"/>
      <c r="B778" s="56"/>
      <c r="C778" s="56"/>
      <c r="D778" s="56"/>
      <c r="E778" s="14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7"/>
      <c r="Q778" s="57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15.75" customHeight="1" x14ac:dyDescent="0.3">
      <c r="A779" s="56"/>
      <c r="B779" s="56"/>
      <c r="C779" s="56"/>
      <c r="D779" s="56"/>
      <c r="E779" s="14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7"/>
      <c r="Q779" s="57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15.75" customHeight="1" x14ac:dyDescent="0.3">
      <c r="A780" s="56"/>
      <c r="B780" s="56"/>
      <c r="C780" s="56"/>
      <c r="D780" s="56"/>
      <c r="E780" s="14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7"/>
      <c r="Q780" s="57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15.75" customHeight="1" x14ac:dyDescent="0.3">
      <c r="A781" s="56"/>
      <c r="B781" s="56"/>
      <c r="C781" s="56"/>
      <c r="D781" s="56"/>
      <c r="E781" s="14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7"/>
      <c r="Q781" s="57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15.75" customHeight="1" x14ac:dyDescent="0.3">
      <c r="A782" s="56"/>
      <c r="B782" s="56"/>
      <c r="C782" s="56"/>
      <c r="D782" s="56"/>
      <c r="E782" s="14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7"/>
      <c r="Q782" s="57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15.75" customHeight="1" x14ac:dyDescent="0.3">
      <c r="A783" s="56"/>
      <c r="B783" s="56"/>
      <c r="C783" s="56"/>
      <c r="D783" s="56"/>
      <c r="E783" s="14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7"/>
      <c r="Q783" s="57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15.75" customHeight="1" x14ac:dyDescent="0.3">
      <c r="A784" s="56"/>
      <c r="B784" s="56"/>
      <c r="C784" s="56"/>
      <c r="D784" s="56"/>
      <c r="E784" s="14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7"/>
      <c r="Q784" s="57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15.75" customHeight="1" x14ac:dyDescent="0.3">
      <c r="A785" s="56"/>
      <c r="B785" s="56"/>
      <c r="C785" s="56"/>
      <c r="D785" s="56"/>
      <c r="E785" s="14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7"/>
      <c r="Q785" s="57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15.75" customHeight="1" x14ac:dyDescent="0.3">
      <c r="A786" s="56"/>
      <c r="B786" s="56"/>
      <c r="C786" s="56"/>
      <c r="D786" s="56"/>
      <c r="E786" s="14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7"/>
      <c r="Q786" s="57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15.75" customHeight="1" x14ac:dyDescent="0.3">
      <c r="A787" s="56"/>
      <c r="B787" s="56"/>
      <c r="C787" s="56"/>
      <c r="D787" s="56"/>
      <c r="E787" s="14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7"/>
      <c r="Q787" s="57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15.75" customHeight="1" x14ac:dyDescent="0.3">
      <c r="A788" s="56"/>
      <c r="B788" s="56"/>
      <c r="C788" s="56"/>
      <c r="D788" s="56"/>
      <c r="E788" s="14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7"/>
      <c r="Q788" s="57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15.75" customHeight="1" x14ac:dyDescent="0.3">
      <c r="A789" s="56"/>
      <c r="B789" s="56"/>
      <c r="C789" s="56"/>
      <c r="D789" s="56"/>
      <c r="E789" s="14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7"/>
      <c r="Q789" s="57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15.75" customHeight="1" x14ac:dyDescent="0.3">
      <c r="A790" s="56"/>
      <c r="B790" s="56"/>
      <c r="C790" s="56"/>
      <c r="D790" s="56"/>
      <c r="E790" s="14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7"/>
      <c r="Q790" s="57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15.75" customHeight="1" x14ac:dyDescent="0.3">
      <c r="A791" s="56"/>
      <c r="B791" s="56"/>
      <c r="C791" s="56"/>
      <c r="D791" s="56"/>
      <c r="E791" s="14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7"/>
      <c r="Q791" s="57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15.75" customHeight="1" x14ac:dyDescent="0.3">
      <c r="A792" s="56"/>
      <c r="B792" s="56"/>
      <c r="C792" s="56"/>
      <c r="D792" s="56"/>
      <c r="E792" s="14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7"/>
      <c r="Q792" s="57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15.75" customHeight="1" x14ac:dyDescent="0.3">
      <c r="A793" s="56"/>
      <c r="B793" s="56"/>
      <c r="C793" s="56"/>
      <c r="D793" s="56"/>
      <c r="E793" s="14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7"/>
      <c r="Q793" s="57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15.75" customHeight="1" x14ac:dyDescent="0.3">
      <c r="A794" s="56"/>
      <c r="B794" s="56"/>
      <c r="C794" s="56"/>
      <c r="D794" s="56"/>
      <c r="E794" s="14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7"/>
      <c r="Q794" s="57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15.75" customHeight="1" x14ac:dyDescent="0.3">
      <c r="A795" s="56"/>
      <c r="B795" s="56"/>
      <c r="C795" s="56"/>
      <c r="D795" s="56"/>
      <c r="E795" s="14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7"/>
      <c r="Q795" s="57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15.75" customHeight="1" x14ac:dyDescent="0.3">
      <c r="A796" s="56"/>
      <c r="B796" s="56"/>
      <c r="C796" s="56"/>
      <c r="D796" s="56"/>
      <c r="E796" s="14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7"/>
      <c r="Q796" s="57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15.75" customHeight="1" x14ac:dyDescent="0.3">
      <c r="A797" s="56"/>
      <c r="B797" s="56"/>
      <c r="C797" s="56"/>
      <c r="D797" s="56"/>
      <c r="E797" s="14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7"/>
      <c r="Q797" s="57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15.75" customHeight="1" x14ac:dyDescent="0.3">
      <c r="A798" s="56"/>
      <c r="B798" s="56"/>
      <c r="C798" s="56"/>
      <c r="D798" s="56"/>
      <c r="E798" s="14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7"/>
      <c r="Q798" s="57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15.75" customHeight="1" x14ac:dyDescent="0.3">
      <c r="A799" s="56"/>
      <c r="B799" s="56"/>
      <c r="C799" s="56"/>
      <c r="D799" s="56"/>
      <c r="E799" s="14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7"/>
      <c r="Q799" s="57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15.75" customHeight="1" x14ac:dyDescent="0.3">
      <c r="A800" s="56"/>
      <c r="B800" s="56"/>
      <c r="C800" s="56"/>
      <c r="D800" s="56"/>
      <c r="E800" s="14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7"/>
      <c r="Q800" s="57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15.75" customHeight="1" x14ac:dyDescent="0.3">
      <c r="A801" s="56"/>
      <c r="B801" s="56"/>
      <c r="C801" s="56"/>
      <c r="D801" s="56"/>
      <c r="E801" s="14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7"/>
      <c r="Q801" s="57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15.75" customHeight="1" x14ac:dyDescent="0.3">
      <c r="A802" s="56"/>
      <c r="B802" s="56"/>
      <c r="C802" s="56"/>
      <c r="D802" s="56"/>
      <c r="E802" s="14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7"/>
      <c r="Q802" s="57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15.75" customHeight="1" x14ac:dyDescent="0.3">
      <c r="A803" s="56"/>
      <c r="B803" s="56"/>
      <c r="C803" s="56"/>
      <c r="D803" s="56"/>
      <c r="E803" s="14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7"/>
      <c r="Q803" s="57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15.75" customHeight="1" x14ac:dyDescent="0.3">
      <c r="A804" s="56"/>
      <c r="B804" s="56"/>
      <c r="C804" s="56"/>
      <c r="D804" s="56"/>
      <c r="E804" s="14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7"/>
      <c r="Q804" s="57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15.75" customHeight="1" x14ac:dyDescent="0.3">
      <c r="A805" s="56"/>
      <c r="B805" s="56"/>
      <c r="C805" s="56"/>
      <c r="D805" s="56"/>
      <c r="E805" s="14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7"/>
      <c r="Q805" s="57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15.75" customHeight="1" x14ac:dyDescent="0.3">
      <c r="A806" s="56"/>
      <c r="B806" s="56"/>
      <c r="C806" s="56"/>
      <c r="D806" s="56"/>
      <c r="E806" s="14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7"/>
      <c r="Q806" s="57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15.75" customHeight="1" x14ac:dyDescent="0.3">
      <c r="A807" s="56"/>
      <c r="B807" s="56"/>
      <c r="C807" s="56"/>
      <c r="D807" s="56"/>
      <c r="E807" s="14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7"/>
      <c r="Q807" s="57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15.75" customHeight="1" x14ac:dyDescent="0.3">
      <c r="A808" s="56"/>
      <c r="B808" s="56"/>
      <c r="C808" s="56"/>
      <c r="D808" s="56"/>
      <c r="E808" s="14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7"/>
      <c r="Q808" s="57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15.75" customHeight="1" x14ac:dyDescent="0.3">
      <c r="A809" s="56"/>
      <c r="B809" s="56"/>
      <c r="C809" s="56"/>
      <c r="D809" s="56"/>
      <c r="E809" s="14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7"/>
      <c r="Q809" s="57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15.75" customHeight="1" x14ac:dyDescent="0.3">
      <c r="A810" s="56"/>
      <c r="B810" s="56"/>
      <c r="C810" s="56"/>
      <c r="D810" s="56"/>
      <c r="E810" s="14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7"/>
      <c r="Q810" s="57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15.75" customHeight="1" x14ac:dyDescent="0.3">
      <c r="A811" s="56"/>
      <c r="B811" s="56"/>
      <c r="C811" s="56"/>
      <c r="D811" s="56"/>
      <c r="E811" s="14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7"/>
      <c r="Q811" s="57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15.75" customHeight="1" x14ac:dyDescent="0.3">
      <c r="A812" s="56"/>
      <c r="B812" s="56"/>
      <c r="C812" s="56"/>
      <c r="D812" s="56"/>
      <c r="E812" s="14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7"/>
      <c r="Q812" s="57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15.75" customHeight="1" x14ac:dyDescent="0.3">
      <c r="A813" s="56"/>
      <c r="B813" s="56"/>
      <c r="C813" s="56"/>
      <c r="D813" s="56"/>
      <c r="E813" s="14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7"/>
      <c r="Q813" s="57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15.75" customHeight="1" x14ac:dyDescent="0.3">
      <c r="A814" s="56"/>
      <c r="B814" s="56"/>
      <c r="C814" s="56"/>
      <c r="D814" s="56"/>
      <c r="E814" s="14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7"/>
      <c r="Q814" s="57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15.75" customHeight="1" x14ac:dyDescent="0.3">
      <c r="A815" s="56"/>
      <c r="B815" s="56"/>
      <c r="C815" s="56"/>
      <c r="D815" s="56"/>
      <c r="E815" s="14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7"/>
      <c r="Q815" s="57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15.75" customHeight="1" x14ac:dyDescent="0.3">
      <c r="A816" s="56"/>
      <c r="B816" s="56"/>
      <c r="C816" s="56"/>
      <c r="D816" s="56"/>
      <c r="E816" s="14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7"/>
      <c r="Q816" s="57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15.75" customHeight="1" x14ac:dyDescent="0.3">
      <c r="A817" s="56"/>
      <c r="B817" s="56"/>
      <c r="C817" s="56"/>
      <c r="D817" s="56"/>
      <c r="E817" s="14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7"/>
      <c r="Q817" s="57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15.75" customHeight="1" x14ac:dyDescent="0.3">
      <c r="A818" s="56"/>
      <c r="B818" s="56"/>
      <c r="C818" s="56"/>
      <c r="D818" s="56"/>
      <c r="E818" s="14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7"/>
      <c r="Q818" s="57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15.75" customHeight="1" x14ac:dyDescent="0.3">
      <c r="A819" s="56"/>
      <c r="B819" s="56"/>
      <c r="C819" s="56"/>
      <c r="D819" s="56"/>
      <c r="E819" s="14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7"/>
      <c r="Q819" s="57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15.75" customHeight="1" x14ac:dyDescent="0.3">
      <c r="A820" s="56"/>
      <c r="B820" s="56"/>
      <c r="C820" s="56"/>
      <c r="D820" s="56"/>
      <c r="E820" s="14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7"/>
      <c r="Q820" s="57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15.75" customHeight="1" x14ac:dyDescent="0.3">
      <c r="A821" s="56"/>
      <c r="B821" s="56"/>
      <c r="C821" s="56"/>
      <c r="D821" s="56"/>
      <c r="E821" s="14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7"/>
      <c r="Q821" s="57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15.75" customHeight="1" x14ac:dyDescent="0.3">
      <c r="A822" s="56"/>
      <c r="B822" s="56"/>
      <c r="C822" s="56"/>
      <c r="D822" s="56"/>
      <c r="E822" s="14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7"/>
      <c r="Q822" s="57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15.75" customHeight="1" x14ac:dyDescent="0.3">
      <c r="A823" s="56"/>
      <c r="B823" s="56"/>
      <c r="C823" s="56"/>
      <c r="D823" s="56"/>
      <c r="E823" s="14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7"/>
      <c r="Q823" s="57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15.75" customHeight="1" x14ac:dyDescent="0.3">
      <c r="A824" s="56"/>
      <c r="B824" s="56"/>
      <c r="C824" s="56"/>
      <c r="D824" s="56"/>
      <c r="E824" s="14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7"/>
      <c r="Q824" s="57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15.75" customHeight="1" x14ac:dyDescent="0.3">
      <c r="A825" s="56"/>
      <c r="B825" s="56"/>
      <c r="C825" s="56"/>
      <c r="D825" s="56"/>
      <c r="E825" s="14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7"/>
      <c r="Q825" s="57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15.75" customHeight="1" x14ac:dyDescent="0.3">
      <c r="A826" s="56"/>
      <c r="B826" s="56"/>
      <c r="C826" s="56"/>
      <c r="D826" s="56"/>
      <c r="E826" s="14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7"/>
      <c r="Q826" s="57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15.75" customHeight="1" x14ac:dyDescent="0.3">
      <c r="A827" s="56"/>
      <c r="B827" s="56"/>
      <c r="C827" s="56"/>
      <c r="D827" s="56"/>
      <c r="E827" s="14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7"/>
      <c r="Q827" s="57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15.75" customHeight="1" x14ac:dyDescent="0.3">
      <c r="A828" s="56"/>
      <c r="B828" s="56"/>
      <c r="C828" s="56"/>
      <c r="D828" s="56"/>
      <c r="E828" s="14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7"/>
      <c r="Q828" s="57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15.75" customHeight="1" x14ac:dyDescent="0.3">
      <c r="A829" s="56"/>
      <c r="B829" s="56"/>
      <c r="C829" s="56"/>
      <c r="D829" s="56"/>
      <c r="E829" s="14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7"/>
      <c r="Q829" s="57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15.75" customHeight="1" x14ac:dyDescent="0.3">
      <c r="A830" s="56"/>
      <c r="B830" s="56"/>
      <c r="C830" s="56"/>
      <c r="D830" s="56"/>
      <c r="E830" s="14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7"/>
      <c r="Q830" s="57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15.75" customHeight="1" x14ac:dyDescent="0.3">
      <c r="A831" s="56"/>
      <c r="B831" s="56"/>
      <c r="C831" s="56"/>
      <c r="D831" s="56"/>
      <c r="E831" s="14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7"/>
      <c r="Q831" s="57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15.75" customHeight="1" x14ac:dyDescent="0.3">
      <c r="A832" s="56"/>
      <c r="B832" s="56"/>
      <c r="C832" s="56"/>
      <c r="D832" s="56"/>
      <c r="E832" s="14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7"/>
      <c r="Q832" s="57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15.75" customHeight="1" x14ac:dyDescent="0.3">
      <c r="A833" s="56"/>
      <c r="B833" s="56"/>
      <c r="C833" s="56"/>
      <c r="D833" s="56"/>
      <c r="E833" s="14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7"/>
      <c r="Q833" s="57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15.75" customHeight="1" x14ac:dyDescent="0.3">
      <c r="A834" s="56"/>
      <c r="B834" s="56"/>
      <c r="C834" s="56"/>
      <c r="D834" s="56"/>
      <c r="E834" s="14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7"/>
      <c r="Q834" s="57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15.75" customHeight="1" x14ac:dyDescent="0.3">
      <c r="A835" s="56"/>
      <c r="B835" s="56"/>
      <c r="C835" s="56"/>
      <c r="D835" s="56"/>
      <c r="E835" s="14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7"/>
      <c r="Q835" s="57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15.75" customHeight="1" x14ac:dyDescent="0.3">
      <c r="A836" s="56"/>
      <c r="B836" s="56"/>
      <c r="C836" s="56"/>
      <c r="D836" s="56"/>
      <c r="E836" s="14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7"/>
      <c r="Q836" s="57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15.75" customHeight="1" x14ac:dyDescent="0.3">
      <c r="A837" s="56"/>
      <c r="B837" s="56"/>
      <c r="C837" s="56"/>
      <c r="D837" s="56"/>
      <c r="E837" s="14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7"/>
      <c r="Q837" s="57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15.75" customHeight="1" x14ac:dyDescent="0.3">
      <c r="A838" s="56"/>
      <c r="B838" s="56"/>
      <c r="C838" s="56"/>
      <c r="D838" s="56"/>
      <c r="E838" s="14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7"/>
      <c r="Q838" s="57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15.75" customHeight="1" x14ac:dyDescent="0.3">
      <c r="A839" s="56"/>
      <c r="B839" s="56"/>
      <c r="C839" s="56"/>
      <c r="D839" s="56"/>
      <c r="E839" s="14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7"/>
      <c r="Q839" s="57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15.75" customHeight="1" x14ac:dyDescent="0.3">
      <c r="A840" s="56"/>
      <c r="B840" s="56"/>
      <c r="C840" s="56"/>
      <c r="D840" s="56"/>
      <c r="E840" s="14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7"/>
      <c r="Q840" s="57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15.75" customHeight="1" x14ac:dyDescent="0.3">
      <c r="A841" s="56"/>
      <c r="B841" s="56"/>
      <c r="C841" s="56"/>
      <c r="D841" s="56"/>
      <c r="E841" s="14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7"/>
      <c r="Q841" s="57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15.75" customHeight="1" x14ac:dyDescent="0.3">
      <c r="A842" s="56"/>
      <c r="B842" s="56"/>
      <c r="C842" s="56"/>
      <c r="D842" s="56"/>
      <c r="E842" s="14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7"/>
      <c r="Q842" s="57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15.75" customHeight="1" x14ac:dyDescent="0.3">
      <c r="A843" s="56"/>
      <c r="B843" s="56"/>
      <c r="C843" s="56"/>
      <c r="D843" s="56"/>
      <c r="E843" s="14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7"/>
      <c r="Q843" s="57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15.75" customHeight="1" x14ac:dyDescent="0.3">
      <c r="A844" s="56"/>
      <c r="B844" s="56"/>
      <c r="C844" s="56"/>
      <c r="D844" s="56"/>
      <c r="E844" s="14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7"/>
      <c r="Q844" s="57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15.75" customHeight="1" x14ac:dyDescent="0.3">
      <c r="A845" s="56"/>
      <c r="B845" s="56"/>
      <c r="C845" s="56"/>
      <c r="D845" s="56"/>
      <c r="E845" s="14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7"/>
      <c r="Q845" s="57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15.75" customHeight="1" x14ac:dyDescent="0.3">
      <c r="A846" s="56"/>
      <c r="B846" s="56"/>
      <c r="C846" s="56"/>
      <c r="D846" s="56"/>
      <c r="E846" s="14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7"/>
      <c r="Q846" s="57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15.75" customHeight="1" x14ac:dyDescent="0.3">
      <c r="A847" s="56"/>
      <c r="B847" s="56"/>
      <c r="C847" s="56"/>
      <c r="D847" s="56"/>
      <c r="E847" s="14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7"/>
      <c r="Q847" s="57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15.75" customHeight="1" x14ac:dyDescent="0.3">
      <c r="A848" s="56"/>
      <c r="B848" s="56"/>
      <c r="C848" s="56"/>
      <c r="D848" s="56"/>
      <c r="E848" s="14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7"/>
      <c r="Q848" s="57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15.75" customHeight="1" x14ac:dyDescent="0.3">
      <c r="A849" s="56"/>
      <c r="B849" s="56"/>
      <c r="C849" s="56"/>
      <c r="D849" s="56"/>
      <c r="E849" s="14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7"/>
      <c r="Q849" s="57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15.75" customHeight="1" x14ac:dyDescent="0.3">
      <c r="A850" s="56"/>
      <c r="B850" s="56"/>
      <c r="C850" s="56"/>
      <c r="D850" s="56"/>
      <c r="E850" s="14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7"/>
      <c r="Q850" s="57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15.75" customHeight="1" x14ac:dyDescent="0.3">
      <c r="A851" s="56"/>
      <c r="B851" s="56"/>
      <c r="C851" s="56"/>
      <c r="D851" s="56"/>
      <c r="E851" s="14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7"/>
      <c r="Q851" s="57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15.75" customHeight="1" x14ac:dyDescent="0.3">
      <c r="A852" s="56"/>
      <c r="B852" s="56"/>
      <c r="C852" s="56"/>
      <c r="D852" s="56"/>
      <c r="E852" s="14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7"/>
      <c r="Q852" s="57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15.75" customHeight="1" x14ac:dyDescent="0.3">
      <c r="A853" s="56"/>
      <c r="B853" s="56"/>
      <c r="C853" s="56"/>
      <c r="D853" s="56"/>
      <c r="E853" s="14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7"/>
      <c r="Q853" s="57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15.75" customHeight="1" x14ac:dyDescent="0.3">
      <c r="A854" s="56"/>
      <c r="B854" s="56"/>
      <c r="C854" s="56"/>
      <c r="D854" s="56"/>
      <c r="E854" s="14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7"/>
      <c r="Q854" s="57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15.75" customHeight="1" x14ac:dyDescent="0.3">
      <c r="A855" s="56"/>
      <c r="B855" s="56"/>
      <c r="C855" s="56"/>
      <c r="D855" s="56"/>
      <c r="E855" s="14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7"/>
      <c r="Q855" s="57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15.75" customHeight="1" x14ac:dyDescent="0.3">
      <c r="A856" s="56"/>
      <c r="B856" s="56"/>
      <c r="C856" s="56"/>
      <c r="D856" s="56"/>
      <c r="E856" s="14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7"/>
      <c r="Q856" s="57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15.75" customHeight="1" x14ac:dyDescent="0.3">
      <c r="A857" s="56"/>
      <c r="B857" s="56"/>
      <c r="C857" s="56"/>
      <c r="D857" s="56"/>
      <c r="E857" s="14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7"/>
      <c r="Q857" s="57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15.75" customHeight="1" x14ac:dyDescent="0.3">
      <c r="A858" s="56"/>
      <c r="B858" s="56"/>
      <c r="C858" s="56"/>
      <c r="D858" s="56"/>
      <c r="E858" s="14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7"/>
      <c r="Q858" s="57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15.75" customHeight="1" x14ac:dyDescent="0.3">
      <c r="A859" s="56"/>
      <c r="B859" s="56"/>
      <c r="C859" s="56"/>
      <c r="D859" s="56"/>
      <c r="E859" s="14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7"/>
      <c r="Q859" s="57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15.75" customHeight="1" x14ac:dyDescent="0.3">
      <c r="A860" s="56"/>
      <c r="B860" s="56"/>
      <c r="C860" s="56"/>
      <c r="D860" s="56"/>
      <c r="E860" s="14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7"/>
      <c r="Q860" s="57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15.75" customHeight="1" x14ac:dyDescent="0.3">
      <c r="A861" s="56"/>
      <c r="B861" s="56"/>
      <c r="C861" s="56"/>
      <c r="D861" s="56"/>
      <c r="E861" s="14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7"/>
      <c r="Q861" s="57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15.75" customHeight="1" x14ac:dyDescent="0.3">
      <c r="A862" s="56"/>
      <c r="B862" s="56"/>
      <c r="C862" s="56"/>
      <c r="D862" s="56"/>
      <c r="E862" s="14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7"/>
      <c r="Q862" s="57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15.75" customHeight="1" x14ac:dyDescent="0.3">
      <c r="A863" s="56"/>
      <c r="B863" s="56"/>
      <c r="C863" s="56"/>
      <c r="D863" s="56"/>
      <c r="E863" s="14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7"/>
      <c r="Q863" s="57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15.75" customHeight="1" x14ac:dyDescent="0.3">
      <c r="A864" s="56"/>
      <c r="B864" s="56"/>
      <c r="C864" s="56"/>
      <c r="D864" s="56"/>
      <c r="E864" s="14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7"/>
      <c r="Q864" s="57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15.75" customHeight="1" x14ac:dyDescent="0.3">
      <c r="A865" s="56"/>
      <c r="B865" s="56"/>
      <c r="C865" s="56"/>
      <c r="D865" s="56"/>
      <c r="E865" s="14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7"/>
      <c r="Q865" s="57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15.75" customHeight="1" x14ac:dyDescent="0.3">
      <c r="A866" s="56"/>
      <c r="B866" s="56"/>
      <c r="C866" s="56"/>
      <c r="D866" s="56"/>
      <c r="E866" s="14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7"/>
      <c r="Q866" s="57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15.75" customHeight="1" x14ac:dyDescent="0.3">
      <c r="A867" s="56"/>
      <c r="B867" s="56"/>
      <c r="C867" s="56"/>
      <c r="D867" s="56"/>
      <c r="E867" s="14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7"/>
      <c r="Q867" s="57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15.75" customHeight="1" x14ac:dyDescent="0.3">
      <c r="A868" s="56"/>
      <c r="B868" s="56"/>
      <c r="C868" s="56"/>
      <c r="D868" s="56"/>
      <c r="E868" s="14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7"/>
      <c r="Q868" s="57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15.75" customHeight="1" x14ac:dyDescent="0.3">
      <c r="A869" s="56"/>
      <c r="B869" s="56"/>
      <c r="C869" s="56"/>
      <c r="D869" s="56"/>
      <c r="E869" s="14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7"/>
      <c r="Q869" s="57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15.75" customHeight="1" x14ac:dyDescent="0.3">
      <c r="A870" s="56"/>
      <c r="B870" s="56"/>
      <c r="C870" s="56"/>
      <c r="D870" s="56"/>
      <c r="E870" s="14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7"/>
      <c r="Q870" s="57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15.75" customHeight="1" x14ac:dyDescent="0.3">
      <c r="A871" s="56"/>
      <c r="B871" s="56"/>
      <c r="C871" s="56"/>
      <c r="D871" s="56"/>
      <c r="E871" s="14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7"/>
      <c r="Q871" s="57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15.75" customHeight="1" x14ac:dyDescent="0.3">
      <c r="A872" s="56"/>
      <c r="B872" s="56"/>
      <c r="C872" s="56"/>
      <c r="D872" s="56"/>
      <c r="E872" s="14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7"/>
      <c r="Q872" s="57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15.75" customHeight="1" x14ac:dyDescent="0.3">
      <c r="A873" s="56"/>
      <c r="B873" s="56"/>
      <c r="C873" s="56"/>
      <c r="D873" s="56"/>
      <c r="E873" s="14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7"/>
      <c r="Q873" s="57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15.75" customHeight="1" x14ac:dyDescent="0.3">
      <c r="A874" s="56"/>
      <c r="B874" s="56"/>
      <c r="C874" s="56"/>
      <c r="D874" s="56"/>
      <c r="E874" s="14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7"/>
      <c r="Q874" s="57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15.75" customHeight="1" x14ac:dyDescent="0.3">
      <c r="A875" s="56"/>
      <c r="B875" s="56"/>
      <c r="C875" s="56"/>
      <c r="D875" s="56"/>
      <c r="E875" s="14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7"/>
      <c r="Q875" s="57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15.75" customHeight="1" x14ac:dyDescent="0.3">
      <c r="A876" s="56"/>
      <c r="B876" s="56"/>
      <c r="C876" s="56"/>
      <c r="D876" s="56"/>
      <c r="E876" s="14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7"/>
      <c r="Q876" s="57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15.75" customHeight="1" x14ac:dyDescent="0.3">
      <c r="A877" s="56"/>
      <c r="B877" s="56"/>
      <c r="C877" s="56"/>
      <c r="D877" s="56"/>
      <c r="E877" s="14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7"/>
      <c r="Q877" s="57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15.75" customHeight="1" x14ac:dyDescent="0.3">
      <c r="A878" s="56"/>
      <c r="B878" s="56"/>
      <c r="C878" s="56"/>
      <c r="D878" s="56"/>
      <c r="E878" s="14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7"/>
      <c r="Q878" s="57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15.75" customHeight="1" x14ac:dyDescent="0.3">
      <c r="A879" s="56"/>
      <c r="B879" s="56"/>
      <c r="C879" s="56"/>
      <c r="D879" s="56"/>
      <c r="E879" s="14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7"/>
      <c r="Q879" s="57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15.75" customHeight="1" x14ac:dyDescent="0.3">
      <c r="A880" s="56"/>
      <c r="B880" s="56"/>
      <c r="C880" s="56"/>
      <c r="D880" s="56"/>
      <c r="E880" s="14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7"/>
      <c r="Q880" s="57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15.75" customHeight="1" x14ac:dyDescent="0.3">
      <c r="A881" s="56"/>
      <c r="B881" s="56"/>
      <c r="C881" s="56"/>
      <c r="D881" s="56"/>
      <c r="E881" s="14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7"/>
      <c r="Q881" s="57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15.75" customHeight="1" x14ac:dyDescent="0.3">
      <c r="A882" s="56"/>
      <c r="B882" s="56"/>
      <c r="C882" s="56"/>
      <c r="D882" s="56"/>
      <c r="E882" s="14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7"/>
      <c r="Q882" s="57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15.75" customHeight="1" x14ac:dyDescent="0.3">
      <c r="A883" s="56"/>
      <c r="B883" s="56"/>
      <c r="C883" s="56"/>
      <c r="D883" s="56"/>
      <c r="E883" s="14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7"/>
      <c r="Q883" s="57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15.75" customHeight="1" x14ac:dyDescent="0.3">
      <c r="A884" s="56"/>
      <c r="B884" s="56"/>
      <c r="C884" s="56"/>
      <c r="D884" s="56"/>
      <c r="E884" s="14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7"/>
      <c r="Q884" s="57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15.75" customHeight="1" x14ac:dyDescent="0.3">
      <c r="A885" s="56"/>
      <c r="B885" s="56"/>
      <c r="C885" s="56"/>
      <c r="D885" s="56"/>
      <c r="E885" s="14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7"/>
      <c r="Q885" s="57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15.75" customHeight="1" x14ac:dyDescent="0.3">
      <c r="A886" s="56"/>
      <c r="B886" s="56"/>
      <c r="C886" s="56"/>
      <c r="D886" s="56"/>
      <c r="E886" s="14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7"/>
      <c r="Q886" s="57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15.75" customHeight="1" x14ac:dyDescent="0.3">
      <c r="A887" s="56"/>
      <c r="B887" s="56"/>
      <c r="C887" s="56"/>
      <c r="D887" s="56"/>
      <c r="E887" s="14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7"/>
      <c r="Q887" s="57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15.75" customHeight="1" x14ac:dyDescent="0.3">
      <c r="A888" s="56"/>
      <c r="B888" s="56"/>
      <c r="C888" s="56"/>
      <c r="D888" s="56"/>
      <c r="E888" s="14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7"/>
      <c r="Q888" s="57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15.75" customHeight="1" x14ac:dyDescent="0.3">
      <c r="A889" s="56"/>
      <c r="B889" s="56"/>
      <c r="C889" s="56"/>
      <c r="D889" s="56"/>
      <c r="E889" s="14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7"/>
      <c r="Q889" s="57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15.75" customHeight="1" x14ac:dyDescent="0.3">
      <c r="A890" s="56"/>
      <c r="B890" s="56"/>
      <c r="C890" s="56"/>
      <c r="D890" s="56"/>
      <c r="E890" s="14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7"/>
      <c r="Q890" s="57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15.75" customHeight="1" x14ac:dyDescent="0.3">
      <c r="A891" s="56"/>
      <c r="B891" s="56"/>
      <c r="C891" s="56"/>
      <c r="D891" s="56"/>
      <c r="E891" s="14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7"/>
      <c r="Q891" s="57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15.75" customHeight="1" x14ac:dyDescent="0.3">
      <c r="A892" s="56"/>
      <c r="B892" s="56"/>
      <c r="C892" s="56"/>
      <c r="D892" s="56"/>
      <c r="E892" s="14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7"/>
      <c r="Q892" s="57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15.75" customHeight="1" x14ac:dyDescent="0.3">
      <c r="A893" s="56"/>
      <c r="B893" s="56"/>
      <c r="C893" s="56"/>
      <c r="D893" s="56"/>
      <c r="E893" s="14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7"/>
      <c r="Q893" s="57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15.75" customHeight="1" x14ac:dyDescent="0.3">
      <c r="A894" s="56"/>
      <c r="B894" s="56"/>
      <c r="C894" s="56"/>
      <c r="D894" s="56"/>
      <c r="E894" s="14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7"/>
      <c r="Q894" s="57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15.75" customHeight="1" x14ac:dyDescent="0.3">
      <c r="A895" s="56"/>
      <c r="B895" s="56"/>
      <c r="C895" s="56"/>
      <c r="D895" s="56"/>
      <c r="E895" s="14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7"/>
      <c r="Q895" s="57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15.75" customHeight="1" x14ac:dyDescent="0.3">
      <c r="A896" s="56"/>
      <c r="B896" s="56"/>
      <c r="C896" s="56"/>
      <c r="D896" s="56"/>
      <c r="E896" s="14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7"/>
      <c r="Q896" s="57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15.75" customHeight="1" x14ac:dyDescent="0.3">
      <c r="A897" s="56"/>
      <c r="B897" s="56"/>
      <c r="C897" s="56"/>
      <c r="D897" s="56"/>
      <c r="E897" s="14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7"/>
      <c r="Q897" s="57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15.75" customHeight="1" x14ac:dyDescent="0.3">
      <c r="A898" s="56"/>
      <c r="B898" s="56"/>
      <c r="C898" s="56"/>
      <c r="D898" s="56"/>
      <c r="E898" s="14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7"/>
      <c r="Q898" s="57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15.75" customHeight="1" x14ac:dyDescent="0.3">
      <c r="A899" s="56"/>
      <c r="B899" s="56"/>
      <c r="C899" s="56"/>
      <c r="D899" s="56"/>
      <c r="E899" s="14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7"/>
      <c r="Q899" s="57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15.75" customHeight="1" x14ac:dyDescent="0.3">
      <c r="A900" s="56"/>
      <c r="B900" s="56"/>
      <c r="C900" s="56"/>
      <c r="D900" s="56"/>
      <c r="E900" s="14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7"/>
      <c r="Q900" s="57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15.75" customHeight="1" x14ac:dyDescent="0.3">
      <c r="A901" s="56"/>
      <c r="B901" s="56"/>
      <c r="C901" s="56"/>
      <c r="D901" s="56"/>
      <c r="E901" s="14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7"/>
      <c r="Q901" s="57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15.75" customHeight="1" x14ac:dyDescent="0.3">
      <c r="A902" s="56"/>
      <c r="B902" s="56"/>
      <c r="C902" s="56"/>
      <c r="D902" s="56"/>
      <c r="E902" s="14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7"/>
      <c r="Q902" s="57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15.75" customHeight="1" x14ac:dyDescent="0.3">
      <c r="A903" s="56"/>
      <c r="B903" s="56"/>
      <c r="C903" s="56"/>
      <c r="D903" s="56"/>
      <c r="E903" s="14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7"/>
      <c r="Q903" s="57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15.75" customHeight="1" x14ac:dyDescent="0.3">
      <c r="A904" s="56"/>
      <c r="B904" s="56"/>
      <c r="C904" s="56"/>
      <c r="D904" s="56"/>
      <c r="E904" s="14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7"/>
      <c r="Q904" s="57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15.75" customHeight="1" x14ac:dyDescent="0.3">
      <c r="A905" s="56"/>
      <c r="B905" s="56"/>
      <c r="C905" s="56"/>
      <c r="D905" s="56"/>
      <c r="E905" s="14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7"/>
      <c r="Q905" s="57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15.75" customHeight="1" x14ac:dyDescent="0.3">
      <c r="A906" s="56"/>
      <c r="B906" s="56"/>
      <c r="C906" s="56"/>
      <c r="D906" s="56"/>
      <c r="E906" s="14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7"/>
      <c r="Q906" s="57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15.75" customHeight="1" x14ac:dyDescent="0.3">
      <c r="A907" s="56"/>
      <c r="B907" s="56"/>
      <c r="C907" s="56"/>
      <c r="D907" s="56"/>
      <c r="E907" s="14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7"/>
      <c r="Q907" s="57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15.75" customHeight="1" x14ac:dyDescent="0.3">
      <c r="A908" s="56"/>
      <c r="B908" s="56"/>
      <c r="C908" s="56"/>
      <c r="D908" s="56"/>
      <c r="E908" s="14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7"/>
      <c r="Q908" s="57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15.75" customHeight="1" x14ac:dyDescent="0.3">
      <c r="A909" s="56"/>
      <c r="B909" s="56"/>
      <c r="C909" s="56"/>
      <c r="D909" s="56"/>
      <c r="E909" s="14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7"/>
      <c r="Q909" s="57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15.75" customHeight="1" x14ac:dyDescent="0.3">
      <c r="A910" s="56"/>
      <c r="B910" s="56"/>
      <c r="C910" s="56"/>
      <c r="D910" s="56"/>
      <c r="E910" s="14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7"/>
      <c r="Q910" s="57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15.75" customHeight="1" x14ac:dyDescent="0.3">
      <c r="A911" s="56"/>
      <c r="B911" s="56"/>
      <c r="C911" s="56"/>
      <c r="D911" s="56"/>
      <c r="E911" s="14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7"/>
      <c r="Q911" s="57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15.75" customHeight="1" x14ac:dyDescent="0.3">
      <c r="A912" s="56"/>
      <c r="B912" s="56"/>
      <c r="C912" s="56"/>
      <c r="D912" s="56"/>
      <c r="E912" s="14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7"/>
      <c r="Q912" s="57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15.75" customHeight="1" x14ac:dyDescent="0.3">
      <c r="A913" s="56"/>
      <c r="B913" s="56"/>
      <c r="C913" s="56"/>
      <c r="D913" s="56"/>
      <c r="E913" s="14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7"/>
      <c r="Q913" s="57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15.75" customHeight="1" x14ac:dyDescent="0.3">
      <c r="A914" s="56"/>
      <c r="B914" s="56"/>
      <c r="C914" s="56"/>
      <c r="D914" s="56"/>
      <c r="E914" s="14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7"/>
      <c r="Q914" s="57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15.75" customHeight="1" x14ac:dyDescent="0.3">
      <c r="A915" s="56"/>
      <c r="B915" s="56"/>
      <c r="C915" s="56"/>
      <c r="D915" s="56"/>
      <c r="E915" s="14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7"/>
      <c r="Q915" s="57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15.75" customHeight="1" x14ac:dyDescent="0.3">
      <c r="A916" s="56"/>
      <c r="B916" s="56"/>
      <c r="C916" s="56"/>
      <c r="D916" s="56"/>
      <c r="E916" s="14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7"/>
      <c r="Q916" s="57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15.75" customHeight="1" x14ac:dyDescent="0.3">
      <c r="A917" s="56"/>
      <c r="B917" s="56"/>
      <c r="C917" s="56"/>
      <c r="D917" s="56"/>
      <c r="E917" s="14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7"/>
      <c r="Q917" s="57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15.75" customHeight="1" x14ac:dyDescent="0.3">
      <c r="A918" s="56"/>
      <c r="B918" s="56"/>
      <c r="C918" s="56"/>
      <c r="D918" s="56"/>
      <c r="E918" s="14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7"/>
      <c r="Q918" s="57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15.75" customHeight="1" x14ac:dyDescent="0.3">
      <c r="A919" s="56"/>
      <c r="B919" s="56"/>
      <c r="C919" s="56"/>
      <c r="D919" s="56"/>
      <c r="E919" s="14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7"/>
      <c r="Q919" s="57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15.75" customHeight="1" x14ac:dyDescent="0.3">
      <c r="A920" s="56"/>
      <c r="B920" s="56"/>
      <c r="C920" s="56"/>
      <c r="D920" s="56"/>
      <c r="E920" s="14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7"/>
      <c r="Q920" s="57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15.75" customHeight="1" x14ac:dyDescent="0.3">
      <c r="A921" s="56"/>
      <c r="B921" s="56"/>
      <c r="C921" s="56"/>
      <c r="D921" s="56"/>
      <c r="E921" s="14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7"/>
      <c r="Q921" s="57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15.75" customHeight="1" x14ac:dyDescent="0.3">
      <c r="A922" s="56"/>
      <c r="B922" s="56"/>
      <c r="C922" s="56"/>
      <c r="D922" s="56"/>
      <c r="E922" s="14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7"/>
      <c r="Q922" s="57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15.75" customHeight="1" x14ac:dyDescent="0.3">
      <c r="A923" s="56"/>
      <c r="B923" s="56"/>
      <c r="C923" s="56"/>
      <c r="D923" s="56"/>
      <c r="E923" s="14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7"/>
      <c r="Q923" s="57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15.75" customHeight="1" x14ac:dyDescent="0.3">
      <c r="A924" s="56"/>
      <c r="B924" s="56"/>
      <c r="C924" s="56"/>
      <c r="D924" s="56"/>
      <c r="E924" s="14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7"/>
      <c r="Q924" s="57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15.75" customHeight="1" x14ac:dyDescent="0.3">
      <c r="A925" s="56"/>
      <c r="B925" s="56"/>
      <c r="C925" s="56"/>
      <c r="D925" s="56"/>
      <c r="E925" s="14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7"/>
      <c r="Q925" s="57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15.75" customHeight="1" x14ac:dyDescent="0.3">
      <c r="A926" s="56"/>
      <c r="B926" s="56"/>
      <c r="C926" s="56"/>
      <c r="D926" s="56"/>
      <c r="E926" s="14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7"/>
      <c r="Q926" s="57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15.75" customHeight="1" x14ac:dyDescent="0.3">
      <c r="A927" s="56"/>
      <c r="B927" s="56"/>
      <c r="C927" s="56"/>
      <c r="D927" s="56"/>
      <c r="E927" s="14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7"/>
      <c r="Q927" s="57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15.75" customHeight="1" x14ac:dyDescent="0.3">
      <c r="A928" s="56"/>
      <c r="B928" s="56"/>
      <c r="C928" s="56"/>
      <c r="D928" s="56"/>
      <c r="E928" s="14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7"/>
      <c r="Q928" s="57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15.75" customHeight="1" x14ac:dyDescent="0.3">
      <c r="A929" s="56"/>
      <c r="B929" s="56"/>
      <c r="C929" s="56"/>
      <c r="D929" s="56"/>
      <c r="E929" s="14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7"/>
      <c r="Q929" s="57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15.75" customHeight="1" x14ac:dyDescent="0.3">
      <c r="A930" s="56"/>
      <c r="B930" s="56"/>
      <c r="C930" s="56"/>
      <c r="D930" s="56"/>
      <c r="E930" s="14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7"/>
      <c r="Q930" s="57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15.75" customHeight="1" x14ac:dyDescent="0.3">
      <c r="A931" s="56"/>
      <c r="B931" s="56"/>
      <c r="C931" s="56"/>
      <c r="D931" s="56"/>
      <c r="E931" s="14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7"/>
      <c r="Q931" s="57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15.75" customHeight="1" x14ac:dyDescent="0.3">
      <c r="A932" s="56"/>
      <c r="B932" s="56"/>
      <c r="C932" s="56"/>
      <c r="D932" s="56"/>
      <c r="E932" s="14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7"/>
      <c r="Q932" s="57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15.75" customHeight="1" x14ac:dyDescent="0.3">
      <c r="A933" s="56"/>
      <c r="B933" s="56"/>
      <c r="C933" s="56"/>
      <c r="D933" s="56"/>
      <c r="E933" s="14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7"/>
      <c r="Q933" s="57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15.75" customHeight="1" x14ac:dyDescent="0.3">
      <c r="A934" s="56"/>
      <c r="B934" s="56"/>
      <c r="C934" s="56"/>
      <c r="D934" s="56"/>
      <c r="E934" s="14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7"/>
      <c r="Q934" s="57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15.75" customHeight="1" x14ac:dyDescent="0.3">
      <c r="A935" s="56"/>
      <c r="B935" s="56"/>
      <c r="C935" s="56"/>
      <c r="D935" s="56"/>
      <c r="E935" s="14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7"/>
      <c r="Q935" s="57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15.75" customHeight="1" x14ac:dyDescent="0.3">
      <c r="A936" s="56"/>
      <c r="B936" s="56"/>
      <c r="C936" s="56"/>
      <c r="D936" s="56"/>
      <c r="E936" s="14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7"/>
      <c r="Q936" s="57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15.75" customHeight="1" x14ac:dyDescent="0.3">
      <c r="A937" s="56"/>
      <c r="B937" s="56"/>
      <c r="C937" s="56"/>
      <c r="D937" s="56"/>
      <c r="E937" s="14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7"/>
      <c r="Q937" s="57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15.75" customHeight="1" x14ac:dyDescent="0.3">
      <c r="A938" s="56"/>
      <c r="B938" s="56"/>
      <c r="C938" s="56"/>
      <c r="D938" s="56"/>
      <c r="E938" s="14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7"/>
      <c r="Q938" s="57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15.75" customHeight="1" x14ac:dyDescent="0.3">
      <c r="A939" s="56"/>
      <c r="B939" s="56"/>
      <c r="C939" s="56"/>
      <c r="D939" s="56"/>
      <c r="E939" s="14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7"/>
      <c r="Q939" s="57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15.75" customHeight="1" x14ac:dyDescent="0.3">
      <c r="A940" s="56"/>
      <c r="B940" s="56"/>
      <c r="C940" s="56"/>
      <c r="D940" s="56"/>
      <c r="E940" s="14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7"/>
      <c r="Q940" s="57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15.75" customHeight="1" x14ac:dyDescent="0.3">
      <c r="A941" s="56"/>
      <c r="B941" s="56"/>
      <c r="C941" s="56"/>
      <c r="D941" s="56"/>
      <c r="E941" s="14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7"/>
      <c r="Q941" s="57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15.75" customHeight="1" x14ac:dyDescent="0.3">
      <c r="A942" s="56"/>
      <c r="B942" s="56"/>
      <c r="C942" s="56"/>
      <c r="D942" s="56"/>
      <c r="E942" s="14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7"/>
      <c r="Q942" s="57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15.75" customHeight="1" x14ac:dyDescent="0.3">
      <c r="A943" s="56"/>
      <c r="B943" s="56"/>
      <c r="C943" s="56"/>
      <c r="D943" s="56"/>
      <c r="E943" s="14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7"/>
      <c r="Q943" s="57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15.75" customHeight="1" x14ac:dyDescent="0.3">
      <c r="A944" s="56"/>
      <c r="B944" s="56"/>
      <c r="C944" s="56"/>
      <c r="D944" s="56"/>
      <c r="E944" s="14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7"/>
      <c r="Q944" s="57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15.75" customHeight="1" x14ac:dyDescent="0.3">
      <c r="A945" s="56"/>
      <c r="B945" s="56"/>
      <c r="C945" s="56"/>
      <c r="D945" s="56"/>
      <c r="E945" s="14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7"/>
      <c r="Q945" s="57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15.75" customHeight="1" x14ac:dyDescent="0.3">
      <c r="A946" s="56"/>
      <c r="B946" s="56"/>
      <c r="C946" s="56"/>
      <c r="D946" s="56"/>
      <c r="E946" s="14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7"/>
      <c r="Q946" s="57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15.75" customHeight="1" x14ac:dyDescent="0.3">
      <c r="A947" s="56"/>
      <c r="B947" s="56"/>
      <c r="C947" s="56"/>
      <c r="D947" s="56"/>
      <c r="E947" s="14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7"/>
      <c r="Q947" s="57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15.75" customHeight="1" x14ac:dyDescent="0.3">
      <c r="A948" s="56"/>
      <c r="B948" s="56"/>
      <c r="C948" s="56"/>
      <c r="D948" s="56"/>
      <c r="E948" s="14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7"/>
      <c r="Q948" s="57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15.75" customHeight="1" x14ac:dyDescent="0.3">
      <c r="A949" s="56"/>
      <c r="B949" s="56"/>
      <c r="C949" s="56"/>
      <c r="D949" s="56"/>
      <c r="E949" s="14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7"/>
      <c r="Q949" s="57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15.75" customHeight="1" x14ac:dyDescent="0.3">
      <c r="A950" s="56"/>
      <c r="B950" s="56"/>
      <c r="C950" s="56"/>
      <c r="D950" s="56"/>
      <c r="E950" s="14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7"/>
      <c r="Q950" s="57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15.75" customHeight="1" x14ac:dyDescent="0.3">
      <c r="A951" s="56"/>
      <c r="B951" s="56"/>
      <c r="C951" s="56"/>
      <c r="D951" s="56"/>
      <c r="E951" s="14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7"/>
      <c r="Q951" s="57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15.75" customHeight="1" x14ac:dyDescent="0.3">
      <c r="A952" s="56"/>
      <c r="B952" s="56"/>
      <c r="C952" s="56"/>
      <c r="D952" s="56"/>
      <c r="E952" s="14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7"/>
      <c r="Q952" s="57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15.75" customHeight="1" x14ac:dyDescent="0.3">
      <c r="A953" s="56"/>
      <c r="B953" s="56"/>
      <c r="C953" s="56"/>
      <c r="D953" s="56"/>
      <c r="E953" s="14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7"/>
      <c r="Q953" s="57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15.75" customHeight="1" x14ac:dyDescent="0.3">
      <c r="A954" s="56"/>
      <c r="B954" s="56"/>
      <c r="C954" s="56"/>
      <c r="D954" s="56"/>
      <c r="E954" s="14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7"/>
      <c r="Q954" s="57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15.75" customHeight="1" x14ac:dyDescent="0.3">
      <c r="A955" s="56"/>
      <c r="B955" s="56"/>
      <c r="C955" s="56"/>
      <c r="D955" s="56"/>
      <c r="E955" s="14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7"/>
      <c r="Q955" s="57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15.75" customHeight="1" x14ac:dyDescent="0.3">
      <c r="A956" s="56"/>
      <c r="B956" s="56"/>
      <c r="C956" s="56"/>
      <c r="D956" s="56"/>
      <c r="E956" s="14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7"/>
      <c r="Q956" s="57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15.75" customHeight="1" x14ac:dyDescent="0.3">
      <c r="A957" s="56"/>
      <c r="B957" s="56"/>
      <c r="C957" s="56"/>
      <c r="D957" s="56"/>
      <c r="E957" s="14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7"/>
      <c r="Q957" s="57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15.75" customHeight="1" x14ac:dyDescent="0.3">
      <c r="A958" s="56"/>
      <c r="B958" s="56"/>
      <c r="C958" s="56"/>
      <c r="D958" s="56"/>
      <c r="E958" s="14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7"/>
      <c r="Q958" s="57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15.75" customHeight="1" x14ac:dyDescent="0.3">
      <c r="A959" s="56"/>
      <c r="B959" s="56"/>
      <c r="C959" s="56"/>
      <c r="D959" s="56"/>
      <c r="E959" s="14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7"/>
      <c r="Q959" s="57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15.75" customHeight="1" x14ac:dyDescent="0.3">
      <c r="A960" s="56"/>
      <c r="B960" s="56"/>
      <c r="C960" s="56"/>
      <c r="D960" s="56"/>
      <c r="E960" s="14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7"/>
      <c r="Q960" s="57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15.75" customHeight="1" x14ac:dyDescent="0.3">
      <c r="A961" s="56"/>
      <c r="B961" s="56"/>
      <c r="C961" s="56"/>
      <c r="D961" s="56"/>
      <c r="E961" s="14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7"/>
      <c r="Q961" s="57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15.75" customHeight="1" x14ac:dyDescent="0.3">
      <c r="A962" s="56"/>
      <c r="B962" s="56"/>
      <c r="C962" s="56"/>
      <c r="D962" s="56"/>
      <c r="E962" s="14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7"/>
      <c r="Q962" s="57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15.75" customHeight="1" x14ac:dyDescent="0.3">
      <c r="A963" s="56"/>
      <c r="B963" s="56"/>
      <c r="C963" s="56"/>
      <c r="D963" s="56"/>
      <c r="E963" s="14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7"/>
      <c r="Q963" s="57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15.75" customHeight="1" x14ac:dyDescent="0.3">
      <c r="A964" s="56"/>
      <c r="B964" s="56"/>
      <c r="C964" s="56"/>
      <c r="D964" s="56"/>
      <c r="E964" s="14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7"/>
      <c r="Q964" s="57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15.75" customHeight="1" x14ac:dyDescent="0.3">
      <c r="A965" s="56"/>
      <c r="B965" s="56"/>
      <c r="C965" s="56"/>
      <c r="D965" s="56"/>
      <c r="E965" s="14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7"/>
      <c r="Q965" s="57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15.75" customHeight="1" x14ac:dyDescent="0.3">
      <c r="A966" s="56"/>
      <c r="B966" s="56"/>
      <c r="C966" s="56"/>
      <c r="D966" s="56"/>
      <c r="E966" s="14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7"/>
      <c r="Q966" s="57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15.75" customHeight="1" x14ac:dyDescent="0.3">
      <c r="A967" s="56"/>
      <c r="B967" s="56"/>
      <c r="C967" s="56"/>
      <c r="D967" s="56"/>
      <c r="E967" s="14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7"/>
      <c r="Q967" s="57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15.75" customHeight="1" x14ac:dyDescent="0.3">
      <c r="A968" s="56"/>
      <c r="B968" s="56"/>
      <c r="C968" s="56"/>
      <c r="D968" s="56"/>
      <c r="E968" s="14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7"/>
      <c r="Q968" s="57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15.75" customHeight="1" x14ac:dyDescent="0.3">
      <c r="A969" s="56"/>
      <c r="B969" s="56"/>
      <c r="C969" s="56"/>
      <c r="D969" s="56"/>
      <c r="E969" s="14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7"/>
      <c r="Q969" s="57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15.75" customHeight="1" x14ac:dyDescent="0.3">
      <c r="A970" s="56"/>
      <c r="B970" s="56"/>
      <c r="C970" s="56"/>
      <c r="D970" s="56"/>
      <c r="E970" s="14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7"/>
      <c r="Q970" s="57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15.75" customHeight="1" x14ac:dyDescent="0.3">
      <c r="A971" s="56"/>
      <c r="B971" s="56"/>
      <c r="C971" s="56"/>
      <c r="D971" s="56"/>
      <c r="E971" s="14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7"/>
      <c r="Q971" s="57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15.75" customHeight="1" x14ac:dyDescent="0.3">
      <c r="A972" s="56"/>
      <c r="B972" s="56"/>
      <c r="C972" s="56"/>
      <c r="D972" s="56"/>
      <c r="E972" s="14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7"/>
      <c r="Q972" s="57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15.75" customHeight="1" x14ac:dyDescent="0.3">
      <c r="A973" s="56"/>
      <c r="B973" s="56"/>
      <c r="C973" s="56"/>
      <c r="D973" s="56"/>
      <c r="E973" s="14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7"/>
      <c r="Q973" s="57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15.75" customHeight="1" x14ac:dyDescent="0.3">
      <c r="A974" s="56"/>
      <c r="B974" s="56"/>
      <c r="C974" s="56"/>
      <c r="D974" s="56"/>
      <c r="E974" s="14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7"/>
      <c r="Q974" s="57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15.75" customHeight="1" x14ac:dyDescent="0.3">
      <c r="A975" s="56"/>
      <c r="B975" s="56"/>
      <c r="C975" s="56"/>
      <c r="D975" s="56"/>
      <c r="E975" s="14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7"/>
      <c r="Q975" s="57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15.75" customHeight="1" x14ac:dyDescent="0.3">
      <c r="A976" s="56"/>
      <c r="B976" s="56"/>
      <c r="C976" s="56"/>
      <c r="D976" s="56"/>
      <c r="E976" s="14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7"/>
      <c r="Q976" s="57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15.75" customHeight="1" x14ac:dyDescent="0.3">
      <c r="A977" s="56"/>
      <c r="B977" s="56"/>
      <c r="C977" s="56"/>
      <c r="D977" s="56"/>
      <c r="E977" s="14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7"/>
      <c r="Q977" s="57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15.75" customHeight="1" x14ac:dyDescent="0.3">
      <c r="A978" s="56"/>
      <c r="B978" s="56"/>
      <c r="C978" s="56"/>
      <c r="D978" s="56"/>
      <c r="E978" s="14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7"/>
      <c r="Q978" s="57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15.75" customHeight="1" x14ac:dyDescent="0.3">
      <c r="A979" s="56"/>
      <c r="B979" s="56"/>
      <c r="C979" s="56"/>
      <c r="D979" s="56"/>
      <c r="E979" s="14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7"/>
      <c r="Q979" s="57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15.75" customHeight="1" x14ac:dyDescent="0.3">
      <c r="A980" s="56"/>
      <c r="B980" s="56"/>
      <c r="C980" s="56"/>
      <c r="D980" s="56"/>
      <c r="E980" s="14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7"/>
      <c r="Q980" s="57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15.75" customHeight="1" x14ac:dyDescent="0.3">
      <c r="A981" s="56"/>
      <c r="B981" s="56"/>
      <c r="C981" s="56"/>
      <c r="D981" s="56"/>
      <c r="E981" s="14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7"/>
      <c r="Q981" s="57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15.75" customHeight="1" x14ac:dyDescent="0.3">
      <c r="A982" s="56"/>
      <c r="B982" s="56"/>
      <c r="C982" s="56"/>
      <c r="D982" s="56"/>
      <c r="E982" s="14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7"/>
      <c r="Q982" s="57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15.75" customHeight="1" x14ac:dyDescent="0.3">
      <c r="A983" s="56"/>
      <c r="B983" s="56"/>
      <c r="C983" s="56"/>
      <c r="D983" s="56"/>
      <c r="E983" s="14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7"/>
      <c r="Q983" s="57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15.75" customHeight="1" x14ac:dyDescent="0.3">
      <c r="A984" s="56"/>
      <c r="B984" s="56"/>
      <c r="C984" s="56"/>
      <c r="D984" s="56"/>
      <c r="E984" s="14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7"/>
      <c r="Q984" s="57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15.75" customHeight="1" x14ac:dyDescent="0.3">
      <c r="A985" s="56"/>
      <c r="B985" s="56"/>
      <c r="C985" s="56"/>
      <c r="D985" s="56"/>
      <c r="E985" s="14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7"/>
      <c r="Q985" s="57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15.75" customHeight="1" x14ac:dyDescent="0.3">
      <c r="A986" s="56"/>
      <c r="B986" s="56"/>
      <c r="C986" s="56"/>
      <c r="D986" s="56"/>
      <c r="E986" s="14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7"/>
      <c r="Q986" s="57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15.75" customHeight="1" x14ac:dyDescent="0.3">
      <c r="A987" s="56"/>
      <c r="B987" s="56"/>
      <c r="C987" s="56"/>
      <c r="D987" s="56"/>
      <c r="E987" s="14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7"/>
      <c r="Q987" s="57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15.75" customHeight="1" x14ac:dyDescent="0.3">
      <c r="A988" s="56"/>
      <c r="B988" s="56"/>
      <c r="C988" s="56"/>
      <c r="D988" s="56"/>
      <c r="E988" s="14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7"/>
      <c r="Q988" s="57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15.75" customHeight="1" x14ac:dyDescent="0.3">
      <c r="A989" s="56"/>
      <c r="B989" s="56"/>
      <c r="C989" s="56"/>
      <c r="D989" s="56"/>
      <c r="E989" s="14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7"/>
      <c r="Q989" s="57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15.75" customHeight="1" x14ac:dyDescent="0.3">
      <c r="A990" s="56"/>
      <c r="B990" s="56"/>
      <c r="C990" s="56"/>
      <c r="D990" s="56"/>
      <c r="E990" s="14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7"/>
      <c r="Q990" s="57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15.75" customHeight="1" x14ac:dyDescent="0.3">
      <c r="A991" s="56"/>
      <c r="B991" s="56"/>
      <c r="C991" s="56"/>
      <c r="D991" s="56"/>
      <c r="E991" s="14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7"/>
      <c r="Q991" s="57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15.75" customHeight="1" x14ac:dyDescent="0.3">
      <c r="A992" s="56"/>
      <c r="B992" s="56"/>
      <c r="C992" s="56"/>
      <c r="D992" s="56"/>
      <c r="E992" s="14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7"/>
      <c r="Q992" s="57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15.75" customHeight="1" x14ac:dyDescent="0.3">
      <c r="A993" s="56"/>
      <c r="B993" s="56"/>
      <c r="C993" s="56"/>
      <c r="D993" s="56"/>
      <c r="E993" s="14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7"/>
      <c r="Q993" s="57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15.75" customHeight="1" x14ac:dyDescent="0.3">
      <c r="A994" s="56"/>
      <c r="B994" s="56"/>
      <c r="C994" s="56"/>
      <c r="D994" s="56"/>
      <c r="E994" s="14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7"/>
      <c r="Q994" s="57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15.75" customHeight="1" x14ac:dyDescent="0.3">
      <c r="A995" s="56"/>
      <c r="B995" s="56"/>
      <c r="C995" s="56"/>
      <c r="D995" s="56"/>
      <c r="E995" s="14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7"/>
      <c r="Q995" s="57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15.75" customHeight="1" x14ac:dyDescent="0.3">
      <c r="A996" s="56"/>
      <c r="B996" s="56"/>
      <c r="C996" s="56"/>
      <c r="D996" s="56"/>
      <c r="E996" s="14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7"/>
      <c r="Q996" s="57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15.75" customHeight="1" x14ac:dyDescent="0.3">
      <c r="A997" s="56"/>
      <c r="B997" s="56"/>
      <c r="C997" s="56"/>
      <c r="D997" s="56"/>
      <c r="E997" s="14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7"/>
      <c r="Q997" s="57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15.75" customHeight="1" x14ac:dyDescent="0.3">
      <c r="A998" s="56"/>
      <c r="B998" s="56"/>
      <c r="C998" s="56"/>
      <c r="D998" s="56"/>
      <c r="E998" s="14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7"/>
      <c r="Q998" s="57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15.75" customHeight="1" x14ac:dyDescent="0.3">
      <c r="A999" s="56"/>
      <c r="B999" s="56"/>
      <c r="C999" s="56"/>
      <c r="D999" s="56"/>
      <c r="E999" s="14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7"/>
      <c r="Q999" s="57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15.75" customHeight="1" x14ac:dyDescent="0.3">
      <c r="A1000" s="56"/>
      <c r="B1000" s="56"/>
      <c r="C1000" s="56"/>
      <c r="D1000" s="56"/>
      <c r="E1000" s="14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7"/>
      <c r="Q1000" s="57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autoFilter ref="A7:N116" xr:uid="{00000000-0009-0000-0000-000006000000}">
    <sortState xmlns:xlrd2="http://schemas.microsoft.com/office/spreadsheetml/2017/richdata2" ref="A7:N116">
      <sortCondition ref="B7:B116"/>
    </sortState>
  </autoFilter>
  <mergeCells count="4">
    <mergeCell ref="A1:N1"/>
    <mergeCell ref="A2:N2"/>
    <mergeCell ref="A3:N3"/>
    <mergeCell ref="G5:M5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1381-97C2-4CD2-BFAC-6292A1394E0A}">
  <sheetPr>
    <tabColor rgb="FFFF0000"/>
  </sheetPr>
  <dimension ref="A1:Z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2" sqref="H12"/>
    </sheetView>
  </sheetViews>
  <sheetFormatPr baseColWidth="10" defaultColWidth="14.44140625" defaultRowHeight="15" customHeight="1" x14ac:dyDescent="0.3"/>
  <cols>
    <col min="1" max="1" width="11.44140625" customWidth="1"/>
    <col min="2" max="2" width="38.44140625" customWidth="1"/>
    <col min="3" max="4" width="9.109375" customWidth="1"/>
    <col min="5" max="5" width="8.33203125" customWidth="1"/>
    <col min="6" max="7" width="11.33203125" customWidth="1"/>
    <col min="8" max="8" width="14.33203125" customWidth="1"/>
    <col min="9" max="9" width="15.109375" customWidth="1"/>
    <col min="10" max="10" width="6" customWidth="1"/>
    <col min="11" max="11" width="11.6640625" customWidth="1"/>
    <col min="12" max="12" width="6" customWidth="1"/>
    <col min="13" max="14" width="15.6640625" customWidth="1"/>
    <col min="15" max="26" width="11.44140625" customWidth="1"/>
  </cols>
  <sheetData>
    <row r="1" spans="1:26" ht="15" customHeight="1" x14ac:dyDescent="0.3">
      <c r="A1" s="357" t="s">
        <v>115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56"/>
      <c r="P1" s="57"/>
      <c r="Q1" s="57"/>
      <c r="R1" s="56"/>
      <c r="S1" s="56"/>
      <c r="T1" s="56"/>
      <c r="U1" s="56"/>
      <c r="V1" s="56"/>
      <c r="W1" s="56"/>
      <c r="X1" s="56"/>
      <c r="Y1" s="56"/>
      <c r="Z1" s="56"/>
    </row>
    <row r="2" spans="1:26" ht="15" customHeight="1" x14ac:dyDescent="0.3">
      <c r="A2" s="357" t="s">
        <v>0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56"/>
      <c r="P2" s="57"/>
      <c r="Q2" s="57"/>
      <c r="R2" s="56"/>
      <c r="S2" s="56"/>
      <c r="T2" s="56"/>
      <c r="U2" s="56"/>
      <c r="V2" s="56"/>
      <c r="W2" s="56"/>
      <c r="X2" s="56"/>
      <c r="Y2" s="56"/>
      <c r="Z2" s="56"/>
    </row>
    <row r="3" spans="1:26" ht="15" customHeight="1" x14ac:dyDescent="0.3">
      <c r="A3" s="357" t="s">
        <v>64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56"/>
      <c r="P3" s="57"/>
      <c r="Q3" s="57"/>
      <c r="R3" s="56"/>
      <c r="S3" s="56"/>
      <c r="T3" s="56"/>
      <c r="U3" s="56"/>
      <c r="V3" s="56"/>
      <c r="W3" s="56"/>
      <c r="X3" s="56"/>
      <c r="Y3" s="56"/>
      <c r="Z3" s="56"/>
    </row>
    <row r="4" spans="1:26" ht="15.75" customHeight="1" x14ac:dyDescent="0.3">
      <c r="A4" s="58"/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59"/>
      <c r="N4" s="59"/>
      <c r="O4" s="56"/>
      <c r="P4" s="57"/>
      <c r="Q4" s="57"/>
      <c r="R4" s="56"/>
      <c r="S4" s="56"/>
      <c r="T4" s="56"/>
      <c r="U4" s="56"/>
      <c r="V4" s="56"/>
      <c r="W4" s="56"/>
      <c r="X4" s="56"/>
      <c r="Y4" s="56"/>
      <c r="Z4" s="56"/>
    </row>
    <row r="5" spans="1:26" ht="18" x14ac:dyDescent="0.35">
      <c r="A5" s="56"/>
      <c r="B5" s="56"/>
      <c r="C5" s="56"/>
      <c r="D5" s="56"/>
      <c r="E5" s="14"/>
      <c r="G5" s="361" t="s">
        <v>227</v>
      </c>
      <c r="H5" s="362"/>
      <c r="I5" s="362"/>
      <c r="J5" s="362"/>
      <c r="K5" s="362"/>
      <c r="L5" s="362"/>
      <c r="M5" s="362"/>
      <c r="O5" s="56"/>
      <c r="P5" s="57"/>
      <c r="Q5" s="57"/>
      <c r="R5" s="56"/>
      <c r="S5" s="56"/>
      <c r="T5" s="56"/>
      <c r="U5" s="56"/>
      <c r="V5" s="56"/>
      <c r="W5" s="56"/>
      <c r="X5" s="56"/>
      <c r="Y5" s="56"/>
      <c r="Z5" s="56"/>
    </row>
    <row r="6" spans="1:26" ht="18" x14ac:dyDescent="0.35">
      <c r="A6" s="56"/>
      <c r="B6" s="56"/>
      <c r="C6" s="56"/>
      <c r="D6" s="56"/>
      <c r="E6" s="14"/>
      <c r="G6" s="61"/>
      <c r="H6" s="61"/>
      <c r="I6" s="61"/>
      <c r="J6" s="61"/>
      <c r="K6" s="61"/>
      <c r="L6" s="61"/>
      <c r="M6" s="61"/>
      <c r="O6" s="56"/>
      <c r="P6" s="57"/>
      <c r="Q6" s="57"/>
      <c r="R6" s="56"/>
      <c r="S6" s="56"/>
      <c r="T6" s="56"/>
      <c r="U6" s="56"/>
      <c r="V6" s="56"/>
      <c r="W6" s="56"/>
      <c r="X6" s="56"/>
      <c r="Y6" s="56"/>
      <c r="Z6" s="56"/>
    </row>
    <row r="7" spans="1:26" ht="66" customHeight="1" x14ac:dyDescent="0.3">
      <c r="A7" s="62" t="s">
        <v>117</v>
      </c>
      <c r="B7" s="63" t="s">
        <v>118</v>
      </c>
      <c r="C7" s="140" t="s">
        <v>217</v>
      </c>
      <c r="D7" s="140" t="s">
        <v>218</v>
      </c>
      <c r="E7" s="64" t="s">
        <v>121</v>
      </c>
      <c r="F7" s="65" t="s">
        <v>122</v>
      </c>
      <c r="G7" s="65" t="s">
        <v>123</v>
      </c>
      <c r="H7" s="66" t="s">
        <v>124</v>
      </c>
      <c r="I7" s="66" t="s">
        <v>125</v>
      </c>
      <c r="J7" s="67" t="s">
        <v>126</v>
      </c>
      <c r="K7" s="68" t="s">
        <v>127</v>
      </c>
      <c r="L7" s="69" t="s">
        <v>128</v>
      </c>
      <c r="M7" s="70" t="s">
        <v>129</v>
      </c>
      <c r="N7" s="71" t="s">
        <v>130</v>
      </c>
      <c r="O7" s="56"/>
      <c r="P7" s="57"/>
      <c r="Q7" s="57"/>
      <c r="R7" s="56"/>
      <c r="S7" s="56"/>
      <c r="T7" s="56"/>
      <c r="U7" s="56"/>
      <c r="V7" s="56"/>
      <c r="W7" s="56"/>
      <c r="X7" s="56"/>
      <c r="Y7" s="56"/>
      <c r="Z7" s="56"/>
    </row>
    <row r="8" spans="1:26" ht="15.6" x14ac:dyDescent="0.3">
      <c r="A8" s="72">
        <v>2220001</v>
      </c>
      <c r="B8" s="73" t="s">
        <v>12</v>
      </c>
      <c r="C8" s="73">
        <v>36.5</v>
      </c>
      <c r="D8" s="73">
        <v>36.5</v>
      </c>
      <c r="E8" s="74" t="s">
        <v>131</v>
      </c>
      <c r="F8" s="75">
        <v>22</v>
      </c>
      <c r="G8" s="75">
        <v>49</v>
      </c>
      <c r="H8" s="76">
        <v>432</v>
      </c>
      <c r="I8" s="77">
        <v>445</v>
      </c>
      <c r="J8" s="77"/>
      <c r="K8" s="78">
        <v>446</v>
      </c>
      <c r="L8" s="79"/>
      <c r="M8" s="79">
        <f>F8+H8-K8</f>
        <v>8</v>
      </c>
      <c r="N8" s="75">
        <f>G8+I8-K8</f>
        <v>48</v>
      </c>
      <c r="O8" s="75"/>
      <c r="P8" s="57"/>
      <c r="Q8" s="57"/>
      <c r="R8" s="56"/>
      <c r="S8" s="56"/>
      <c r="T8" s="56"/>
      <c r="U8" s="56"/>
      <c r="V8" s="56"/>
      <c r="W8" s="56"/>
      <c r="X8" s="56"/>
      <c r="Y8" s="56"/>
      <c r="Z8" s="56"/>
    </row>
    <row r="9" spans="1:26" ht="15.6" x14ac:dyDescent="0.3">
      <c r="A9" s="72">
        <v>2220044</v>
      </c>
      <c r="B9" s="73" t="s">
        <v>132</v>
      </c>
      <c r="C9" s="73">
        <v>305</v>
      </c>
      <c r="D9" s="73">
        <v>305</v>
      </c>
      <c r="E9" s="74" t="s">
        <v>133</v>
      </c>
      <c r="F9" s="75">
        <v>76</v>
      </c>
      <c r="G9" s="75">
        <v>76</v>
      </c>
      <c r="H9" s="80">
        <v>730</v>
      </c>
      <c r="I9" s="81">
        <v>730</v>
      </c>
      <c r="J9" s="81"/>
      <c r="K9" s="82">
        <v>623</v>
      </c>
      <c r="L9" s="79"/>
      <c r="M9" s="79">
        <f t="shared" ref="M9:M72" si="0">F9+H9-K9</f>
        <v>183</v>
      </c>
      <c r="N9" s="75">
        <f t="shared" ref="N9:N72" si="1">G9+I9-K9</f>
        <v>183</v>
      </c>
      <c r="O9" s="56"/>
      <c r="P9" s="57"/>
      <c r="Q9" s="57"/>
      <c r="R9" s="56"/>
      <c r="S9" s="56"/>
      <c r="T9" s="56"/>
      <c r="U9" s="56"/>
      <c r="V9" s="56"/>
      <c r="W9" s="56"/>
      <c r="X9" s="56"/>
      <c r="Y9" s="56"/>
      <c r="Z9" s="56"/>
    </row>
    <row r="10" spans="1:26" ht="15.6" x14ac:dyDescent="0.3">
      <c r="A10" s="72">
        <v>2220002</v>
      </c>
      <c r="B10" s="73" t="s">
        <v>14</v>
      </c>
      <c r="C10" s="73">
        <v>57.3</v>
      </c>
      <c r="D10" s="73">
        <v>57.3</v>
      </c>
      <c r="E10" s="74" t="s">
        <v>131</v>
      </c>
      <c r="F10" s="75">
        <v>-194</v>
      </c>
      <c r="G10" s="75">
        <v>93</v>
      </c>
      <c r="H10" s="80">
        <v>796</v>
      </c>
      <c r="I10" s="81">
        <v>813</v>
      </c>
      <c r="J10" s="81"/>
      <c r="K10" s="78">
        <v>802</v>
      </c>
      <c r="L10" s="79"/>
      <c r="M10" s="79">
        <f t="shared" si="0"/>
        <v>-200</v>
      </c>
      <c r="N10" s="75">
        <f t="shared" si="1"/>
        <v>104</v>
      </c>
      <c r="O10" s="56"/>
      <c r="P10" s="57"/>
      <c r="Q10" s="57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5.6" x14ac:dyDescent="0.3">
      <c r="A11" s="72">
        <v>2220085</v>
      </c>
      <c r="B11" s="73" t="s">
        <v>134</v>
      </c>
      <c r="C11" s="73">
        <v>2725</v>
      </c>
      <c r="D11" s="73">
        <v>2725</v>
      </c>
      <c r="E11" s="74" t="s">
        <v>135</v>
      </c>
      <c r="F11" s="75">
        <v>1</v>
      </c>
      <c r="G11" s="75">
        <v>1</v>
      </c>
      <c r="H11" s="80">
        <v>0</v>
      </c>
      <c r="I11" s="81">
        <v>0</v>
      </c>
      <c r="J11" s="81"/>
      <c r="K11" s="82">
        <v>0</v>
      </c>
      <c r="L11" s="79"/>
      <c r="M11" s="79">
        <f t="shared" si="0"/>
        <v>1</v>
      </c>
      <c r="N11" s="75">
        <f t="shared" si="1"/>
        <v>1</v>
      </c>
      <c r="O11" s="56"/>
      <c r="P11" s="57"/>
      <c r="Q11" s="57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5.6" x14ac:dyDescent="0.3">
      <c r="A12" s="72">
        <v>2220003</v>
      </c>
      <c r="B12" s="73" t="s">
        <v>136</v>
      </c>
      <c r="C12" s="73">
        <v>29.2</v>
      </c>
      <c r="D12" s="73">
        <v>29.2</v>
      </c>
      <c r="E12" s="74" t="s">
        <v>137</v>
      </c>
      <c r="F12" s="75">
        <v>-6.4999999999999982</v>
      </c>
      <c r="G12" s="75">
        <v>4.100000000000005</v>
      </c>
      <c r="H12" s="80">
        <v>16</v>
      </c>
      <c r="I12" s="81">
        <v>17.55</v>
      </c>
      <c r="J12" s="81"/>
      <c r="K12" s="83">
        <v>19.45</v>
      </c>
      <c r="L12" s="79"/>
      <c r="M12" s="79">
        <f t="shared" si="0"/>
        <v>-9.9499999999999975</v>
      </c>
      <c r="N12" s="75">
        <f t="shared" si="1"/>
        <v>2.2000000000000064</v>
      </c>
      <c r="O12" s="56"/>
      <c r="P12" s="57"/>
      <c r="Q12" s="57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5.6" x14ac:dyDescent="0.3">
      <c r="A13" s="72">
        <v>2220030</v>
      </c>
      <c r="B13" s="73" t="s">
        <v>138</v>
      </c>
      <c r="C13" s="73">
        <v>62.5</v>
      </c>
      <c r="D13" s="73">
        <v>62.5</v>
      </c>
      <c r="E13" s="74" t="s">
        <v>137</v>
      </c>
      <c r="F13" s="75">
        <v>15</v>
      </c>
      <c r="G13" s="75">
        <v>15</v>
      </c>
      <c r="H13" s="80">
        <v>10</v>
      </c>
      <c r="I13" s="81">
        <v>10</v>
      </c>
      <c r="J13" s="81"/>
      <c r="K13" s="83">
        <v>4</v>
      </c>
      <c r="L13" s="79"/>
      <c r="M13" s="79">
        <f t="shared" si="0"/>
        <v>21</v>
      </c>
      <c r="N13" s="75">
        <f t="shared" si="1"/>
        <v>21</v>
      </c>
      <c r="O13" s="56"/>
      <c r="P13" s="57"/>
      <c r="Q13" s="57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5.6" x14ac:dyDescent="0.3">
      <c r="A14" s="72">
        <v>2220138</v>
      </c>
      <c r="B14" s="73" t="s">
        <v>139</v>
      </c>
      <c r="C14" s="73">
        <v>1100</v>
      </c>
      <c r="D14" s="73">
        <v>1100</v>
      </c>
      <c r="E14" s="74" t="s">
        <v>135</v>
      </c>
      <c r="F14" s="75">
        <v>3</v>
      </c>
      <c r="G14" s="75">
        <v>3</v>
      </c>
      <c r="H14" s="80">
        <v>4</v>
      </c>
      <c r="I14" s="81">
        <v>4</v>
      </c>
      <c r="J14" s="81"/>
      <c r="K14" s="82">
        <v>4</v>
      </c>
      <c r="L14" s="79"/>
      <c r="M14" s="79">
        <f t="shared" si="0"/>
        <v>3</v>
      </c>
      <c r="N14" s="75">
        <f t="shared" si="1"/>
        <v>3</v>
      </c>
      <c r="O14" s="56"/>
      <c r="P14" s="57"/>
      <c r="Q14" s="57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5.6" x14ac:dyDescent="0.3">
      <c r="A15" s="72">
        <v>2220046</v>
      </c>
      <c r="B15" s="73" t="s">
        <v>140</v>
      </c>
      <c r="C15" s="73">
        <v>1250</v>
      </c>
      <c r="D15" s="73">
        <v>1250</v>
      </c>
      <c r="E15" s="74" t="s">
        <v>135</v>
      </c>
      <c r="F15" s="75">
        <v>0</v>
      </c>
      <c r="G15" s="75">
        <v>0</v>
      </c>
      <c r="H15" s="80">
        <v>0</v>
      </c>
      <c r="I15" s="81">
        <v>0</v>
      </c>
      <c r="J15" s="81"/>
      <c r="K15" s="83">
        <v>0</v>
      </c>
      <c r="L15" s="79"/>
      <c r="M15" s="79">
        <f t="shared" si="0"/>
        <v>0</v>
      </c>
      <c r="N15" s="75">
        <f t="shared" si="1"/>
        <v>0</v>
      </c>
      <c r="O15" s="56"/>
      <c r="P15" s="57"/>
      <c r="Q15" s="57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5.6" x14ac:dyDescent="0.3">
      <c r="A16" s="72">
        <v>2220134</v>
      </c>
      <c r="B16" s="73" t="s">
        <v>141</v>
      </c>
      <c r="C16" s="73">
        <v>1197.1199999999999</v>
      </c>
      <c r="D16" s="73">
        <v>1197.1199999999999</v>
      </c>
      <c r="E16" s="74" t="s">
        <v>133</v>
      </c>
      <c r="F16" s="75">
        <v>0</v>
      </c>
      <c r="G16" s="75">
        <v>0</v>
      </c>
      <c r="H16" s="80">
        <v>0</v>
      </c>
      <c r="I16" s="81">
        <v>0</v>
      </c>
      <c r="J16" s="81"/>
      <c r="K16" s="83">
        <v>0</v>
      </c>
      <c r="L16" s="79"/>
      <c r="M16" s="79">
        <f t="shared" si="0"/>
        <v>0</v>
      </c>
      <c r="N16" s="75">
        <f t="shared" si="1"/>
        <v>0</v>
      </c>
      <c r="O16" s="56"/>
      <c r="P16" s="57"/>
      <c r="Q16" s="57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5.6" x14ac:dyDescent="0.3">
      <c r="A17" s="72">
        <v>2220094</v>
      </c>
      <c r="B17" s="73" t="s">
        <v>142</v>
      </c>
      <c r="C17" s="73">
        <v>850</v>
      </c>
      <c r="D17" s="73">
        <v>850</v>
      </c>
      <c r="E17" s="74"/>
      <c r="F17" s="75">
        <v>0</v>
      </c>
      <c r="G17" s="75">
        <v>0</v>
      </c>
      <c r="H17" s="84">
        <v>0</v>
      </c>
      <c r="I17" s="85">
        <v>0</v>
      </c>
      <c r="J17" s="85"/>
      <c r="K17" s="86">
        <v>0</v>
      </c>
      <c r="L17" s="79"/>
      <c r="M17" s="79">
        <f t="shared" si="0"/>
        <v>0</v>
      </c>
      <c r="N17" s="75">
        <f t="shared" si="1"/>
        <v>0</v>
      </c>
      <c r="O17" s="56"/>
      <c r="P17" s="57"/>
      <c r="Q17" s="57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5.6" x14ac:dyDescent="0.3">
      <c r="A18" s="72">
        <v>2220004</v>
      </c>
      <c r="B18" s="73" t="s">
        <v>16</v>
      </c>
      <c r="C18" s="73">
        <v>39.1</v>
      </c>
      <c r="D18" s="73">
        <v>39.1</v>
      </c>
      <c r="E18" s="74" t="s">
        <v>137</v>
      </c>
      <c r="F18" s="75">
        <v>16.36</v>
      </c>
      <c r="G18" s="75">
        <v>9.2999999999999972</v>
      </c>
      <c r="H18" s="80">
        <v>92</v>
      </c>
      <c r="I18" s="81">
        <v>90.65</v>
      </c>
      <c r="J18" s="81"/>
      <c r="K18" s="83">
        <v>89.65</v>
      </c>
      <c r="L18" s="79"/>
      <c r="M18" s="79">
        <f t="shared" si="0"/>
        <v>18.709999999999994</v>
      </c>
      <c r="N18" s="75">
        <f t="shared" si="1"/>
        <v>10.299999999999997</v>
      </c>
      <c r="O18" s="56"/>
      <c r="P18" s="57"/>
      <c r="Q18" s="57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5.6" x14ac:dyDescent="0.3">
      <c r="A19" s="72">
        <v>2220005</v>
      </c>
      <c r="B19" s="73" t="s">
        <v>62</v>
      </c>
      <c r="C19" s="73">
        <v>93.5</v>
      </c>
      <c r="D19" s="73">
        <v>93.5</v>
      </c>
      <c r="E19" s="74" t="s">
        <v>137</v>
      </c>
      <c r="F19" s="75">
        <v>5.1000000000000014</v>
      </c>
      <c r="G19" s="75">
        <v>5.0999999999999979</v>
      </c>
      <c r="H19" s="84">
        <v>20</v>
      </c>
      <c r="I19" s="85">
        <v>19.600000000000001</v>
      </c>
      <c r="J19" s="87"/>
      <c r="K19" s="86">
        <v>25.35</v>
      </c>
      <c r="L19" s="88"/>
      <c r="M19" s="79">
        <f t="shared" si="0"/>
        <v>-0.25</v>
      </c>
      <c r="N19" s="75">
        <f t="shared" si="1"/>
        <v>-0.65000000000000213</v>
      </c>
      <c r="O19" s="56"/>
      <c r="P19" s="57"/>
      <c r="Q19" s="57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5.6" x14ac:dyDescent="0.3">
      <c r="A20" s="72">
        <v>2220006</v>
      </c>
      <c r="B20" s="73" t="s">
        <v>17</v>
      </c>
      <c r="C20" s="73">
        <v>36.5</v>
      </c>
      <c r="D20" s="73">
        <v>36.5</v>
      </c>
      <c r="E20" s="74" t="s">
        <v>137</v>
      </c>
      <c r="F20" s="75">
        <v>-0.84500000000000597</v>
      </c>
      <c r="G20" s="75">
        <v>5.9500000000000028</v>
      </c>
      <c r="H20" s="80">
        <v>60</v>
      </c>
      <c r="I20" s="76">
        <v>60.75</v>
      </c>
      <c r="J20" s="80"/>
      <c r="K20" s="83">
        <v>59.4</v>
      </c>
      <c r="L20" s="79"/>
      <c r="M20" s="79">
        <f t="shared" si="0"/>
        <v>-0.24500000000000455</v>
      </c>
      <c r="N20" s="75">
        <f t="shared" si="1"/>
        <v>7.3000000000000043</v>
      </c>
      <c r="O20" s="56"/>
      <c r="P20" s="57"/>
      <c r="Q20" s="57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5.75" customHeight="1" x14ac:dyDescent="0.3">
      <c r="A21" s="72">
        <v>2220089</v>
      </c>
      <c r="B21" s="73" t="s">
        <v>143</v>
      </c>
      <c r="C21" s="73">
        <v>420</v>
      </c>
      <c r="D21" s="73">
        <v>420</v>
      </c>
      <c r="E21" s="74" t="s">
        <v>137</v>
      </c>
      <c r="F21" s="75">
        <v>0</v>
      </c>
      <c r="G21" s="75">
        <v>0</v>
      </c>
      <c r="H21" s="80">
        <v>0</v>
      </c>
      <c r="I21" s="77">
        <v>0</v>
      </c>
      <c r="J21" s="81"/>
      <c r="K21" s="83">
        <v>0</v>
      </c>
      <c r="L21" s="79"/>
      <c r="M21" s="79">
        <f t="shared" si="0"/>
        <v>0</v>
      </c>
      <c r="N21" s="75">
        <f t="shared" si="1"/>
        <v>0</v>
      </c>
      <c r="O21" s="56"/>
      <c r="P21" s="57"/>
      <c r="Q21" s="57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5.75" customHeight="1" x14ac:dyDescent="0.3">
      <c r="A22" s="72">
        <v>2220072</v>
      </c>
      <c r="B22" s="73" t="s">
        <v>144</v>
      </c>
      <c r="C22" s="73">
        <v>350</v>
      </c>
      <c r="D22" s="73">
        <v>350</v>
      </c>
      <c r="E22" s="74" t="s">
        <v>133</v>
      </c>
      <c r="F22" s="75">
        <v>1</v>
      </c>
      <c r="G22" s="75">
        <v>1</v>
      </c>
      <c r="H22" s="80">
        <v>0</v>
      </c>
      <c r="I22" s="76">
        <v>0</v>
      </c>
      <c r="J22" s="81"/>
      <c r="K22" s="83">
        <v>0</v>
      </c>
      <c r="L22" s="79"/>
      <c r="M22" s="79">
        <f t="shared" si="0"/>
        <v>1</v>
      </c>
      <c r="N22" s="75">
        <f t="shared" si="1"/>
        <v>1</v>
      </c>
      <c r="O22" s="56"/>
      <c r="P22" s="57"/>
      <c r="Q22" s="57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5.75" customHeight="1" x14ac:dyDescent="0.3">
      <c r="A23" s="72">
        <v>2220090</v>
      </c>
      <c r="B23" s="73" t="s">
        <v>145</v>
      </c>
      <c r="C23" s="73">
        <v>520</v>
      </c>
      <c r="D23" s="73">
        <v>520</v>
      </c>
      <c r="E23" s="74" t="s">
        <v>137</v>
      </c>
      <c r="F23" s="75">
        <v>0</v>
      </c>
      <c r="G23" s="75">
        <v>0</v>
      </c>
      <c r="H23" s="80">
        <v>0</v>
      </c>
      <c r="I23" s="81">
        <v>0</v>
      </c>
      <c r="J23" s="81"/>
      <c r="K23" s="83">
        <v>0</v>
      </c>
      <c r="L23" s="79"/>
      <c r="M23" s="79">
        <f t="shared" si="0"/>
        <v>0</v>
      </c>
      <c r="N23" s="75">
        <f t="shared" si="1"/>
        <v>0</v>
      </c>
      <c r="O23" s="56"/>
      <c r="P23" s="57"/>
      <c r="Q23" s="57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5.75" customHeight="1" x14ac:dyDescent="0.3">
      <c r="A24" s="72">
        <v>2220007</v>
      </c>
      <c r="B24" s="73" t="s">
        <v>37</v>
      </c>
      <c r="C24" s="73">
        <v>85.5</v>
      </c>
      <c r="D24" s="73">
        <v>85.5</v>
      </c>
      <c r="E24" s="74" t="s">
        <v>137</v>
      </c>
      <c r="F24" s="75">
        <v>-4.5500000000000007</v>
      </c>
      <c r="G24" s="75">
        <v>2.8000000000000007</v>
      </c>
      <c r="H24" s="80">
        <v>24</v>
      </c>
      <c r="I24" s="81">
        <v>24.25</v>
      </c>
      <c r="J24" s="81"/>
      <c r="K24" s="83">
        <v>23.8</v>
      </c>
      <c r="L24" s="79"/>
      <c r="M24" s="79">
        <f t="shared" si="0"/>
        <v>-4.3500000000000014</v>
      </c>
      <c r="N24" s="75">
        <f t="shared" si="1"/>
        <v>3.25</v>
      </c>
      <c r="O24" s="56"/>
      <c r="P24" s="57"/>
      <c r="Q24" s="57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30" x14ac:dyDescent="0.3">
      <c r="A25" s="72">
        <v>2220050</v>
      </c>
      <c r="B25" s="73" t="s">
        <v>146</v>
      </c>
      <c r="C25" s="73">
        <v>1392</v>
      </c>
      <c r="D25" s="73">
        <v>1392</v>
      </c>
      <c r="E25" s="74" t="s">
        <v>135</v>
      </c>
      <c r="F25" s="75">
        <v>16</v>
      </c>
      <c r="G25" s="75">
        <v>16</v>
      </c>
      <c r="H25" s="89">
        <v>12</v>
      </c>
      <c r="I25" s="90">
        <v>12</v>
      </c>
      <c r="J25" s="81"/>
      <c r="K25" s="83">
        <v>8</v>
      </c>
      <c r="L25" s="79"/>
      <c r="M25" s="79">
        <f t="shared" si="0"/>
        <v>20</v>
      </c>
      <c r="N25" s="75">
        <f t="shared" si="1"/>
        <v>20</v>
      </c>
      <c r="O25" s="56"/>
      <c r="P25" s="57"/>
      <c r="Q25" s="57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5.75" customHeight="1" x14ac:dyDescent="0.3">
      <c r="A26" s="72">
        <v>2220042</v>
      </c>
      <c r="B26" s="73" t="s">
        <v>147</v>
      </c>
      <c r="C26" s="73">
        <v>215</v>
      </c>
      <c r="D26" s="73">
        <v>215</v>
      </c>
      <c r="E26" s="74" t="s">
        <v>137</v>
      </c>
      <c r="F26" s="75">
        <v>-30.399999999999977</v>
      </c>
      <c r="G26" s="75">
        <v>128.19999999999982</v>
      </c>
      <c r="H26" s="80">
        <v>1000</v>
      </c>
      <c r="I26" s="81">
        <v>1115</v>
      </c>
      <c r="J26" s="81"/>
      <c r="K26" s="83">
        <v>1159.1500000000001</v>
      </c>
      <c r="L26" s="79"/>
      <c r="M26" s="79">
        <f t="shared" si="0"/>
        <v>-189.55000000000007</v>
      </c>
      <c r="N26" s="75">
        <f t="shared" si="1"/>
        <v>84.049999999999727</v>
      </c>
      <c r="O26" s="56"/>
      <c r="P26" s="57"/>
      <c r="Q26" s="57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5.75" customHeight="1" x14ac:dyDescent="0.3">
      <c r="A27" s="72">
        <v>2220068</v>
      </c>
      <c r="B27" s="73" t="s">
        <v>148</v>
      </c>
      <c r="C27" s="73">
        <v>519.67999999999995</v>
      </c>
      <c r="D27" s="73">
        <v>519.67999999999995</v>
      </c>
      <c r="E27" s="74" t="s">
        <v>133</v>
      </c>
      <c r="F27" s="75">
        <v>5</v>
      </c>
      <c r="G27" s="75">
        <v>5</v>
      </c>
      <c r="H27" s="80">
        <v>0</v>
      </c>
      <c r="I27" s="81">
        <v>0</v>
      </c>
      <c r="J27" s="81"/>
      <c r="K27" s="83">
        <v>0</v>
      </c>
      <c r="L27" s="79"/>
      <c r="M27" s="79">
        <f t="shared" si="0"/>
        <v>5</v>
      </c>
      <c r="N27" s="75">
        <f t="shared" si="1"/>
        <v>5</v>
      </c>
      <c r="O27" s="56"/>
      <c r="P27" s="57"/>
      <c r="Q27" s="57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5.75" customHeight="1" x14ac:dyDescent="0.3">
      <c r="A28" s="72">
        <v>2220008</v>
      </c>
      <c r="B28" s="73" t="s">
        <v>18</v>
      </c>
      <c r="C28" s="73">
        <v>40</v>
      </c>
      <c r="D28" s="73">
        <v>40</v>
      </c>
      <c r="E28" s="74" t="s">
        <v>137</v>
      </c>
      <c r="F28" s="75">
        <v>-2.0499999999999901</v>
      </c>
      <c r="G28" s="75">
        <v>6.8500000000000014</v>
      </c>
      <c r="H28" s="80">
        <v>60</v>
      </c>
      <c r="I28" s="81">
        <v>61.6</v>
      </c>
      <c r="J28" s="81"/>
      <c r="K28" s="83">
        <v>60.95</v>
      </c>
      <c r="L28" s="79"/>
      <c r="M28" s="79">
        <f t="shared" si="0"/>
        <v>-2.9999999999999929</v>
      </c>
      <c r="N28" s="75">
        <f t="shared" si="1"/>
        <v>7.5</v>
      </c>
      <c r="O28" s="56"/>
      <c r="P28" s="57"/>
      <c r="Q28" s="57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30" x14ac:dyDescent="0.3">
      <c r="A29" s="72">
        <v>2220066</v>
      </c>
      <c r="B29" s="73" t="s">
        <v>149</v>
      </c>
      <c r="C29" s="73">
        <v>510</v>
      </c>
      <c r="D29" s="73">
        <v>510</v>
      </c>
      <c r="E29" s="74" t="s">
        <v>133</v>
      </c>
      <c r="F29" s="75">
        <v>0</v>
      </c>
      <c r="G29" s="75">
        <v>0</v>
      </c>
      <c r="H29" s="80">
        <v>0</v>
      </c>
      <c r="I29" s="81">
        <v>0</v>
      </c>
      <c r="J29" s="81"/>
      <c r="K29" s="83">
        <v>0</v>
      </c>
      <c r="L29" s="79"/>
      <c r="M29" s="79">
        <f t="shared" si="0"/>
        <v>0</v>
      </c>
      <c r="N29" s="75">
        <f t="shared" si="1"/>
        <v>0</v>
      </c>
      <c r="O29" s="56"/>
      <c r="P29" s="57"/>
      <c r="Q29" s="57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5.75" customHeight="1" x14ac:dyDescent="0.3">
      <c r="A30" s="72">
        <v>2220009</v>
      </c>
      <c r="B30" s="73" t="s">
        <v>19</v>
      </c>
      <c r="C30" s="73">
        <v>41.5</v>
      </c>
      <c r="D30" s="73">
        <v>41.5</v>
      </c>
      <c r="E30" s="74" t="s">
        <v>137</v>
      </c>
      <c r="F30" s="75">
        <v>-5.1500000000000039</v>
      </c>
      <c r="G30" s="75">
        <v>1.1500000000000004</v>
      </c>
      <c r="H30" s="80">
        <v>10</v>
      </c>
      <c r="I30" s="81">
        <v>10.9</v>
      </c>
      <c r="J30" s="81"/>
      <c r="K30" s="83">
        <v>11.05</v>
      </c>
      <c r="L30" s="79"/>
      <c r="M30" s="79">
        <f t="shared" si="0"/>
        <v>-6.2000000000000046</v>
      </c>
      <c r="N30" s="75">
        <f t="shared" si="1"/>
        <v>1</v>
      </c>
      <c r="O30" s="56"/>
      <c r="P30" s="57"/>
      <c r="Q30" s="57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5.75" customHeight="1" x14ac:dyDescent="0.3">
      <c r="A31" s="72">
        <v>2220010</v>
      </c>
      <c r="B31" s="73" t="s">
        <v>72</v>
      </c>
      <c r="C31" s="73">
        <v>20.7</v>
      </c>
      <c r="D31" s="73">
        <v>20.7</v>
      </c>
      <c r="E31" s="74" t="s">
        <v>131</v>
      </c>
      <c r="F31" s="75">
        <v>25</v>
      </c>
      <c r="G31" s="75">
        <v>17</v>
      </c>
      <c r="H31" s="80">
        <v>112</v>
      </c>
      <c r="I31" s="81">
        <v>109</v>
      </c>
      <c r="J31" s="81"/>
      <c r="K31" s="83">
        <v>109</v>
      </c>
      <c r="L31" s="79"/>
      <c r="M31" s="79">
        <f t="shared" si="0"/>
        <v>28</v>
      </c>
      <c r="N31" s="75">
        <f t="shared" si="1"/>
        <v>17</v>
      </c>
      <c r="O31" s="56"/>
      <c r="P31" s="57"/>
      <c r="Q31" s="57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5.75" customHeight="1" x14ac:dyDescent="0.3">
      <c r="A32" s="72">
        <v>2220011</v>
      </c>
      <c r="B32" s="73" t="s">
        <v>21</v>
      </c>
      <c r="C32" s="73">
        <v>46.9</v>
      </c>
      <c r="D32" s="73">
        <v>46.9</v>
      </c>
      <c r="E32" s="74" t="s">
        <v>133</v>
      </c>
      <c r="F32" s="75">
        <v>20</v>
      </c>
      <c r="G32" s="75">
        <v>11</v>
      </c>
      <c r="H32" s="80">
        <v>104</v>
      </c>
      <c r="I32" s="81">
        <v>104</v>
      </c>
      <c r="J32" s="81"/>
      <c r="K32" s="83">
        <v>104</v>
      </c>
      <c r="L32" s="79"/>
      <c r="M32" s="79">
        <f t="shared" si="0"/>
        <v>20</v>
      </c>
      <c r="N32" s="75">
        <f t="shared" si="1"/>
        <v>11</v>
      </c>
      <c r="O32" s="56"/>
      <c r="P32" s="57"/>
      <c r="Q32" s="57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5.75" customHeight="1" x14ac:dyDescent="0.3">
      <c r="A33" s="72">
        <v>2220070</v>
      </c>
      <c r="B33" s="73" t="s">
        <v>150</v>
      </c>
      <c r="C33" s="73">
        <v>54</v>
      </c>
      <c r="D33" s="73">
        <v>54</v>
      </c>
      <c r="E33" s="74" t="s">
        <v>133</v>
      </c>
      <c r="F33" s="75">
        <v>0</v>
      </c>
      <c r="G33" s="75">
        <v>0</v>
      </c>
      <c r="H33" s="80">
        <v>0</v>
      </c>
      <c r="I33" s="81">
        <v>0</v>
      </c>
      <c r="J33" s="81"/>
      <c r="K33" s="83">
        <v>0</v>
      </c>
      <c r="L33" s="79"/>
      <c r="M33" s="79">
        <f t="shared" si="0"/>
        <v>0</v>
      </c>
      <c r="N33" s="75">
        <f t="shared" si="1"/>
        <v>0</v>
      </c>
      <c r="O33" s="56"/>
      <c r="P33" s="57"/>
      <c r="Q33" s="57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5.75" customHeight="1" x14ac:dyDescent="0.3">
      <c r="A34" s="91">
        <v>2220139</v>
      </c>
      <c r="B34" s="73" t="s">
        <v>46</v>
      </c>
      <c r="C34" s="73">
        <v>890</v>
      </c>
      <c r="D34" s="73">
        <v>890</v>
      </c>
      <c r="E34" s="74" t="s">
        <v>135</v>
      </c>
      <c r="F34" s="75">
        <v>8</v>
      </c>
      <c r="G34" s="75">
        <v>8</v>
      </c>
      <c r="H34" s="84">
        <v>28</v>
      </c>
      <c r="I34" s="85">
        <v>28</v>
      </c>
      <c r="J34" s="85"/>
      <c r="K34" s="86">
        <v>23</v>
      </c>
      <c r="L34" s="88"/>
      <c r="M34" s="79">
        <f t="shared" si="0"/>
        <v>13</v>
      </c>
      <c r="N34" s="75">
        <f t="shared" si="1"/>
        <v>13</v>
      </c>
      <c r="O34" s="56"/>
      <c r="P34" s="57"/>
      <c r="Q34" s="57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5.75" customHeight="1" x14ac:dyDescent="0.3">
      <c r="A35" s="72">
        <v>2220047</v>
      </c>
      <c r="B35" s="73" t="s">
        <v>151</v>
      </c>
      <c r="C35" s="73">
        <v>1000</v>
      </c>
      <c r="D35" s="73">
        <v>1000</v>
      </c>
      <c r="E35" s="74" t="s">
        <v>135</v>
      </c>
      <c r="F35" s="75">
        <v>0</v>
      </c>
      <c r="G35" s="75">
        <v>0</v>
      </c>
      <c r="H35" s="84">
        <v>0</v>
      </c>
      <c r="I35" s="85">
        <v>0</v>
      </c>
      <c r="J35" s="85"/>
      <c r="K35" s="86">
        <v>0</v>
      </c>
      <c r="L35" s="88"/>
      <c r="M35" s="79">
        <f t="shared" si="0"/>
        <v>0</v>
      </c>
      <c r="N35" s="75">
        <f t="shared" si="1"/>
        <v>0</v>
      </c>
      <c r="O35" s="56"/>
      <c r="P35" s="57"/>
      <c r="Q35" s="57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5.75" customHeight="1" x14ac:dyDescent="0.3">
      <c r="A36" s="72">
        <v>2220012</v>
      </c>
      <c r="B36" s="73" t="s">
        <v>22</v>
      </c>
      <c r="C36" s="73">
        <v>13.7</v>
      </c>
      <c r="D36" s="73">
        <v>13.7</v>
      </c>
      <c r="E36" s="74" t="s">
        <v>133</v>
      </c>
      <c r="F36" s="75">
        <v>-2</v>
      </c>
      <c r="G36" s="75">
        <v>27</v>
      </c>
      <c r="H36" s="84">
        <v>260</v>
      </c>
      <c r="I36" s="85">
        <v>272</v>
      </c>
      <c r="J36" s="85"/>
      <c r="K36" s="86">
        <v>270</v>
      </c>
      <c r="L36" s="79"/>
      <c r="M36" s="79">
        <f t="shared" si="0"/>
        <v>-12</v>
      </c>
      <c r="N36" s="75">
        <f t="shared" si="1"/>
        <v>29</v>
      </c>
      <c r="O36" s="56"/>
      <c r="P36" s="57"/>
      <c r="Q36" s="57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5.75" customHeight="1" x14ac:dyDescent="0.3">
      <c r="A37" s="72">
        <v>2220135</v>
      </c>
      <c r="B37" s="73" t="s">
        <v>152</v>
      </c>
      <c r="C37" s="73">
        <v>199</v>
      </c>
      <c r="D37" s="73">
        <v>199</v>
      </c>
      <c r="E37" s="74" t="s">
        <v>133</v>
      </c>
      <c r="F37" s="75">
        <v>0</v>
      </c>
      <c r="G37" s="75">
        <v>0</v>
      </c>
      <c r="H37" s="80">
        <v>0</v>
      </c>
      <c r="I37" s="81">
        <v>0</v>
      </c>
      <c r="J37" s="81"/>
      <c r="K37" s="83">
        <v>0</v>
      </c>
      <c r="L37" s="79"/>
      <c r="M37" s="79">
        <f t="shared" si="0"/>
        <v>0</v>
      </c>
      <c r="N37" s="75">
        <f t="shared" si="1"/>
        <v>0</v>
      </c>
      <c r="O37" s="56"/>
      <c r="P37" s="57"/>
      <c r="Q37" s="57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5.75" customHeight="1" x14ac:dyDescent="0.3">
      <c r="A38" s="91">
        <v>2220140</v>
      </c>
      <c r="B38" s="73" t="s">
        <v>153</v>
      </c>
      <c r="C38" s="73">
        <v>690</v>
      </c>
      <c r="D38" s="73">
        <v>690</v>
      </c>
      <c r="E38" s="74" t="s">
        <v>135</v>
      </c>
      <c r="F38" s="75">
        <v>2</v>
      </c>
      <c r="G38" s="75">
        <v>7</v>
      </c>
      <c r="H38" s="84">
        <v>23</v>
      </c>
      <c r="I38" s="85">
        <v>23</v>
      </c>
      <c r="J38" s="85"/>
      <c r="K38" s="86">
        <v>22</v>
      </c>
      <c r="L38" s="88"/>
      <c r="M38" s="79">
        <f t="shared" si="0"/>
        <v>3</v>
      </c>
      <c r="N38" s="75">
        <f t="shared" si="1"/>
        <v>8</v>
      </c>
      <c r="O38" s="56"/>
      <c r="P38" s="57"/>
      <c r="Q38" s="57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5.75" customHeight="1" x14ac:dyDescent="0.3">
      <c r="A39" s="72">
        <v>2220048</v>
      </c>
      <c r="B39" s="73" t="s">
        <v>154</v>
      </c>
      <c r="C39" s="73">
        <v>790</v>
      </c>
      <c r="D39" s="73">
        <v>790</v>
      </c>
      <c r="E39" s="74" t="s">
        <v>135</v>
      </c>
      <c r="F39" s="75">
        <v>0</v>
      </c>
      <c r="G39" s="75">
        <v>0</v>
      </c>
      <c r="H39" s="84">
        <v>0</v>
      </c>
      <c r="I39" s="85">
        <v>0</v>
      </c>
      <c r="J39" s="85"/>
      <c r="K39" s="86">
        <v>0</v>
      </c>
      <c r="L39" s="88"/>
      <c r="M39" s="79">
        <f t="shared" si="0"/>
        <v>0</v>
      </c>
      <c r="N39" s="75">
        <f t="shared" si="1"/>
        <v>0</v>
      </c>
      <c r="O39" s="56"/>
      <c r="P39" s="57"/>
      <c r="Q39" s="57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5.75" customHeight="1" x14ac:dyDescent="0.3">
      <c r="A40" s="91">
        <v>2220137</v>
      </c>
      <c r="B40" s="73" t="s">
        <v>155</v>
      </c>
      <c r="C40" s="73">
        <v>1050</v>
      </c>
      <c r="D40" s="73">
        <v>1050</v>
      </c>
      <c r="E40" s="74" t="s">
        <v>135</v>
      </c>
      <c r="F40" s="75">
        <v>0</v>
      </c>
      <c r="G40" s="75">
        <v>0</v>
      </c>
      <c r="H40" s="84">
        <v>0</v>
      </c>
      <c r="I40" s="85">
        <v>0</v>
      </c>
      <c r="J40" s="85"/>
      <c r="K40" s="86">
        <v>0</v>
      </c>
      <c r="L40" s="88"/>
      <c r="M40" s="79">
        <f t="shared" si="0"/>
        <v>0</v>
      </c>
      <c r="N40" s="75">
        <f t="shared" si="1"/>
        <v>0</v>
      </c>
      <c r="O40" s="56"/>
      <c r="P40" s="57"/>
      <c r="Q40" s="57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5.75" customHeight="1" x14ac:dyDescent="0.3">
      <c r="A41" s="72">
        <v>2220049</v>
      </c>
      <c r="B41" s="73" t="s">
        <v>156</v>
      </c>
      <c r="C41" s="73">
        <v>1200</v>
      </c>
      <c r="D41" s="73">
        <v>1200</v>
      </c>
      <c r="E41" s="74" t="s">
        <v>135</v>
      </c>
      <c r="F41" s="75">
        <v>0</v>
      </c>
      <c r="G41" s="75">
        <v>0</v>
      </c>
      <c r="H41" s="84">
        <v>0</v>
      </c>
      <c r="I41" s="85">
        <v>0</v>
      </c>
      <c r="J41" s="85"/>
      <c r="K41" s="86">
        <v>0</v>
      </c>
      <c r="L41" s="88"/>
      <c r="M41" s="79">
        <f t="shared" si="0"/>
        <v>0</v>
      </c>
      <c r="N41" s="75">
        <f t="shared" si="1"/>
        <v>0</v>
      </c>
      <c r="O41" s="56"/>
      <c r="P41" s="57"/>
      <c r="Q41" s="57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5.75" customHeight="1" x14ac:dyDescent="0.3">
      <c r="A42" s="72">
        <v>2220013</v>
      </c>
      <c r="B42" s="73" t="s">
        <v>23</v>
      </c>
      <c r="C42" s="73">
        <v>20.8</v>
      </c>
      <c r="D42" s="73">
        <v>20.8</v>
      </c>
      <c r="E42" s="74" t="s">
        <v>131</v>
      </c>
      <c r="F42" s="75">
        <v>25</v>
      </c>
      <c r="G42" s="75">
        <v>98</v>
      </c>
      <c r="H42" s="84">
        <v>908</v>
      </c>
      <c r="I42" s="85">
        <v>914</v>
      </c>
      <c r="J42" s="85"/>
      <c r="K42" s="86">
        <v>914</v>
      </c>
      <c r="L42" s="79"/>
      <c r="M42" s="79">
        <f t="shared" si="0"/>
        <v>19</v>
      </c>
      <c r="N42" s="75">
        <f t="shared" si="1"/>
        <v>98</v>
      </c>
      <c r="O42" s="56"/>
      <c r="P42" s="57"/>
      <c r="Q42" s="57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5.75" customHeight="1" x14ac:dyDescent="0.3">
      <c r="A43" s="72">
        <v>2220081</v>
      </c>
      <c r="B43" s="73" t="s">
        <v>157</v>
      </c>
      <c r="C43" s="73">
        <v>1755</v>
      </c>
      <c r="D43" s="73">
        <v>1755</v>
      </c>
      <c r="E43" s="74" t="s">
        <v>133</v>
      </c>
      <c r="F43" s="75">
        <v>11</v>
      </c>
      <c r="G43" s="75">
        <v>11</v>
      </c>
      <c r="H43" s="80">
        <v>0</v>
      </c>
      <c r="I43" s="81">
        <v>0</v>
      </c>
      <c r="J43" s="81"/>
      <c r="K43" s="83">
        <v>0</v>
      </c>
      <c r="L43" s="79"/>
      <c r="M43" s="79">
        <f t="shared" si="0"/>
        <v>11</v>
      </c>
      <c r="N43" s="75">
        <f t="shared" si="1"/>
        <v>11</v>
      </c>
      <c r="O43" s="56"/>
      <c r="P43" s="57"/>
      <c r="Q43" s="57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5.75" customHeight="1" x14ac:dyDescent="0.3">
      <c r="A44" s="91">
        <v>2220136</v>
      </c>
      <c r="B44" s="73" t="s">
        <v>158</v>
      </c>
      <c r="C44" s="73">
        <v>558.4</v>
      </c>
      <c r="D44" s="73">
        <v>558.4</v>
      </c>
      <c r="E44" s="74" t="s">
        <v>133</v>
      </c>
      <c r="F44" s="75">
        <v>0</v>
      </c>
      <c r="G44" s="75">
        <v>0</v>
      </c>
      <c r="H44" s="80">
        <v>0</v>
      </c>
      <c r="I44" s="81">
        <v>0</v>
      </c>
      <c r="J44" s="81"/>
      <c r="K44" s="83">
        <v>0</v>
      </c>
      <c r="L44" s="79"/>
      <c r="M44" s="79">
        <f t="shared" si="0"/>
        <v>0</v>
      </c>
      <c r="N44" s="75">
        <f t="shared" si="1"/>
        <v>0</v>
      </c>
      <c r="O44" s="56"/>
      <c r="P44" s="57"/>
      <c r="Q44" s="57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15.75" customHeight="1" x14ac:dyDescent="0.3">
      <c r="A45" s="72">
        <v>2220091</v>
      </c>
      <c r="B45" s="73" t="s">
        <v>159</v>
      </c>
      <c r="C45" s="73">
        <v>190</v>
      </c>
      <c r="D45" s="73">
        <v>190</v>
      </c>
      <c r="E45" s="74" t="s">
        <v>137</v>
      </c>
      <c r="F45" s="75">
        <v>0</v>
      </c>
      <c r="G45" s="75">
        <v>0</v>
      </c>
      <c r="H45" s="80">
        <v>0</v>
      </c>
      <c r="I45" s="81">
        <v>0</v>
      </c>
      <c r="J45" s="81"/>
      <c r="K45" s="83">
        <v>0</v>
      </c>
      <c r="L45" s="79"/>
      <c r="M45" s="79">
        <f t="shared" si="0"/>
        <v>0</v>
      </c>
      <c r="N45" s="75">
        <f t="shared" si="1"/>
        <v>0</v>
      </c>
      <c r="O45" s="56"/>
      <c r="P45" s="57"/>
      <c r="Q45" s="57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30" x14ac:dyDescent="0.3">
      <c r="A46" s="72">
        <v>2220079</v>
      </c>
      <c r="B46" s="73" t="s">
        <v>160</v>
      </c>
      <c r="C46" s="73">
        <v>287.86</v>
      </c>
      <c r="D46" s="73">
        <v>287.86</v>
      </c>
      <c r="E46" s="74" t="s">
        <v>133</v>
      </c>
      <c r="F46" s="75">
        <v>0</v>
      </c>
      <c r="G46" s="75">
        <v>0</v>
      </c>
      <c r="H46" s="80">
        <v>0</v>
      </c>
      <c r="I46" s="81">
        <v>0</v>
      </c>
      <c r="J46" s="81"/>
      <c r="K46" s="83">
        <v>0</v>
      </c>
      <c r="L46" s="79"/>
      <c r="M46" s="79">
        <f t="shared" si="0"/>
        <v>0</v>
      </c>
      <c r="N46" s="75">
        <f t="shared" si="1"/>
        <v>0</v>
      </c>
      <c r="O46" s="56"/>
      <c r="P46" s="57"/>
      <c r="Q46" s="57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30" x14ac:dyDescent="0.3">
      <c r="A47" s="72">
        <v>2220076</v>
      </c>
      <c r="B47" s="73" t="s">
        <v>161</v>
      </c>
      <c r="C47" s="73">
        <v>164</v>
      </c>
      <c r="D47" s="73">
        <v>164</v>
      </c>
      <c r="E47" s="74" t="s">
        <v>133</v>
      </c>
      <c r="F47" s="75">
        <v>0</v>
      </c>
      <c r="G47" s="75">
        <v>0</v>
      </c>
      <c r="H47" s="80">
        <v>0</v>
      </c>
      <c r="I47" s="81">
        <v>0</v>
      </c>
      <c r="J47" s="81"/>
      <c r="K47" s="83">
        <v>0</v>
      </c>
      <c r="L47" s="79"/>
      <c r="M47" s="79">
        <f t="shared" si="0"/>
        <v>0</v>
      </c>
      <c r="N47" s="75">
        <f t="shared" si="1"/>
        <v>0</v>
      </c>
      <c r="O47" s="56"/>
      <c r="P47" s="57"/>
      <c r="Q47" s="57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5.75" customHeight="1" x14ac:dyDescent="0.3">
      <c r="A48" s="72">
        <v>2220014</v>
      </c>
      <c r="B48" s="73" t="s">
        <v>24</v>
      </c>
      <c r="C48" s="73">
        <v>59.9</v>
      </c>
      <c r="D48" s="73">
        <v>59.9</v>
      </c>
      <c r="E48" s="74" t="s">
        <v>137</v>
      </c>
      <c r="F48" s="75">
        <v>-2.2000000000000011</v>
      </c>
      <c r="G48" s="75">
        <v>1.6500000000000004</v>
      </c>
      <c r="H48" s="80">
        <v>14</v>
      </c>
      <c r="I48" s="81">
        <v>13.5</v>
      </c>
      <c r="J48" s="81"/>
      <c r="K48" s="83">
        <v>13.7</v>
      </c>
      <c r="L48" s="79"/>
      <c r="M48" s="79">
        <f t="shared" si="0"/>
        <v>-1.9000000000000004</v>
      </c>
      <c r="N48" s="75">
        <f t="shared" si="1"/>
        <v>1.4500000000000011</v>
      </c>
      <c r="O48" s="56"/>
      <c r="P48" s="57"/>
      <c r="Q48" s="57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5.75" customHeight="1" x14ac:dyDescent="0.3">
      <c r="A49" s="72">
        <v>2220015</v>
      </c>
      <c r="B49" s="73" t="s">
        <v>25</v>
      </c>
      <c r="C49" s="73">
        <v>98.9</v>
      </c>
      <c r="D49" s="73">
        <v>98.9</v>
      </c>
      <c r="E49" s="74" t="s">
        <v>137</v>
      </c>
      <c r="F49" s="75">
        <v>-0.14999999999999858</v>
      </c>
      <c r="G49" s="75">
        <v>4.0499999999999901</v>
      </c>
      <c r="H49" s="80">
        <v>36</v>
      </c>
      <c r="I49" s="81">
        <v>37.35</v>
      </c>
      <c r="J49" s="81"/>
      <c r="K49" s="83">
        <v>37.85</v>
      </c>
      <c r="L49" s="79"/>
      <c r="M49" s="79">
        <f t="shared" si="0"/>
        <v>-2</v>
      </c>
      <c r="N49" s="75">
        <f t="shared" si="1"/>
        <v>3.5499999999999901</v>
      </c>
      <c r="O49" s="56"/>
      <c r="P49" s="57"/>
      <c r="Q49" s="57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5.75" customHeight="1" x14ac:dyDescent="0.3">
      <c r="A50" s="72">
        <v>2220052</v>
      </c>
      <c r="B50" s="73" t="s">
        <v>162</v>
      </c>
      <c r="C50" s="73">
        <v>2710</v>
      </c>
      <c r="D50" s="73">
        <v>2710</v>
      </c>
      <c r="E50" s="74" t="s">
        <v>135</v>
      </c>
      <c r="F50" s="75">
        <v>4</v>
      </c>
      <c r="G50" s="75">
        <v>4</v>
      </c>
      <c r="H50" s="80">
        <v>0</v>
      </c>
      <c r="I50" s="81">
        <v>0</v>
      </c>
      <c r="J50" s="81"/>
      <c r="K50" s="83">
        <v>1</v>
      </c>
      <c r="L50" s="79"/>
      <c r="M50" s="79">
        <f t="shared" si="0"/>
        <v>3</v>
      </c>
      <c r="N50" s="75">
        <f t="shared" si="1"/>
        <v>3</v>
      </c>
      <c r="O50" s="56"/>
      <c r="P50" s="57"/>
      <c r="Q50" s="57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15.75" customHeight="1" x14ac:dyDescent="0.3">
      <c r="A51" s="72">
        <v>2220093</v>
      </c>
      <c r="B51" s="73" t="s">
        <v>163</v>
      </c>
      <c r="C51" s="73">
        <v>1091.99</v>
      </c>
      <c r="D51" s="73">
        <v>1091.99</v>
      </c>
      <c r="E51" s="74" t="s">
        <v>133</v>
      </c>
      <c r="F51" s="75">
        <v>0</v>
      </c>
      <c r="G51" s="75">
        <v>0</v>
      </c>
      <c r="H51" s="80">
        <v>0</v>
      </c>
      <c r="I51" s="81">
        <v>0</v>
      </c>
      <c r="J51" s="81"/>
      <c r="K51" s="83">
        <v>0</v>
      </c>
      <c r="L51" s="79"/>
      <c r="M51" s="79">
        <f t="shared" si="0"/>
        <v>0</v>
      </c>
      <c r="N51" s="75">
        <f t="shared" si="1"/>
        <v>0</v>
      </c>
      <c r="O51" s="56"/>
      <c r="P51" s="57"/>
      <c r="Q51" s="57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5.75" customHeight="1" x14ac:dyDescent="0.3">
      <c r="A52" s="72">
        <v>2220092</v>
      </c>
      <c r="B52" s="73" t="s">
        <v>164</v>
      </c>
      <c r="C52" s="73">
        <v>484.4</v>
      </c>
      <c r="D52" s="73">
        <v>484.4</v>
      </c>
      <c r="E52" s="74" t="s">
        <v>133</v>
      </c>
      <c r="F52" s="75">
        <v>5</v>
      </c>
      <c r="G52" s="75">
        <v>5</v>
      </c>
      <c r="H52" s="80">
        <v>0</v>
      </c>
      <c r="I52" s="81">
        <v>0</v>
      </c>
      <c r="J52" s="81"/>
      <c r="K52" s="83">
        <v>0</v>
      </c>
      <c r="L52" s="79"/>
      <c r="M52" s="79">
        <f t="shared" si="0"/>
        <v>5</v>
      </c>
      <c r="N52" s="75">
        <f t="shared" si="1"/>
        <v>5</v>
      </c>
      <c r="O52" s="56"/>
      <c r="P52" s="57"/>
      <c r="Q52" s="57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5.75" customHeight="1" x14ac:dyDescent="0.3">
      <c r="A53" s="92">
        <v>2220144</v>
      </c>
      <c r="B53" s="93" t="s">
        <v>165</v>
      </c>
      <c r="C53" s="93">
        <v>631.04</v>
      </c>
      <c r="D53" s="93">
        <v>631.04</v>
      </c>
      <c r="E53" s="94" t="s">
        <v>133</v>
      </c>
      <c r="F53" s="95">
        <v>0</v>
      </c>
      <c r="G53" s="95">
        <v>0</v>
      </c>
      <c r="H53" s="80">
        <v>0</v>
      </c>
      <c r="I53" s="81">
        <v>0</v>
      </c>
      <c r="J53" s="96"/>
      <c r="K53" s="83">
        <v>0</v>
      </c>
      <c r="L53" s="97"/>
      <c r="M53" s="79">
        <f t="shared" si="0"/>
        <v>0</v>
      </c>
      <c r="N53" s="75">
        <f t="shared" si="1"/>
        <v>0</v>
      </c>
      <c r="O53" s="56"/>
      <c r="P53" s="57"/>
      <c r="Q53" s="57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5.75" customHeight="1" x14ac:dyDescent="0.3">
      <c r="A54" s="72">
        <v>2220016</v>
      </c>
      <c r="B54" s="73" t="s">
        <v>26</v>
      </c>
      <c r="C54" s="73">
        <v>26.1</v>
      </c>
      <c r="D54" s="73">
        <v>26.1</v>
      </c>
      <c r="E54" s="74" t="s">
        <v>133</v>
      </c>
      <c r="F54" s="75">
        <v>19</v>
      </c>
      <c r="G54" s="75">
        <v>145</v>
      </c>
      <c r="H54" s="80">
        <v>1072</v>
      </c>
      <c r="I54" s="81">
        <v>1074</v>
      </c>
      <c r="J54" s="81"/>
      <c r="K54" s="83">
        <v>1100</v>
      </c>
      <c r="L54" s="79"/>
      <c r="M54" s="79">
        <f t="shared" si="0"/>
        <v>-9</v>
      </c>
      <c r="N54" s="75">
        <f t="shared" si="1"/>
        <v>119</v>
      </c>
      <c r="O54" s="56"/>
      <c r="P54" s="57"/>
      <c r="Q54" s="57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5.75" customHeight="1" x14ac:dyDescent="0.3">
      <c r="A55" s="72">
        <v>2220131</v>
      </c>
      <c r="B55" s="73" t="s">
        <v>166</v>
      </c>
      <c r="C55" s="73">
        <v>78.2</v>
      </c>
      <c r="D55" s="73">
        <v>78.2</v>
      </c>
      <c r="E55" s="74" t="s">
        <v>137</v>
      </c>
      <c r="F55" s="75">
        <v>-5.75</v>
      </c>
      <c r="G55" s="75">
        <v>2.5500000000000007</v>
      </c>
      <c r="H55" s="80">
        <v>24</v>
      </c>
      <c r="I55" s="81">
        <v>24.7</v>
      </c>
      <c r="J55" s="81"/>
      <c r="K55" s="83">
        <v>24.7</v>
      </c>
      <c r="L55" s="79"/>
      <c r="M55" s="79">
        <f t="shared" si="0"/>
        <v>-6.4499999999999993</v>
      </c>
      <c r="N55" s="75">
        <f t="shared" si="1"/>
        <v>2.5500000000000007</v>
      </c>
      <c r="O55" s="56"/>
      <c r="P55" s="57"/>
      <c r="Q55" s="57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5" customHeight="1" x14ac:dyDescent="0.3">
      <c r="A56" s="72">
        <v>2220086</v>
      </c>
      <c r="B56" s="73" t="s">
        <v>167</v>
      </c>
      <c r="C56" s="73">
        <v>440</v>
      </c>
      <c r="D56" s="73">
        <v>440</v>
      </c>
      <c r="E56" s="74" t="s">
        <v>133</v>
      </c>
      <c r="F56" s="75">
        <v>0</v>
      </c>
      <c r="G56" s="75">
        <v>0</v>
      </c>
      <c r="H56" s="80">
        <v>0</v>
      </c>
      <c r="I56" s="81">
        <v>0</v>
      </c>
      <c r="J56" s="81"/>
      <c r="K56" s="83">
        <v>0</v>
      </c>
      <c r="L56" s="79"/>
      <c r="M56" s="79">
        <f t="shared" si="0"/>
        <v>0</v>
      </c>
      <c r="N56" s="75">
        <f t="shared" si="1"/>
        <v>0</v>
      </c>
      <c r="O56" s="56"/>
      <c r="P56" s="57"/>
      <c r="Q56" s="57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5.75" customHeight="1" x14ac:dyDescent="0.3">
      <c r="A57" s="72">
        <v>2220017</v>
      </c>
      <c r="B57" s="73" t="s">
        <v>74</v>
      </c>
      <c r="C57" s="73">
        <v>135.4</v>
      </c>
      <c r="D57" s="73">
        <v>135.4</v>
      </c>
      <c r="E57" s="74" t="s">
        <v>137</v>
      </c>
      <c r="F57" s="75">
        <v>-26.060000000000059</v>
      </c>
      <c r="G57" s="75">
        <v>0</v>
      </c>
      <c r="H57" s="84">
        <v>452</v>
      </c>
      <c r="I57" s="85">
        <v>467.1</v>
      </c>
      <c r="J57" s="81"/>
      <c r="K57" s="86">
        <v>448.52</v>
      </c>
      <c r="L57" s="79"/>
      <c r="M57" s="79">
        <f t="shared" si="0"/>
        <v>-22.580000000000041</v>
      </c>
      <c r="N57" s="75">
        <f t="shared" si="1"/>
        <v>18.580000000000041</v>
      </c>
      <c r="O57" s="56"/>
      <c r="P57" s="57"/>
      <c r="Q57" s="57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5.75" customHeight="1" x14ac:dyDescent="0.3">
      <c r="A58" s="72">
        <v>2220062</v>
      </c>
      <c r="B58" s="73" t="s">
        <v>168</v>
      </c>
      <c r="C58" s="73">
        <v>850</v>
      </c>
      <c r="D58" s="73">
        <v>850</v>
      </c>
      <c r="E58" s="74" t="s">
        <v>135</v>
      </c>
      <c r="F58" s="75">
        <v>0</v>
      </c>
      <c r="G58" s="75">
        <v>0</v>
      </c>
      <c r="H58" s="84">
        <v>0</v>
      </c>
      <c r="I58" s="85">
        <v>0</v>
      </c>
      <c r="J58" s="81"/>
      <c r="K58" s="86">
        <v>0</v>
      </c>
      <c r="L58" s="79"/>
      <c r="M58" s="79">
        <f t="shared" si="0"/>
        <v>0</v>
      </c>
      <c r="N58" s="75">
        <f t="shared" si="1"/>
        <v>0</v>
      </c>
      <c r="O58" s="56"/>
      <c r="P58" s="57"/>
      <c r="Q58" s="57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5.75" customHeight="1" x14ac:dyDescent="0.3">
      <c r="A59" s="72">
        <v>2220082</v>
      </c>
      <c r="B59" s="73" t="s">
        <v>169</v>
      </c>
      <c r="C59" s="73">
        <v>376.36</v>
      </c>
      <c r="D59" s="73">
        <v>376.36</v>
      </c>
      <c r="E59" s="74" t="s">
        <v>135</v>
      </c>
      <c r="F59" s="75">
        <v>2</v>
      </c>
      <c r="G59" s="75">
        <v>2</v>
      </c>
      <c r="H59" s="84">
        <v>0</v>
      </c>
      <c r="I59" s="85">
        <v>0</v>
      </c>
      <c r="J59" s="81"/>
      <c r="K59" s="86">
        <v>0</v>
      </c>
      <c r="L59" s="79"/>
      <c r="M59" s="79">
        <f t="shared" si="0"/>
        <v>2</v>
      </c>
      <c r="N59" s="75">
        <f t="shared" si="1"/>
        <v>2</v>
      </c>
      <c r="O59" s="56"/>
      <c r="P59" s="57"/>
      <c r="Q59" s="57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5.75" customHeight="1" x14ac:dyDescent="0.3">
      <c r="A60" s="72">
        <v>2220061</v>
      </c>
      <c r="B60" s="73" t="s">
        <v>170</v>
      </c>
      <c r="C60" s="73">
        <v>2500</v>
      </c>
      <c r="D60" s="73">
        <v>2500</v>
      </c>
      <c r="E60" s="74" t="s">
        <v>135</v>
      </c>
      <c r="F60" s="75">
        <v>0</v>
      </c>
      <c r="G60" s="75">
        <v>0</v>
      </c>
      <c r="H60" s="84">
        <v>0</v>
      </c>
      <c r="I60" s="85">
        <v>0</v>
      </c>
      <c r="J60" s="81"/>
      <c r="K60" s="86">
        <v>0</v>
      </c>
      <c r="L60" s="79"/>
      <c r="M60" s="79">
        <f t="shared" si="0"/>
        <v>0</v>
      </c>
      <c r="N60" s="75">
        <f t="shared" si="1"/>
        <v>0</v>
      </c>
      <c r="O60" s="56"/>
      <c r="P60" s="57"/>
      <c r="Q60" s="57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5.75" customHeight="1" x14ac:dyDescent="0.3">
      <c r="A61" s="72">
        <v>2220051</v>
      </c>
      <c r="B61" s="73" t="s">
        <v>171</v>
      </c>
      <c r="C61" s="73">
        <v>2840</v>
      </c>
      <c r="D61" s="73">
        <v>2840</v>
      </c>
      <c r="E61" s="74" t="s">
        <v>135</v>
      </c>
      <c r="F61" s="75">
        <v>4</v>
      </c>
      <c r="G61" s="75">
        <v>4</v>
      </c>
      <c r="H61" s="84">
        <v>0</v>
      </c>
      <c r="I61" s="85">
        <v>0</v>
      </c>
      <c r="J61" s="81"/>
      <c r="K61" s="86">
        <v>1</v>
      </c>
      <c r="L61" s="79"/>
      <c r="M61" s="79">
        <f t="shared" si="0"/>
        <v>3</v>
      </c>
      <c r="N61" s="75">
        <f t="shared" si="1"/>
        <v>3</v>
      </c>
      <c r="O61" s="56"/>
      <c r="P61" s="57"/>
      <c r="Q61" s="57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5.75" customHeight="1" x14ac:dyDescent="0.3">
      <c r="A62" s="72">
        <v>2220064</v>
      </c>
      <c r="B62" s="73" t="s">
        <v>172</v>
      </c>
      <c r="C62" s="73">
        <v>2370</v>
      </c>
      <c r="D62" s="73">
        <v>2370</v>
      </c>
      <c r="E62" s="74" t="s">
        <v>135</v>
      </c>
      <c r="F62" s="75">
        <v>3</v>
      </c>
      <c r="G62" s="75">
        <v>3</v>
      </c>
      <c r="H62" s="84">
        <v>0</v>
      </c>
      <c r="I62" s="85">
        <v>0</v>
      </c>
      <c r="J62" s="81"/>
      <c r="K62" s="86">
        <v>0</v>
      </c>
      <c r="L62" s="79"/>
      <c r="M62" s="79">
        <f t="shared" si="0"/>
        <v>3</v>
      </c>
      <c r="N62" s="75">
        <f t="shared" si="1"/>
        <v>3</v>
      </c>
      <c r="O62" s="56"/>
      <c r="P62" s="57"/>
      <c r="Q62" s="57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5" customHeight="1" x14ac:dyDescent="0.3">
      <c r="A63" s="72">
        <v>2220063</v>
      </c>
      <c r="B63" s="73" t="s">
        <v>173</v>
      </c>
      <c r="C63" s="73">
        <v>2720</v>
      </c>
      <c r="D63" s="73">
        <v>2720</v>
      </c>
      <c r="E63" s="74" t="s">
        <v>135</v>
      </c>
      <c r="F63" s="75">
        <v>0</v>
      </c>
      <c r="G63" s="75">
        <v>0</v>
      </c>
      <c r="H63" s="84">
        <v>0</v>
      </c>
      <c r="I63" s="85">
        <v>0</v>
      </c>
      <c r="J63" s="81"/>
      <c r="K63" s="83">
        <v>0</v>
      </c>
      <c r="L63" s="79"/>
      <c r="M63" s="79">
        <f t="shared" si="0"/>
        <v>0</v>
      </c>
      <c r="N63" s="75">
        <f t="shared" si="1"/>
        <v>0</v>
      </c>
      <c r="O63" s="56"/>
      <c r="P63" s="57"/>
      <c r="Q63" s="57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5" customHeight="1" x14ac:dyDescent="0.3">
      <c r="A64" s="72">
        <v>2220018</v>
      </c>
      <c r="B64" s="73" t="s">
        <v>28</v>
      </c>
      <c r="C64" s="73">
        <v>44.8</v>
      </c>
      <c r="D64" s="73">
        <v>44.8</v>
      </c>
      <c r="E64" s="74" t="s">
        <v>137</v>
      </c>
      <c r="F64" s="75">
        <v>-14.220000000000027</v>
      </c>
      <c r="G64" s="75">
        <v>14.900000000000006</v>
      </c>
      <c r="H64" s="84">
        <v>156</v>
      </c>
      <c r="I64" s="85">
        <v>157.44999999999999</v>
      </c>
      <c r="J64" s="81"/>
      <c r="K64" s="83">
        <v>162.4</v>
      </c>
      <c r="L64" s="79"/>
      <c r="M64" s="79">
        <f t="shared" si="0"/>
        <v>-20.620000000000033</v>
      </c>
      <c r="N64" s="75">
        <f t="shared" si="1"/>
        <v>9.9499999999999886</v>
      </c>
      <c r="O64" s="56"/>
      <c r="P64" s="57"/>
      <c r="Q64" s="57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5" customHeight="1" x14ac:dyDescent="0.3">
      <c r="A65" s="72">
        <v>2220037</v>
      </c>
      <c r="B65" s="73" t="s">
        <v>174</v>
      </c>
      <c r="C65" s="73">
        <v>302.10000000000002</v>
      </c>
      <c r="D65" s="73">
        <v>302.10000000000002</v>
      </c>
      <c r="E65" s="74" t="s">
        <v>175</v>
      </c>
      <c r="F65" s="75">
        <v>24</v>
      </c>
      <c r="G65" s="75">
        <v>26</v>
      </c>
      <c r="H65" s="80">
        <v>20</v>
      </c>
      <c r="I65" s="81">
        <v>20</v>
      </c>
      <c r="J65" s="81"/>
      <c r="K65" s="83">
        <v>11</v>
      </c>
      <c r="L65" s="79"/>
      <c r="M65" s="79">
        <f t="shared" si="0"/>
        <v>33</v>
      </c>
      <c r="N65" s="75">
        <f t="shared" si="1"/>
        <v>35</v>
      </c>
      <c r="O65" s="56"/>
      <c r="P65" s="57"/>
      <c r="Q65" s="57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5" customHeight="1" x14ac:dyDescent="0.3">
      <c r="A66" s="72">
        <v>2220060</v>
      </c>
      <c r="B66" s="73" t="s">
        <v>176</v>
      </c>
      <c r="C66" s="73">
        <v>1610</v>
      </c>
      <c r="D66" s="73">
        <v>1610</v>
      </c>
      <c r="E66" s="74" t="s">
        <v>135</v>
      </c>
      <c r="F66" s="75">
        <v>1</v>
      </c>
      <c r="G66" s="75">
        <v>1</v>
      </c>
      <c r="H66" s="80">
        <v>0</v>
      </c>
      <c r="I66" s="81">
        <v>0</v>
      </c>
      <c r="J66" s="81"/>
      <c r="K66" s="83">
        <v>0</v>
      </c>
      <c r="L66" s="79"/>
      <c r="M66" s="79">
        <f t="shared" si="0"/>
        <v>1</v>
      </c>
      <c r="N66" s="75">
        <f t="shared" si="1"/>
        <v>1</v>
      </c>
      <c r="O66" s="56"/>
      <c r="P66" s="57"/>
      <c r="Q66" s="57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5" customHeight="1" x14ac:dyDescent="0.3">
      <c r="A67" s="72">
        <v>2220019</v>
      </c>
      <c r="B67" s="73" t="s">
        <v>29</v>
      </c>
      <c r="C67" s="73">
        <v>36.5</v>
      </c>
      <c r="D67" s="73">
        <v>36.5</v>
      </c>
      <c r="E67" s="74" t="s">
        <v>137</v>
      </c>
      <c r="F67" s="75">
        <v>-9.9000000000000057</v>
      </c>
      <c r="G67" s="75">
        <v>17.449999999999989</v>
      </c>
      <c r="H67" s="80">
        <v>168</v>
      </c>
      <c r="I67" s="81">
        <v>168.4</v>
      </c>
      <c r="J67" s="81"/>
      <c r="K67" s="83">
        <v>167.9</v>
      </c>
      <c r="L67" s="79"/>
      <c r="M67" s="79">
        <f t="shared" si="0"/>
        <v>-9.8000000000000114</v>
      </c>
      <c r="N67" s="75">
        <f t="shared" si="1"/>
        <v>17.949999999999989</v>
      </c>
      <c r="O67" s="56"/>
      <c r="P67" s="57"/>
      <c r="Q67" s="57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5.75" customHeight="1" x14ac:dyDescent="0.3">
      <c r="A68" s="72">
        <v>2220032</v>
      </c>
      <c r="B68" s="73" t="s">
        <v>177</v>
      </c>
      <c r="C68" s="73">
        <v>93.8</v>
      </c>
      <c r="D68" s="73">
        <v>93.8</v>
      </c>
      <c r="E68" s="74" t="s">
        <v>133</v>
      </c>
      <c r="F68" s="75">
        <v>16</v>
      </c>
      <c r="G68" s="75">
        <v>16</v>
      </c>
      <c r="H68" s="80">
        <v>9</v>
      </c>
      <c r="I68" s="81">
        <v>9</v>
      </c>
      <c r="J68" s="81"/>
      <c r="K68" s="83">
        <v>3</v>
      </c>
      <c r="L68" s="79"/>
      <c r="M68" s="79">
        <f t="shared" si="0"/>
        <v>22</v>
      </c>
      <c r="N68" s="75">
        <f t="shared" si="1"/>
        <v>22</v>
      </c>
      <c r="O68" s="56"/>
      <c r="P68" s="57"/>
      <c r="Q68" s="57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5.75" customHeight="1" x14ac:dyDescent="0.3">
      <c r="A69" s="72">
        <v>2220020</v>
      </c>
      <c r="B69" s="73" t="s">
        <v>30</v>
      </c>
      <c r="C69" s="73">
        <v>75</v>
      </c>
      <c r="D69" s="73">
        <v>75</v>
      </c>
      <c r="E69" s="74" t="s">
        <v>137</v>
      </c>
      <c r="F69" s="75">
        <v>1.0999999999999979</v>
      </c>
      <c r="G69" s="75">
        <v>1.7499999999999964</v>
      </c>
      <c r="H69" s="80">
        <v>14.8</v>
      </c>
      <c r="I69" s="81">
        <v>15.5</v>
      </c>
      <c r="J69" s="81"/>
      <c r="K69" s="83">
        <v>15.205</v>
      </c>
      <c r="L69" s="79"/>
      <c r="M69" s="79">
        <f t="shared" si="0"/>
        <v>0.69499999999999851</v>
      </c>
      <c r="N69" s="75">
        <f t="shared" si="1"/>
        <v>2.0449999999999964</v>
      </c>
      <c r="O69" s="56"/>
      <c r="P69" s="57"/>
      <c r="Q69" s="57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30" x14ac:dyDescent="0.3">
      <c r="A70" s="72">
        <v>2220055</v>
      </c>
      <c r="B70" s="73" t="s">
        <v>178</v>
      </c>
      <c r="C70" s="73">
        <v>1120</v>
      </c>
      <c r="D70" s="73">
        <v>1120</v>
      </c>
      <c r="E70" s="74" t="s">
        <v>135</v>
      </c>
      <c r="F70" s="75">
        <v>5</v>
      </c>
      <c r="G70" s="75">
        <v>5</v>
      </c>
      <c r="H70" s="80">
        <v>1</v>
      </c>
      <c r="I70" s="81">
        <v>1</v>
      </c>
      <c r="J70" s="81"/>
      <c r="K70" s="83">
        <v>3</v>
      </c>
      <c r="L70" s="79"/>
      <c r="M70" s="79">
        <f t="shared" si="0"/>
        <v>3</v>
      </c>
      <c r="N70" s="75">
        <f t="shared" si="1"/>
        <v>3</v>
      </c>
      <c r="O70" s="56"/>
      <c r="P70" s="57"/>
      <c r="Q70" s="57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5.75" customHeight="1" x14ac:dyDescent="0.3">
      <c r="A71" s="92">
        <v>2220067</v>
      </c>
      <c r="B71" s="73" t="s">
        <v>179</v>
      </c>
      <c r="C71" s="73">
        <v>565.5</v>
      </c>
      <c r="D71" s="73">
        <v>565.5</v>
      </c>
      <c r="E71" s="74" t="s">
        <v>133</v>
      </c>
      <c r="F71" s="75">
        <v>5</v>
      </c>
      <c r="G71" s="75">
        <v>5</v>
      </c>
      <c r="H71" s="80">
        <v>0</v>
      </c>
      <c r="I71" s="81">
        <v>0</v>
      </c>
      <c r="J71" s="81"/>
      <c r="K71" s="83">
        <v>2</v>
      </c>
      <c r="L71" s="79"/>
      <c r="M71" s="79">
        <f t="shared" si="0"/>
        <v>3</v>
      </c>
      <c r="N71" s="75">
        <f t="shared" si="1"/>
        <v>3</v>
      </c>
      <c r="O71" s="56"/>
      <c r="P71" s="57"/>
      <c r="Q71" s="57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5.75" customHeight="1" x14ac:dyDescent="0.3">
      <c r="A72" s="92">
        <v>2220073</v>
      </c>
      <c r="B72" s="73" t="s">
        <v>180</v>
      </c>
      <c r="C72" s="73">
        <v>306.82</v>
      </c>
      <c r="D72" s="73">
        <v>306.82</v>
      </c>
      <c r="E72" s="74" t="s">
        <v>133</v>
      </c>
      <c r="F72" s="75">
        <v>5</v>
      </c>
      <c r="G72" s="75">
        <v>5</v>
      </c>
      <c r="H72" s="84">
        <v>0</v>
      </c>
      <c r="I72" s="85">
        <v>0</v>
      </c>
      <c r="J72" s="85"/>
      <c r="K72" s="86">
        <v>0</v>
      </c>
      <c r="L72" s="79"/>
      <c r="M72" s="79">
        <f t="shared" si="0"/>
        <v>5</v>
      </c>
      <c r="N72" s="75">
        <f t="shared" si="1"/>
        <v>5</v>
      </c>
      <c r="O72" s="56"/>
      <c r="P72" s="57"/>
      <c r="Q72" s="57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5.75" customHeight="1" x14ac:dyDescent="0.3">
      <c r="A73" s="92">
        <v>2220141</v>
      </c>
      <c r="B73" s="73" t="s">
        <v>181</v>
      </c>
      <c r="C73" s="73">
        <v>700</v>
      </c>
      <c r="D73" s="73">
        <v>700</v>
      </c>
      <c r="E73" s="74" t="s">
        <v>135</v>
      </c>
      <c r="F73" s="75">
        <v>-1</v>
      </c>
      <c r="G73" s="75">
        <v>6</v>
      </c>
      <c r="H73" s="84">
        <v>25</v>
      </c>
      <c r="I73" s="85">
        <v>25</v>
      </c>
      <c r="J73" s="85"/>
      <c r="K73" s="86">
        <v>25</v>
      </c>
      <c r="L73" s="88"/>
      <c r="M73" s="79">
        <f t="shared" ref="M73:M115" si="2">F73+H73-K73</f>
        <v>-1</v>
      </c>
      <c r="N73" s="75">
        <f t="shared" ref="N73:N115" si="3">G73+I73-K73</f>
        <v>6</v>
      </c>
      <c r="O73" s="56"/>
      <c r="P73" s="57"/>
      <c r="Q73" s="57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5.75" customHeight="1" x14ac:dyDescent="0.3">
      <c r="A74" s="92">
        <v>2220056</v>
      </c>
      <c r="B74" s="73" t="s">
        <v>182</v>
      </c>
      <c r="C74" s="73">
        <v>800</v>
      </c>
      <c r="D74" s="73">
        <v>800</v>
      </c>
      <c r="E74" s="74" t="s">
        <v>135</v>
      </c>
      <c r="F74" s="75">
        <v>0</v>
      </c>
      <c r="G74" s="75">
        <v>0</v>
      </c>
      <c r="H74" s="84">
        <v>0</v>
      </c>
      <c r="I74" s="85">
        <v>0</v>
      </c>
      <c r="J74" s="85"/>
      <c r="K74" s="86">
        <v>0</v>
      </c>
      <c r="L74" s="88"/>
      <c r="M74" s="79">
        <f t="shared" si="2"/>
        <v>0</v>
      </c>
      <c r="N74" s="75">
        <f t="shared" si="3"/>
        <v>0</v>
      </c>
      <c r="O74" s="56"/>
      <c r="P74" s="57"/>
      <c r="Q74" s="57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27.75" customHeight="1" x14ac:dyDescent="0.3">
      <c r="A75" s="92">
        <v>2220142</v>
      </c>
      <c r="B75" s="73" t="s">
        <v>183</v>
      </c>
      <c r="C75" s="73">
        <v>650</v>
      </c>
      <c r="D75" s="73">
        <v>650</v>
      </c>
      <c r="E75" s="74" t="s">
        <v>135</v>
      </c>
      <c r="F75" s="75">
        <v>0</v>
      </c>
      <c r="G75" s="75">
        <v>0</v>
      </c>
      <c r="H75" s="84">
        <v>0</v>
      </c>
      <c r="I75" s="85">
        <v>0</v>
      </c>
      <c r="J75" s="85"/>
      <c r="K75" s="86">
        <v>0</v>
      </c>
      <c r="L75" s="88"/>
      <c r="M75" s="79">
        <f t="shared" si="2"/>
        <v>0</v>
      </c>
      <c r="N75" s="75">
        <f t="shared" si="3"/>
        <v>0</v>
      </c>
      <c r="O75" s="56"/>
      <c r="P75" s="57"/>
      <c r="Q75" s="57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5.75" customHeight="1" x14ac:dyDescent="0.3">
      <c r="A76" s="92">
        <v>2220075</v>
      </c>
      <c r="B76" s="73" t="s">
        <v>184</v>
      </c>
      <c r="C76" s="73">
        <v>698.4</v>
      </c>
      <c r="D76" s="73">
        <v>698.4</v>
      </c>
      <c r="E76" s="74" t="s">
        <v>135</v>
      </c>
      <c r="F76" s="75">
        <v>0</v>
      </c>
      <c r="G76" s="75">
        <v>0</v>
      </c>
      <c r="H76" s="80">
        <v>0</v>
      </c>
      <c r="I76" s="81">
        <v>0</v>
      </c>
      <c r="J76" s="81"/>
      <c r="K76" s="83">
        <v>0</v>
      </c>
      <c r="L76" s="79"/>
      <c r="M76" s="79">
        <f t="shared" si="2"/>
        <v>0</v>
      </c>
      <c r="N76" s="75">
        <f t="shared" si="3"/>
        <v>0</v>
      </c>
      <c r="O76" s="56"/>
      <c r="P76" s="57"/>
      <c r="Q76" s="57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5.75" customHeight="1" x14ac:dyDescent="0.3">
      <c r="A77" s="92">
        <v>2220034</v>
      </c>
      <c r="B77" s="73" t="s">
        <v>185</v>
      </c>
      <c r="C77" s="73">
        <v>62.5</v>
      </c>
      <c r="D77" s="73">
        <v>62.5</v>
      </c>
      <c r="E77" s="74" t="s">
        <v>133</v>
      </c>
      <c r="F77" s="75">
        <v>9</v>
      </c>
      <c r="G77" s="75">
        <v>9</v>
      </c>
      <c r="H77" s="80">
        <v>28</v>
      </c>
      <c r="I77" s="81">
        <v>28</v>
      </c>
      <c r="J77" s="81"/>
      <c r="K77" s="83">
        <v>28</v>
      </c>
      <c r="L77" s="79"/>
      <c r="M77" s="79">
        <f t="shared" si="2"/>
        <v>9</v>
      </c>
      <c r="N77" s="75">
        <f t="shared" si="3"/>
        <v>9</v>
      </c>
      <c r="O77" s="56"/>
      <c r="P77" s="57"/>
      <c r="Q77" s="57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5.75" customHeight="1" x14ac:dyDescent="0.3">
      <c r="A78" s="92">
        <v>2220033</v>
      </c>
      <c r="B78" s="73" t="s">
        <v>186</v>
      </c>
      <c r="C78" s="73">
        <v>72.400000000000006</v>
      </c>
      <c r="D78" s="73">
        <v>72.400000000000006</v>
      </c>
      <c r="E78" s="74" t="s">
        <v>133</v>
      </c>
      <c r="F78" s="75">
        <v>4</v>
      </c>
      <c r="G78" s="75">
        <v>6</v>
      </c>
      <c r="H78" s="80">
        <v>28</v>
      </c>
      <c r="I78" s="81">
        <v>28</v>
      </c>
      <c r="J78" s="81"/>
      <c r="K78" s="83">
        <v>28</v>
      </c>
      <c r="L78" s="79"/>
      <c r="M78" s="79">
        <f t="shared" si="2"/>
        <v>4</v>
      </c>
      <c r="N78" s="75">
        <f t="shared" si="3"/>
        <v>6</v>
      </c>
      <c r="O78" s="56"/>
      <c r="P78" s="57"/>
      <c r="Q78" s="57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31.5" customHeight="1" x14ac:dyDescent="0.3">
      <c r="A79" s="92">
        <v>2220021</v>
      </c>
      <c r="B79" s="73" t="s">
        <v>31</v>
      </c>
      <c r="C79" s="73">
        <v>41.2</v>
      </c>
      <c r="D79" s="73">
        <v>41.2</v>
      </c>
      <c r="E79" s="74" t="s">
        <v>137</v>
      </c>
      <c r="F79" s="75">
        <v>-10.040000000000035</v>
      </c>
      <c r="G79" s="75">
        <v>11.649999999999991</v>
      </c>
      <c r="H79" s="80">
        <v>118</v>
      </c>
      <c r="I79" s="81">
        <v>116.15</v>
      </c>
      <c r="J79" s="81"/>
      <c r="K79" s="83">
        <v>115.5</v>
      </c>
      <c r="L79" s="79"/>
      <c r="M79" s="79">
        <f t="shared" si="2"/>
        <v>-7.5400000000000347</v>
      </c>
      <c r="N79" s="75">
        <f t="shared" si="3"/>
        <v>12.299999999999997</v>
      </c>
      <c r="O79" s="56"/>
      <c r="P79" s="57"/>
      <c r="Q79" s="57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5.75" customHeight="1" x14ac:dyDescent="0.3">
      <c r="A80" s="98">
        <v>2220147</v>
      </c>
      <c r="B80" s="99" t="s">
        <v>187</v>
      </c>
      <c r="C80" s="99">
        <v>12</v>
      </c>
      <c r="D80" s="99">
        <v>12</v>
      </c>
      <c r="E80" s="100" t="s">
        <v>133</v>
      </c>
      <c r="F80" s="101">
        <v>0</v>
      </c>
      <c r="G80" s="102">
        <v>0</v>
      </c>
      <c r="H80" s="103">
        <v>0</v>
      </c>
      <c r="I80" s="104">
        <v>0</v>
      </c>
      <c r="J80" s="104"/>
      <c r="K80" s="83">
        <v>0</v>
      </c>
      <c r="L80" s="105"/>
      <c r="M80" s="79">
        <f t="shared" si="2"/>
        <v>0</v>
      </c>
      <c r="N80" s="75">
        <f t="shared" si="3"/>
        <v>0</v>
      </c>
      <c r="O80" s="56"/>
      <c r="P80" s="57"/>
      <c r="Q80" s="57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5.75" customHeight="1" x14ac:dyDescent="0.3">
      <c r="A81" s="92">
        <v>2220022</v>
      </c>
      <c r="B81" s="73" t="s">
        <v>78</v>
      </c>
      <c r="C81" s="73">
        <v>140.69999999999999</v>
      </c>
      <c r="D81" s="73">
        <v>140.69999999999999</v>
      </c>
      <c r="E81" s="74" t="s">
        <v>137</v>
      </c>
      <c r="F81" s="75">
        <v>-1.3100000000000023</v>
      </c>
      <c r="G81" s="75">
        <v>-0.60000000000000142</v>
      </c>
      <c r="H81" s="80">
        <v>16</v>
      </c>
      <c r="I81" s="81">
        <v>16.149999999999999</v>
      </c>
      <c r="J81" s="81"/>
      <c r="K81" s="83">
        <v>14.7</v>
      </c>
      <c r="L81" s="79"/>
      <c r="M81" s="79">
        <f t="shared" si="2"/>
        <v>-1.0000000000001563E-2</v>
      </c>
      <c r="N81" s="75">
        <f t="shared" si="3"/>
        <v>0.84999999999999787</v>
      </c>
      <c r="O81" s="56"/>
      <c r="P81" s="57"/>
      <c r="Q81" s="57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5.75" customHeight="1" x14ac:dyDescent="0.3">
      <c r="A82" s="92">
        <v>2220023</v>
      </c>
      <c r="B82" s="73" t="s">
        <v>32</v>
      </c>
      <c r="C82" s="73">
        <v>18.2</v>
      </c>
      <c r="D82" s="73">
        <v>18.2</v>
      </c>
      <c r="E82" s="74" t="s">
        <v>131</v>
      </c>
      <c r="F82" s="75">
        <v>1</v>
      </c>
      <c r="G82" s="75">
        <v>3</v>
      </c>
      <c r="H82" s="80">
        <v>28</v>
      </c>
      <c r="I82" s="81">
        <v>29</v>
      </c>
      <c r="J82" s="81"/>
      <c r="K82" s="83">
        <v>29</v>
      </c>
      <c r="L82" s="79"/>
      <c r="M82" s="79">
        <f t="shared" si="2"/>
        <v>0</v>
      </c>
      <c r="N82" s="75">
        <f t="shared" si="3"/>
        <v>3</v>
      </c>
      <c r="O82" s="56"/>
      <c r="P82" s="57"/>
      <c r="Q82" s="57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5.75" customHeight="1" x14ac:dyDescent="0.3">
      <c r="A83" s="92">
        <v>2220024</v>
      </c>
      <c r="B83" s="73" t="s">
        <v>33</v>
      </c>
      <c r="C83" s="73">
        <v>31.3</v>
      </c>
      <c r="D83" s="73">
        <v>31.3</v>
      </c>
      <c r="E83" s="74" t="s">
        <v>137</v>
      </c>
      <c r="F83" s="75">
        <v>31.009999999999991</v>
      </c>
      <c r="G83" s="75">
        <v>23</v>
      </c>
      <c r="H83" s="80">
        <v>224</v>
      </c>
      <c r="I83" s="81">
        <v>212.85</v>
      </c>
      <c r="J83" s="81"/>
      <c r="K83" s="83">
        <v>211.9</v>
      </c>
      <c r="L83" s="79"/>
      <c r="M83" s="79">
        <f t="shared" si="2"/>
        <v>43.109999999999985</v>
      </c>
      <c r="N83" s="75">
        <f t="shared" si="3"/>
        <v>23.949999999999989</v>
      </c>
      <c r="O83" s="56"/>
      <c r="P83" s="57"/>
      <c r="Q83" s="57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30" x14ac:dyDescent="0.3">
      <c r="A84" s="92">
        <v>2220074</v>
      </c>
      <c r="B84" s="73" t="s">
        <v>188</v>
      </c>
      <c r="C84" s="73">
        <v>312.25</v>
      </c>
      <c r="D84" s="73">
        <v>312.25</v>
      </c>
      <c r="E84" s="74" t="s">
        <v>133</v>
      </c>
      <c r="F84" s="75">
        <v>0</v>
      </c>
      <c r="G84" s="75">
        <v>0</v>
      </c>
      <c r="H84" s="80">
        <v>0</v>
      </c>
      <c r="I84" s="81">
        <v>0</v>
      </c>
      <c r="J84" s="81"/>
      <c r="K84" s="86">
        <v>0</v>
      </c>
      <c r="L84" s="79"/>
      <c r="M84" s="79">
        <f t="shared" si="2"/>
        <v>0</v>
      </c>
      <c r="N84" s="75">
        <f t="shared" si="3"/>
        <v>0</v>
      </c>
      <c r="O84" s="56"/>
      <c r="P84" s="57"/>
      <c r="Q84" s="57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5.75" customHeight="1" x14ac:dyDescent="0.3">
      <c r="A85" s="92">
        <v>2220043</v>
      </c>
      <c r="B85" s="73" t="s">
        <v>189</v>
      </c>
      <c r="C85" s="73">
        <v>125</v>
      </c>
      <c r="D85" s="73">
        <v>125</v>
      </c>
      <c r="E85" s="74" t="s">
        <v>137</v>
      </c>
      <c r="F85" s="75">
        <v>-6.1399999999998727</v>
      </c>
      <c r="G85" s="75">
        <v>23.0300000000002</v>
      </c>
      <c r="H85" s="80">
        <v>1347</v>
      </c>
      <c r="I85" s="81">
        <v>1350.85</v>
      </c>
      <c r="J85" s="81"/>
      <c r="K85" s="83">
        <v>1267.47</v>
      </c>
      <c r="L85" s="79"/>
      <c r="M85" s="79">
        <f t="shared" si="2"/>
        <v>73.3900000000001</v>
      </c>
      <c r="N85" s="75">
        <f t="shared" si="3"/>
        <v>106.41000000000008</v>
      </c>
      <c r="O85" s="56"/>
      <c r="P85" s="57"/>
      <c r="Q85" s="57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5.75" customHeight="1" x14ac:dyDescent="0.3">
      <c r="A86" s="92">
        <v>2220083</v>
      </c>
      <c r="B86" s="73" t="s">
        <v>190</v>
      </c>
      <c r="C86" s="73">
        <v>55</v>
      </c>
      <c r="D86" s="73">
        <v>55</v>
      </c>
      <c r="E86" s="74" t="s">
        <v>137</v>
      </c>
      <c r="F86" s="75">
        <v>0</v>
      </c>
      <c r="G86" s="75">
        <v>0</v>
      </c>
      <c r="H86" s="84">
        <v>0</v>
      </c>
      <c r="I86" s="85">
        <v>0</v>
      </c>
      <c r="J86" s="85"/>
      <c r="K86" s="86">
        <v>0</v>
      </c>
      <c r="L86" s="88"/>
      <c r="M86" s="79">
        <f t="shared" si="2"/>
        <v>0</v>
      </c>
      <c r="N86" s="75">
        <f t="shared" si="3"/>
        <v>0</v>
      </c>
      <c r="O86" s="56"/>
      <c r="P86" s="57"/>
      <c r="Q86" s="57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5.75" customHeight="1" x14ac:dyDescent="0.3">
      <c r="A87" s="92">
        <v>2220143</v>
      </c>
      <c r="B87" s="73" t="s">
        <v>191</v>
      </c>
      <c r="C87" s="73">
        <v>590</v>
      </c>
      <c r="D87" s="73">
        <v>590</v>
      </c>
      <c r="E87" s="74" t="s">
        <v>135</v>
      </c>
      <c r="F87" s="75">
        <v>1</v>
      </c>
      <c r="G87" s="75">
        <v>15</v>
      </c>
      <c r="H87" s="84">
        <v>46</v>
      </c>
      <c r="I87" s="85">
        <v>46</v>
      </c>
      <c r="J87" s="85"/>
      <c r="K87" s="86">
        <v>40</v>
      </c>
      <c r="L87" s="88"/>
      <c r="M87" s="79">
        <f t="shared" si="2"/>
        <v>7</v>
      </c>
      <c r="N87" s="75">
        <f t="shared" si="3"/>
        <v>21</v>
      </c>
      <c r="O87" s="56"/>
      <c r="P87" s="57"/>
      <c r="Q87" s="57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5.75" customHeight="1" x14ac:dyDescent="0.3">
      <c r="A88" s="72">
        <v>2220057</v>
      </c>
      <c r="B88" s="73" t="s">
        <v>192</v>
      </c>
      <c r="C88" s="73">
        <v>650</v>
      </c>
      <c r="D88" s="73">
        <v>650</v>
      </c>
      <c r="E88" s="74" t="s">
        <v>135</v>
      </c>
      <c r="F88" s="75">
        <v>0</v>
      </c>
      <c r="G88" s="75">
        <v>0</v>
      </c>
      <c r="H88" s="80">
        <v>0</v>
      </c>
      <c r="I88" s="81">
        <v>0</v>
      </c>
      <c r="J88" s="81"/>
      <c r="K88" s="83">
        <v>0</v>
      </c>
      <c r="L88" s="79"/>
      <c r="M88" s="79">
        <f t="shared" si="2"/>
        <v>0</v>
      </c>
      <c r="N88" s="75">
        <f t="shared" si="3"/>
        <v>0</v>
      </c>
      <c r="O88" s="56"/>
      <c r="P88" s="57"/>
      <c r="Q88" s="57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5" customHeight="1" x14ac:dyDescent="0.3">
      <c r="A89" s="72">
        <v>2220077</v>
      </c>
      <c r="B89" s="73" t="s">
        <v>193</v>
      </c>
      <c r="C89" s="73">
        <v>156.80000000000001</v>
      </c>
      <c r="D89" s="73">
        <v>156.80000000000001</v>
      </c>
      <c r="E89" s="74" t="s">
        <v>133</v>
      </c>
      <c r="F89" s="75">
        <v>1</v>
      </c>
      <c r="G89" s="75">
        <v>1</v>
      </c>
      <c r="H89" s="80">
        <v>0</v>
      </c>
      <c r="I89" s="81">
        <v>0</v>
      </c>
      <c r="J89" s="81"/>
      <c r="K89" s="83">
        <v>0</v>
      </c>
      <c r="L89" s="79"/>
      <c r="M89" s="79">
        <f t="shared" si="2"/>
        <v>1</v>
      </c>
      <c r="N89" s="75">
        <f t="shared" si="3"/>
        <v>1</v>
      </c>
      <c r="O89" s="56"/>
      <c r="P89" s="57"/>
      <c r="Q89" s="57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5.75" customHeight="1" x14ac:dyDescent="0.3">
      <c r="A90" s="72">
        <v>2220058</v>
      </c>
      <c r="B90" s="73" t="s">
        <v>194</v>
      </c>
      <c r="C90" s="73">
        <v>730</v>
      </c>
      <c r="D90" s="73">
        <v>730</v>
      </c>
      <c r="E90" s="74" t="s">
        <v>135</v>
      </c>
      <c r="F90" s="75">
        <v>2</v>
      </c>
      <c r="G90" s="75">
        <v>2</v>
      </c>
      <c r="H90" s="80">
        <v>4</v>
      </c>
      <c r="I90" s="81">
        <v>4</v>
      </c>
      <c r="J90" s="81"/>
      <c r="K90" s="83">
        <v>4</v>
      </c>
      <c r="L90" s="79"/>
      <c r="M90" s="79">
        <f t="shared" si="2"/>
        <v>2</v>
      </c>
      <c r="N90" s="75">
        <f t="shared" si="3"/>
        <v>2</v>
      </c>
      <c r="O90" s="56"/>
      <c r="P90" s="57"/>
      <c r="Q90" s="57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5.75" customHeight="1" x14ac:dyDescent="0.3">
      <c r="A91" s="72">
        <v>2220133</v>
      </c>
      <c r="B91" s="73" t="s">
        <v>195</v>
      </c>
      <c r="C91" s="73">
        <v>215.18</v>
      </c>
      <c r="D91" s="73">
        <v>215.18</v>
      </c>
      <c r="E91" s="74" t="s">
        <v>133</v>
      </c>
      <c r="F91" s="75">
        <v>0</v>
      </c>
      <c r="G91" s="75">
        <v>0</v>
      </c>
      <c r="H91" s="80">
        <v>0</v>
      </c>
      <c r="I91" s="81">
        <v>0</v>
      </c>
      <c r="J91" s="81"/>
      <c r="K91" s="83">
        <v>0</v>
      </c>
      <c r="L91" s="79"/>
      <c r="M91" s="79">
        <f t="shared" si="2"/>
        <v>0</v>
      </c>
      <c r="N91" s="75">
        <f t="shared" si="3"/>
        <v>0</v>
      </c>
      <c r="O91" s="56"/>
      <c r="P91" s="57"/>
      <c r="Q91" s="57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5.75" customHeight="1" x14ac:dyDescent="0.3">
      <c r="A92" s="72">
        <v>2220088</v>
      </c>
      <c r="B92" s="73" t="s">
        <v>196</v>
      </c>
      <c r="C92" s="73">
        <v>160</v>
      </c>
      <c r="D92" s="73">
        <v>160</v>
      </c>
      <c r="E92" s="74" t="s">
        <v>137</v>
      </c>
      <c r="F92" s="75">
        <v>0</v>
      </c>
      <c r="G92" s="75">
        <v>0</v>
      </c>
      <c r="H92" s="80">
        <v>0</v>
      </c>
      <c r="I92" s="81">
        <v>0</v>
      </c>
      <c r="J92" s="81"/>
      <c r="K92" s="83">
        <v>0</v>
      </c>
      <c r="L92" s="79"/>
      <c r="M92" s="79">
        <f t="shared" si="2"/>
        <v>0</v>
      </c>
      <c r="N92" s="75">
        <f t="shared" si="3"/>
        <v>0</v>
      </c>
      <c r="O92" s="56"/>
      <c r="P92" s="57"/>
      <c r="Q92" s="57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5.75" customHeight="1" x14ac:dyDescent="0.3">
      <c r="A93" s="72">
        <v>2220087</v>
      </c>
      <c r="B93" s="73" t="s">
        <v>197</v>
      </c>
      <c r="C93" s="73">
        <v>830</v>
      </c>
      <c r="D93" s="73">
        <v>830</v>
      </c>
      <c r="E93" s="74" t="s">
        <v>133</v>
      </c>
      <c r="F93" s="75">
        <v>0</v>
      </c>
      <c r="G93" s="75">
        <v>0</v>
      </c>
      <c r="H93" s="80">
        <v>0</v>
      </c>
      <c r="I93" s="81">
        <v>0</v>
      </c>
      <c r="J93" s="81"/>
      <c r="K93" s="83">
        <v>0</v>
      </c>
      <c r="L93" s="79"/>
      <c r="M93" s="79">
        <f t="shared" si="2"/>
        <v>0</v>
      </c>
      <c r="N93" s="75">
        <f t="shared" si="3"/>
        <v>0</v>
      </c>
      <c r="O93" s="56"/>
      <c r="P93" s="57"/>
      <c r="Q93" s="57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5.75" customHeight="1" x14ac:dyDescent="0.3">
      <c r="A94" s="72">
        <v>2220132</v>
      </c>
      <c r="B94" s="73" t="s">
        <v>198</v>
      </c>
      <c r="C94" s="73">
        <v>239</v>
      </c>
      <c r="D94" s="73">
        <v>239</v>
      </c>
      <c r="E94" s="74" t="s">
        <v>135</v>
      </c>
      <c r="F94" s="75">
        <v>0</v>
      </c>
      <c r="G94" s="75">
        <v>0</v>
      </c>
      <c r="H94" s="80">
        <v>0</v>
      </c>
      <c r="I94" s="81">
        <v>0</v>
      </c>
      <c r="J94" s="81"/>
      <c r="K94" s="83">
        <v>0</v>
      </c>
      <c r="L94" s="79"/>
      <c r="M94" s="79">
        <f t="shared" si="2"/>
        <v>0</v>
      </c>
      <c r="N94" s="75">
        <f t="shared" si="3"/>
        <v>0</v>
      </c>
      <c r="O94" s="56"/>
      <c r="P94" s="57"/>
      <c r="Q94" s="57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5.75" customHeight="1" x14ac:dyDescent="0.3">
      <c r="A95" s="72"/>
      <c r="B95" s="73" t="s">
        <v>199</v>
      </c>
      <c r="C95" s="73"/>
      <c r="D95" s="73"/>
      <c r="E95" s="74" t="s">
        <v>135</v>
      </c>
      <c r="F95" s="75">
        <v>0</v>
      </c>
      <c r="G95" s="75">
        <v>0</v>
      </c>
      <c r="H95" s="80">
        <v>0</v>
      </c>
      <c r="I95" s="81">
        <v>0</v>
      </c>
      <c r="J95" s="81"/>
      <c r="K95" s="83">
        <v>0</v>
      </c>
      <c r="L95" s="79"/>
      <c r="M95" s="79">
        <f t="shared" si="2"/>
        <v>0</v>
      </c>
      <c r="N95" s="75">
        <f t="shared" si="3"/>
        <v>0</v>
      </c>
      <c r="O95" s="56"/>
      <c r="P95" s="57"/>
      <c r="Q95" s="57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5.75" customHeight="1" x14ac:dyDescent="0.3">
      <c r="A96" s="72">
        <v>2220025</v>
      </c>
      <c r="B96" s="73" t="s">
        <v>34</v>
      </c>
      <c r="C96" s="73">
        <v>19.2</v>
      </c>
      <c r="D96" s="73">
        <v>19.2</v>
      </c>
      <c r="E96" s="74" t="s">
        <v>137</v>
      </c>
      <c r="F96" s="75">
        <v>-36.899999999999977</v>
      </c>
      <c r="G96" s="75">
        <v>39.350000000000023</v>
      </c>
      <c r="H96" s="80">
        <v>384</v>
      </c>
      <c r="I96" s="81">
        <v>397.1</v>
      </c>
      <c r="J96" s="81"/>
      <c r="K96" s="83">
        <v>392.75</v>
      </c>
      <c r="L96" s="79"/>
      <c r="M96" s="79">
        <f t="shared" si="2"/>
        <v>-45.649999999999977</v>
      </c>
      <c r="N96" s="75">
        <f t="shared" si="3"/>
        <v>43.700000000000045</v>
      </c>
      <c r="O96" s="56"/>
      <c r="P96" s="57"/>
      <c r="Q96" s="57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5.75" customHeight="1" x14ac:dyDescent="0.3">
      <c r="A97" s="72">
        <v>2220059</v>
      </c>
      <c r="B97" s="73" t="s">
        <v>200</v>
      </c>
      <c r="C97" s="73">
        <v>1310</v>
      </c>
      <c r="D97" s="73">
        <v>1310</v>
      </c>
      <c r="E97" s="74" t="s">
        <v>135</v>
      </c>
      <c r="F97" s="75">
        <v>3</v>
      </c>
      <c r="G97" s="75">
        <v>3</v>
      </c>
      <c r="H97" s="80">
        <v>1</v>
      </c>
      <c r="I97" s="81">
        <v>1</v>
      </c>
      <c r="J97" s="81"/>
      <c r="K97" s="83">
        <v>3</v>
      </c>
      <c r="L97" s="79"/>
      <c r="M97" s="79">
        <f t="shared" si="2"/>
        <v>1</v>
      </c>
      <c r="N97" s="75">
        <f t="shared" si="3"/>
        <v>1</v>
      </c>
      <c r="O97" s="56"/>
      <c r="P97" s="57"/>
      <c r="Q97" s="57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5.75" customHeight="1" x14ac:dyDescent="0.3">
      <c r="A98" s="72">
        <v>2220071</v>
      </c>
      <c r="B98" s="73" t="s">
        <v>201</v>
      </c>
      <c r="C98" s="73">
        <v>371</v>
      </c>
      <c r="D98" s="73">
        <v>371</v>
      </c>
      <c r="E98" s="74" t="s">
        <v>133</v>
      </c>
      <c r="F98" s="75">
        <v>0</v>
      </c>
      <c r="G98" s="75">
        <v>0</v>
      </c>
      <c r="H98" s="80">
        <v>0</v>
      </c>
      <c r="I98" s="81">
        <v>0</v>
      </c>
      <c r="J98" s="81"/>
      <c r="K98" s="83">
        <v>0</v>
      </c>
      <c r="L98" s="79"/>
      <c r="M98" s="79">
        <f t="shared" si="2"/>
        <v>0</v>
      </c>
      <c r="N98" s="75">
        <f t="shared" si="3"/>
        <v>0</v>
      </c>
      <c r="O98" s="56"/>
      <c r="P98" s="57"/>
      <c r="Q98" s="57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5.75" customHeight="1" x14ac:dyDescent="0.3">
      <c r="A99" s="72">
        <v>2220069</v>
      </c>
      <c r="B99" s="73" t="s">
        <v>113</v>
      </c>
      <c r="C99" s="73">
        <v>256</v>
      </c>
      <c r="D99" s="73">
        <v>256</v>
      </c>
      <c r="E99" s="74" t="s">
        <v>133</v>
      </c>
      <c r="F99" s="75">
        <v>8</v>
      </c>
      <c r="G99" s="75">
        <v>8</v>
      </c>
      <c r="H99" s="84">
        <v>0</v>
      </c>
      <c r="I99" s="85">
        <v>0</v>
      </c>
      <c r="J99" s="81"/>
      <c r="K99" s="83">
        <v>3</v>
      </c>
      <c r="L99" s="79"/>
      <c r="M99" s="79">
        <f t="shared" si="2"/>
        <v>5</v>
      </c>
      <c r="N99" s="75">
        <f t="shared" si="3"/>
        <v>5</v>
      </c>
      <c r="O99" s="56"/>
      <c r="P99" s="57"/>
      <c r="Q99" s="57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5.75" customHeight="1" x14ac:dyDescent="0.3">
      <c r="A100" s="72">
        <v>2220078</v>
      </c>
      <c r="B100" s="73" t="s">
        <v>202</v>
      </c>
      <c r="C100" s="73">
        <v>85</v>
      </c>
      <c r="D100" s="73">
        <v>85</v>
      </c>
      <c r="E100" s="74" t="s">
        <v>133</v>
      </c>
      <c r="F100" s="75">
        <v>0</v>
      </c>
      <c r="G100" s="75">
        <v>0</v>
      </c>
      <c r="H100" s="84">
        <v>0</v>
      </c>
      <c r="I100" s="85">
        <v>0</v>
      </c>
      <c r="J100" s="81"/>
      <c r="K100" s="83">
        <v>0</v>
      </c>
      <c r="L100" s="79"/>
      <c r="M100" s="79">
        <f t="shared" si="2"/>
        <v>0</v>
      </c>
      <c r="N100" s="75">
        <f t="shared" si="3"/>
        <v>0</v>
      </c>
      <c r="O100" s="56"/>
      <c r="P100" s="57"/>
      <c r="Q100" s="57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5.75" customHeight="1" x14ac:dyDescent="0.3">
      <c r="A101" s="72">
        <v>2220065</v>
      </c>
      <c r="B101" s="73" t="s">
        <v>203</v>
      </c>
      <c r="C101" s="73">
        <v>136.56</v>
      </c>
      <c r="D101" s="73">
        <v>136.56</v>
      </c>
      <c r="E101" s="74" t="s">
        <v>133</v>
      </c>
      <c r="F101" s="75">
        <v>0</v>
      </c>
      <c r="G101" s="75">
        <v>0</v>
      </c>
      <c r="H101" s="84">
        <v>0</v>
      </c>
      <c r="I101" s="85">
        <v>0</v>
      </c>
      <c r="J101" s="81"/>
      <c r="K101" s="83">
        <v>0</v>
      </c>
      <c r="L101" s="79"/>
      <c r="M101" s="79">
        <f t="shared" si="2"/>
        <v>0</v>
      </c>
      <c r="N101" s="75">
        <f t="shared" si="3"/>
        <v>0</v>
      </c>
      <c r="O101" s="56"/>
      <c r="P101" s="57"/>
      <c r="Q101" s="57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5.75" customHeight="1" x14ac:dyDescent="0.3">
      <c r="A102" s="72">
        <v>2220084</v>
      </c>
      <c r="B102" s="73" t="s">
        <v>204</v>
      </c>
      <c r="C102" s="73">
        <v>320</v>
      </c>
      <c r="D102" s="73">
        <v>320</v>
      </c>
      <c r="E102" s="74" t="s">
        <v>133</v>
      </c>
      <c r="F102" s="75">
        <v>0</v>
      </c>
      <c r="G102" s="75">
        <v>0</v>
      </c>
      <c r="H102" s="80">
        <v>0</v>
      </c>
      <c r="I102" s="81">
        <v>0</v>
      </c>
      <c r="J102" s="81"/>
      <c r="K102" s="83">
        <v>0</v>
      </c>
      <c r="L102" s="79"/>
      <c r="M102" s="79">
        <f t="shared" si="2"/>
        <v>0</v>
      </c>
      <c r="N102" s="75">
        <f t="shared" si="3"/>
        <v>0</v>
      </c>
      <c r="O102" s="56"/>
      <c r="P102" s="57"/>
      <c r="Q102" s="57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5.75" customHeight="1" x14ac:dyDescent="0.3">
      <c r="A103" s="92">
        <v>2220145</v>
      </c>
      <c r="B103" s="106" t="s">
        <v>205</v>
      </c>
      <c r="C103" s="106">
        <v>760</v>
      </c>
      <c r="D103" s="106">
        <v>760</v>
      </c>
      <c r="E103" s="107" t="s">
        <v>133</v>
      </c>
      <c r="F103" s="95">
        <v>0</v>
      </c>
      <c r="G103" s="95">
        <v>0</v>
      </c>
      <c r="H103" s="80">
        <v>0</v>
      </c>
      <c r="I103" s="81">
        <v>0</v>
      </c>
      <c r="J103" s="81"/>
      <c r="K103" s="83">
        <v>0</v>
      </c>
      <c r="L103" s="108"/>
      <c r="M103" s="79">
        <f t="shared" si="2"/>
        <v>0</v>
      </c>
      <c r="N103" s="75">
        <f t="shared" si="3"/>
        <v>0</v>
      </c>
      <c r="O103" s="56"/>
      <c r="P103" s="57"/>
      <c r="Q103" s="57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45" x14ac:dyDescent="0.3">
      <c r="A104" s="92">
        <v>2220146</v>
      </c>
      <c r="B104" s="73" t="s">
        <v>206</v>
      </c>
      <c r="C104" s="73">
        <v>638.4</v>
      </c>
      <c r="D104" s="73">
        <v>638.4</v>
      </c>
      <c r="E104" s="74" t="s">
        <v>133</v>
      </c>
      <c r="F104" s="95">
        <v>0</v>
      </c>
      <c r="G104" s="95">
        <v>0</v>
      </c>
      <c r="H104" s="80">
        <v>0</v>
      </c>
      <c r="I104" s="81">
        <v>0</v>
      </c>
      <c r="J104" s="81"/>
      <c r="K104" s="83">
        <v>0</v>
      </c>
      <c r="L104" s="109"/>
      <c r="M104" s="79">
        <f t="shared" si="2"/>
        <v>0</v>
      </c>
      <c r="N104" s="75">
        <f t="shared" si="3"/>
        <v>0</v>
      </c>
      <c r="O104" s="56"/>
      <c r="P104" s="57"/>
      <c r="Q104" s="57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5.75" customHeight="1" x14ac:dyDescent="0.3">
      <c r="A105" s="72">
        <v>2220026</v>
      </c>
      <c r="B105" s="73" t="s">
        <v>35</v>
      </c>
      <c r="C105" s="73">
        <v>67.7</v>
      </c>
      <c r="D105" s="73">
        <v>67.7</v>
      </c>
      <c r="E105" s="74" t="s">
        <v>137</v>
      </c>
      <c r="F105" s="75">
        <v>-9.8000000000000114</v>
      </c>
      <c r="G105" s="75">
        <v>9</v>
      </c>
      <c r="H105" s="80">
        <v>100</v>
      </c>
      <c r="I105" s="81">
        <v>101.65</v>
      </c>
      <c r="J105" s="81"/>
      <c r="K105" s="83">
        <v>99.95</v>
      </c>
      <c r="L105" s="79"/>
      <c r="M105" s="79">
        <f t="shared" si="2"/>
        <v>-9.7500000000000142</v>
      </c>
      <c r="N105" s="75">
        <f t="shared" si="3"/>
        <v>10.700000000000003</v>
      </c>
      <c r="O105" s="56"/>
      <c r="P105" s="57"/>
      <c r="Q105" s="57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5.75" customHeight="1" x14ac:dyDescent="0.3">
      <c r="A106" s="72">
        <v>2220027</v>
      </c>
      <c r="B106" s="110" t="s">
        <v>79</v>
      </c>
      <c r="C106" s="110">
        <v>166.7</v>
      </c>
      <c r="D106" s="110">
        <v>166.7</v>
      </c>
      <c r="E106" s="111" t="s">
        <v>137</v>
      </c>
      <c r="F106" s="112">
        <v>-1.399999999999999</v>
      </c>
      <c r="G106" s="112">
        <v>0.90000000000000169</v>
      </c>
      <c r="H106" s="113">
        <v>0</v>
      </c>
      <c r="I106" s="114">
        <v>0</v>
      </c>
      <c r="J106" s="76"/>
      <c r="K106" s="82">
        <v>0</v>
      </c>
      <c r="L106" s="112"/>
      <c r="M106" s="79">
        <f t="shared" si="2"/>
        <v>-1.399999999999999</v>
      </c>
      <c r="N106" s="75">
        <f t="shared" si="3"/>
        <v>0.90000000000000169</v>
      </c>
      <c r="O106" s="91"/>
      <c r="P106" s="57"/>
      <c r="Q106" s="57"/>
      <c r="R106" s="56"/>
      <c r="S106" s="56"/>
      <c r="T106" s="91"/>
      <c r="U106" s="91"/>
      <c r="V106" s="91"/>
      <c r="W106" s="91"/>
      <c r="X106" s="91"/>
      <c r="Y106" s="91"/>
      <c r="Z106" s="91"/>
    </row>
    <row r="107" spans="1:26" ht="15.75" customHeight="1" x14ac:dyDescent="0.3">
      <c r="A107" s="72">
        <v>2220080</v>
      </c>
      <c r="B107" s="73" t="s">
        <v>207</v>
      </c>
      <c r="C107" s="73">
        <v>15.85</v>
      </c>
      <c r="D107" s="73">
        <v>15.85</v>
      </c>
      <c r="E107" s="74" t="s">
        <v>133</v>
      </c>
      <c r="F107" s="75">
        <v>1</v>
      </c>
      <c r="G107" s="75">
        <v>1</v>
      </c>
      <c r="H107" s="76">
        <v>0</v>
      </c>
      <c r="I107" s="77">
        <v>0</v>
      </c>
      <c r="J107" s="77"/>
      <c r="K107" s="78">
        <v>0</v>
      </c>
      <c r="L107" s="75"/>
      <c r="M107" s="79">
        <f t="shared" si="2"/>
        <v>1</v>
      </c>
      <c r="N107" s="75">
        <f t="shared" si="3"/>
        <v>1</v>
      </c>
      <c r="O107" s="56"/>
      <c r="P107" s="57"/>
      <c r="Q107" s="57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5.75" customHeight="1" x14ac:dyDescent="0.3">
      <c r="A108" s="115">
        <v>2220035</v>
      </c>
      <c r="B108" s="110" t="s">
        <v>208</v>
      </c>
      <c r="C108" s="110">
        <v>75</v>
      </c>
      <c r="D108" s="110">
        <v>75</v>
      </c>
      <c r="E108" s="111" t="s">
        <v>133</v>
      </c>
      <c r="F108" s="112">
        <v>-2</v>
      </c>
      <c r="G108" s="112">
        <v>0</v>
      </c>
      <c r="H108" s="76">
        <v>8</v>
      </c>
      <c r="I108" s="76">
        <v>8</v>
      </c>
      <c r="J108" s="114"/>
      <c r="K108" s="116">
        <v>8</v>
      </c>
      <c r="L108" s="112"/>
      <c r="M108" s="79">
        <f t="shared" si="2"/>
        <v>-2</v>
      </c>
      <c r="N108" s="75">
        <f t="shared" si="3"/>
        <v>0</v>
      </c>
      <c r="O108" s="56" t="s">
        <v>209</v>
      </c>
      <c r="P108" s="57"/>
      <c r="Q108" s="57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6.5" customHeight="1" x14ac:dyDescent="0.3">
      <c r="A109" s="72">
        <v>2220045</v>
      </c>
      <c r="B109" s="73" t="s">
        <v>96</v>
      </c>
      <c r="C109" s="110">
        <v>86</v>
      </c>
      <c r="D109" s="110">
        <v>86</v>
      </c>
      <c r="E109" s="111" t="s">
        <v>210</v>
      </c>
      <c r="F109" s="112">
        <v>29</v>
      </c>
      <c r="G109" s="112">
        <v>29</v>
      </c>
      <c r="H109" s="117">
        <v>20</v>
      </c>
      <c r="I109" s="118">
        <v>20</v>
      </c>
      <c r="J109" s="118"/>
      <c r="K109" s="119">
        <v>3</v>
      </c>
      <c r="L109" s="75"/>
      <c r="M109" s="79">
        <f t="shared" si="2"/>
        <v>46</v>
      </c>
      <c r="N109" s="75">
        <f t="shared" si="3"/>
        <v>46</v>
      </c>
      <c r="O109" s="56"/>
      <c r="P109" s="57"/>
      <c r="Q109" s="57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5.75" customHeight="1" x14ac:dyDescent="0.3">
      <c r="A110" s="115">
        <v>2220028</v>
      </c>
      <c r="B110" s="110" t="s">
        <v>36</v>
      </c>
      <c r="C110" s="110">
        <v>29.2</v>
      </c>
      <c r="D110" s="110">
        <v>29.2</v>
      </c>
      <c r="E110" s="111" t="s">
        <v>137</v>
      </c>
      <c r="F110" s="112">
        <v>33.299999999999727</v>
      </c>
      <c r="G110" s="112">
        <v>105.9</v>
      </c>
      <c r="H110" s="117">
        <v>1060</v>
      </c>
      <c r="I110" s="118">
        <v>1062</v>
      </c>
      <c r="J110" s="118"/>
      <c r="K110" s="119">
        <v>1053</v>
      </c>
      <c r="L110" s="112"/>
      <c r="M110" s="79">
        <f t="shared" si="2"/>
        <v>40.299999999999727</v>
      </c>
      <c r="N110" s="75">
        <f t="shared" si="3"/>
        <v>114.90000000000009</v>
      </c>
      <c r="O110" s="56"/>
      <c r="P110" s="57"/>
      <c r="Q110" s="57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5.6" x14ac:dyDescent="0.3">
      <c r="A111" s="92">
        <v>2220053</v>
      </c>
      <c r="B111" s="93" t="s">
        <v>211</v>
      </c>
      <c r="C111" s="120">
        <v>2830</v>
      </c>
      <c r="D111" s="120">
        <v>2830</v>
      </c>
      <c r="E111" s="94" t="s">
        <v>135</v>
      </c>
      <c r="F111" s="75">
        <v>1</v>
      </c>
      <c r="G111" s="75">
        <v>1</v>
      </c>
      <c r="H111" s="121">
        <v>0</v>
      </c>
      <c r="I111" s="121">
        <v>0</v>
      </c>
      <c r="J111" s="121"/>
      <c r="K111" s="122">
        <v>0</v>
      </c>
      <c r="L111" s="75"/>
      <c r="M111" s="79">
        <f t="shared" si="2"/>
        <v>1</v>
      </c>
      <c r="N111" s="75">
        <f t="shared" si="3"/>
        <v>1</v>
      </c>
      <c r="O111" s="56"/>
      <c r="P111" s="57"/>
      <c r="Q111" s="57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30" x14ac:dyDescent="0.3">
      <c r="A112" s="123"/>
      <c r="B112" s="124" t="s">
        <v>212</v>
      </c>
      <c r="C112" s="125"/>
      <c r="D112" s="125"/>
      <c r="E112" s="126"/>
      <c r="F112" s="112">
        <v>7</v>
      </c>
      <c r="G112" s="112">
        <v>7</v>
      </c>
      <c r="H112" s="127">
        <v>16</v>
      </c>
      <c r="I112" s="127">
        <v>16</v>
      </c>
      <c r="J112" s="127"/>
      <c r="K112" s="128">
        <v>21</v>
      </c>
      <c r="L112" s="112"/>
      <c r="M112" s="79">
        <f t="shared" si="2"/>
        <v>2</v>
      </c>
      <c r="N112" s="75">
        <f t="shared" si="3"/>
        <v>2</v>
      </c>
      <c r="O112" s="56"/>
      <c r="P112" s="57"/>
      <c r="Q112" s="57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30" x14ac:dyDescent="0.3">
      <c r="A113" s="92"/>
      <c r="B113" s="129" t="s">
        <v>213</v>
      </c>
      <c r="C113" s="120"/>
      <c r="D113" s="120"/>
      <c r="E113" s="94"/>
      <c r="F113" s="75">
        <v>0</v>
      </c>
      <c r="G113" s="75">
        <v>0</v>
      </c>
      <c r="H113" s="121">
        <v>8</v>
      </c>
      <c r="I113" s="121">
        <v>8</v>
      </c>
      <c r="J113" s="121"/>
      <c r="K113" s="122">
        <v>6</v>
      </c>
      <c r="L113" s="75"/>
      <c r="M113" s="79">
        <f t="shared" si="2"/>
        <v>2</v>
      </c>
      <c r="N113" s="75">
        <f t="shared" si="3"/>
        <v>2</v>
      </c>
      <c r="O113" s="56"/>
      <c r="P113" s="57"/>
      <c r="Q113" s="57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5.6" x14ac:dyDescent="0.3">
      <c r="A114" s="123"/>
      <c r="B114" s="124" t="s">
        <v>214</v>
      </c>
      <c r="C114" s="125"/>
      <c r="D114" s="125"/>
      <c r="E114" s="126"/>
      <c r="F114" s="112">
        <v>1</v>
      </c>
      <c r="G114" s="112">
        <v>1</v>
      </c>
      <c r="H114" s="127">
        <v>0</v>
      </c>
      <c r="I114" s="127">
        <v>0</v>
      </c>
      <c r="J114" s="127"/>
      <c r="K114" s="128">
        <v>0</v>
      </c>
      <c r="L114" s="112"/>
      <c r="M114" s="79">
        <f t="shared" si="2"/>
        <v>1</v>
      </c>
      <c r="N114" s="75">
        <f t="shared" si="3"/>
        <v>1</v>
      </c>
      <c r="O114" s="56"/>
      <c r="P114" s="57"/>
      <c r="Q114" s="57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6.2" thickBot="1" x14ac:dyDescent="0.35">
      <c r="A115" s="130"/>
      <c r="B115" s="131" t="s">
        <v>215</v>
      </c>
      <c r="C115" s="132"/>
      <c r="D115" s="132"/>
      <c r="E115" s="133"/>
      <c r="F115" s="134">
        <v>1</v>
      </c>
      <c r="G115" s="134">
        <v>1</v>
      </c>
      <c r="H115" s="135">
        <v>2</v>
      </c>
      <c r="I115" s="135">
        <v>2</v>
      </c>
      <c r="J115" s="135"/>
      <c r="K115" s="136">
        <v>1</v>
      </c>
      <c r="L115" s="134"/>
      <c r="M115" s="79">
        <f t="shared" si="2"/>
        <v>2</v>
      </c>
      <c r="N115" s="75">
        <f t="shared" si="3"/>
        <v>2</v>
      </c>
      <c r="O115" s="56"/>
      <c r="P115" s="57"/>
      <c r="Q115" s="57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5.75" customHeight="1" thickTop="1" x14ac:dyDescent="0.3">
      <c r="A116" s="137" t="s">
        <v>68</v>
      </c>
      <c r="B116" s="137"/>
      <c r="C116" s="137"/>
      <c r="D116" s="137"/>
      <c r="E116" s="138"/>
      <c r="F116" s="139">
        <f t="shared" ref="F116:J116" si="4">SUM(F8:F111)</f>
        <v>97.504999999999768</v>
      </c>
      <c r="G116" s="139">
        <f t="shared" si="4"/>
        <v>1161.03</v>
      </c>
      <c r="H116" s="139">
        <f>SUM(H8:H113)</f>
        <v>10128.799999999999</v>
      </c>
      <c r="I116" s="139">
        <f>SUM(I8:I113)</f>
        <v>10322.049999999999</v>
      </c>
      <c r="J116" s="139">
        <f t="shared" si="4"/>
        <v>0</v>
      </c>
      <c r="K116" s="139">
        <f>SUM(K8:K115)</f>
        <v>10123.344999999999</v>
      </c>
      <c r="L116" s="139">
        <f t="shared" ref="L116:N116" si="5">SUM(L8:L110)</f>
        <v>0</v>
      </c>
      <c r="M116" s="139">
        <f t="shared" si="5"/>
        <v>105.95999999999958</v>
      </c>
      <c r="N116" s="139">
        <f t="shared" si="5"/>
        <v>1362.7350000000001</v>
      </c>
      <c r="O116" s="56"/>
      <c r="P116" s="57"/>
      <c r="Q116" s="57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5.75" customHeight="1" x14ac:dyDescent="0.3">
      <c r="A117" s="56"/>
      <c r="B117" s="56"/>
      <c r="C117" s="56"/>
      <c r="D117" s="56"/>
      <c r="E117" s="14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7"/>
      <c r="Q117" s="57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5.75" customHeight="1" x14ac:dyDescent="0.3">
      <c r="A118" s="56"/>
      <c r="B118" s="56"/>
      <c r="C118" s="56"/>
      <c r="D118" s="56"/>
      <c r="E118" s="14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7"/>
      <c r="Q118" s="57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5.75" customHeight="1" x14ac:dyDescent="0.3">
      <c r="A119" s="56"/>
      <c r="B119" s="56"/>
      <c r="C119" s="56"/>
      <c r="D119" s="56"/>
      <c r="E119" s="14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7"/>
      <c r="Q119" s="57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5.75" customHeight="1" x14ac:dyDescent="0.3">
      <c r="A120" s="56"/>
      <c r="B120" s="56"/>
      <c r="C120" s="56"/>
      <c r="D120" s="56"/>
      <c r="E120" s="14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7"/>
      <c r="Q120" s="57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5.75" customHeight="1" x14ac:dyDescent="0.3">
      <c r="A121" s="56"/>
      <c r="B121" s="56"/>
      <c r="C121" s="56"/>
      <c r="D121" s="56"/>
      <c r="E121" s="14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7"/>
      <c r="Q121" s="57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5.75" customHeight="1" x14ac:dyDescent="0.3">
      <c r="A122" s="56"/>
      <c r="B122" s="56"/>
      <c r="C122" s="56"/>
      <c r="D122" s="56"/>
      <c r="E122" s="14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7"/>
      <c r="Q122" s="57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5.75" customHeight="1" x14ac:dyDescent="0.3">
      <c r="A123" s="56"/>
      <c r="B123" s="56"/>
      <c r="C123" s="56"/>
      <c r="D123" s="56"/>
      <c r="E123" s="14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7"/>
      <c r="Q123" s="57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5.75" customHeight="1" x14ac:dyDescent="0.3">
      <c r="A124" s="56"/>
      <c r="B124" s="56"/>
      <c r="C124" s="56"/>
      <c r="D124" s="56"/>
      <c r="E124" s="14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7"/>
      <c r="Q124" s="57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5.75" customHeight="1" x14ac:dyDescent="0.3">
      <c r="A125" s="56"/>
      <c r="B125" s="56"/>
      <c r="C125" s="56"/>
      <c r="D125" s="56"/>
      <c r="E125" s="14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7"/>
      <c r="Q125" s="57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5.75" customHeight="1" x14ac:dyDescent="0.3">
      <c r="A126" s="56"/>
      <c r="B126" s="56"/>
      <c r="C126" s="56"/>
      <c r="D126" s="56"/>
      <c r="E126" s="14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7"/>
      <c r="Q126" s="57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5.75" customHeight="1" x14ac:dyDescent="0.3">
      <c r="A127" s="56"/>
      <c r="B127" s="56"/>
      <c r="C127" s="56"/>
      <c r="D127" s="56"/>
      <c r="E127" s="14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7"/>
      <c r="Q127" s="57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5.75" customHeight="1" x14ac:dyDescent="0.3">
      <c r="A128" s="56"/>
      <c r="B128" s="56"/>
      <c r="C128" s="56"/>
      <c r="D128" s="56"/>
      <c r="E128" s="14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7"/>
      <c r="Q128" s="57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5.75" customHeight="1" x14ac:dyDescent="0.3">
      <c r="A129" s="56"/>
      <c r="B129" s="56"/>
      <c r="C129" s="56"/>
      <c r="D129" s="56"/>
      <c r="E129" s="14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7"/>
      <c r="Q129" s="57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5.75" customHeight="1" x14ac:dyDescent="0.3">
      <c r="A130" s="56"/>
      <c r="B130" s="56"/>
      <c r="C130" s="56"/>
      <c r="D130" s="56"/>
      <c r="E130" s="14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7"/>
      <c r="Q130" s="57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5.75" customHeight="1" x14ac:dyDescent="0.3">
      <c r="A131" s="56"/>
      <c r="B131" s="56"/>
      <c r="C131" s="56"/>
      <c r="D131" s="56"/>
      <c r="E131" s="14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7"/>
      <c r="Q131" s="57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5.75" customHeight="1" x14ac:dyDescent="0.3">
      <c r="A132" s="56"/>
      <c r="B132" s="56"/>
      <c r="C132" s="56"/>
      <c r="D132" s="56"/>
      <c r="E132" s="14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7"/>
      <c r="Q132" s="57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5.75" customHeight="1" x14ac:dyDescent="0.3">
      <c r="A133" s="56"/>
      <c r="B133" s="56"/>
      <c r="C133" s="56"/>
      <c r="D133" s="56"/>
      <c r="E133" s="14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7"/>
      <c r="Q133" s="57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5.75" customHeight="1" x14ac:dyDescent="0.3">
      <c r="A134" s="56"/>
      <c r="B134" s="56"/>
      <c r="C134" s="56"/>
      <c r="D134" s="56"/>
      <c r="E134" s="14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7"/>
      <c r="Q134" s="57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5.75" customHeight="1" x14ac:dyDescent="0.3">
      <c r="A135" s="56"/>
      <c r="B135" s="56"/>
      <c r="C135" s="56"/>
      <c r="D135" s="56"/>
      <c r="E135" s="14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7"/>
      <c r="Q135" s="57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5.75" customHeight="1" x14ac:dyDescent="0.3">
      <c r="A136" s="56"/>
      <c r="B136" s="56"/>
      <c r="C136" s="56"/>
      <c r="D136" s="56"/>
      <c r="E136" s="14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7"/>
      <c r="Q136" s="57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5.75" customHeight="1" x14ac:dyDescent="0.3">
      <c r="A137" s="56"/>
      <c r="B137" s="56"/>
      <c r="C137" s="56"/>
      <c r="D137" s="56"/>
      <c r="E137" s="14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7"/>
      <c r="Q137" s="57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5.75" customHeight="1" x14ac:dyDescent="0.3">
      <c r="A138" s="56"/>
      <c r="B138" s="56"/>
      <c r="C138" s="56"/>
      <c r="D138" s="56"/>
      <c r="E138" s="14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7"/>
      <c r="Q138" s="57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5.75" customHeight="1" x14ac:dyDescent="0.3">
      <c r="A139" s="56"/>
      <c r="B139" s="56"/>
      <c r="C139" s="56"/>
      <c r="D139" s="56"/>
      <c r="E139" s="14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7"/>
      <c r="Q139" s="57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5.75" customHeight="1" x14ac:dyDescent="0.3">
      <c r="A140" s="56"/>
      <c r="B140" s="56"/>
      <c r="C140" s="56"/>
      <c r="D140" s="56"/>
      <c r="E140" s="14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7"/>
      <c r="Q140" s="57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5.75" customHeight="1" x14ac:dyDescent="0.3">
      <c r="A141" s="56"/>
      <c r="B141" s="56"/>
      <c r="C141" s="56"/>
      <c r="D141" s="56"/>
      <c r="E141" s="14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7"/>
      <c r="Q141" s="57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5.75" customHeight="1" x14ac:dyDescent="0.3">
      <c r="A142" s="56"/>
      <c r="B142" s="56"/>
      <c r="C142" s="56"/>
      <c r="D142" s="56"/>
      <c r="E142" s="14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7"/>
      <c r="Q142" s="57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5.75" customHeight="1" x14ac:dyDescent="0.3">
      <c r="A143" s="56"/>
      <c r="B143" s="56"/>
      <c r="C143" s="56"/>
      <c r="D143" s="56"/>
      <c r="E143" s="14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7"/>
      <c r="Q143" s="57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5.75" customHeight="1" x14ac:dyDescent="0.3">
      <c r="A144" s="56"/>
      <c r="B144" s="56"/>
      <c r="C144" s="56"/>
      <c r="D144" s="56"/>
      <c r="E144" s="14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7"/>
      <c r="Q144" s="57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5.75" customHeight="1" x14ac:dyDescent="0.3">
      <c r="A145" s="56"/>
      <c r="B145" s="56"/>
      <c r="C145" s="56"/>
      <c r="D145" s="56"/>
      <c r="E145" s="14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7"/>
      <c r="Q145" s="57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5.75" customHeight="1" x14ac:dyDescent="0.3">
      <c r="A146" s="56"/>
      <c r="B146" s="56"/>
      <c r="C146" s="56"/>
      <c r="D146" s="56"/>
      <c r="E146" s="14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7"/>
      <c r="Q146" s="57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5.75" customHeight="1" x14ac:dyDescent="0.3">
      <c r="A147" s="56"/>
      <c r="B147" s="56"/>
      <c r="C147" s="56"/>
      <c r="D147" s="56"/>
      <c r="E147" s="14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7"/>
      <c r="Q147" s="57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5.75" customHeight="1" x14ac:dyDescent="0.3">
      <c r="A148" s="56"/>
      <c r="B148" s="56"/>
      <c r="C148" s="56"/>
      <c r="D148" s="56"/>
      <c r="E148" s="14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7"/>
      <c r="Q148" s="57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5.75" customHeight="1" x14ac:dyDescent="0.3">
      <c r="A149" s="56"/>
      <c r="B149" s="56"/>
      <c r="C149" s="56"/>
      <c r="D149" s="56"/>
      <c r="E149" s="14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7"/>
      <c r="Q149" s="57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5.75" customHeight="1" x14ac:dyDescent="0.3">
      <c r="A150" s="56"/>
      <c r="B150" s="56"/>
      <c r="C150" s="56"/>
      <c r="D150" s="56"/>
      <c r="E150" s="14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7"/>
      <c r="Q150" s="57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5.75" customHeight="1" x14ac:dyDescent="0.3">
      <c r="A151" s="56"/>
      <c r="B151" s="56"/>
      <c r="C151" s="56"/>
      <c r="D151" s="56"/>
      <c r="E151" s="14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7"/>
      <c r="Q151" s="57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5.75" customHeight="1" x14ac:dyDescent="0.3">
      <c r="A152" s="56"/>
      <c r="B152" s="56"/>
      <c r="C152" s="56"/>
      <c r="D152" s="56"/>
      <c r="E152" s="14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7"/>
      <c r="Q152" s="57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5.75" customHeight="1" x14ac:dyDescent="0.3">
      <c r="A153" s="56"/>
      <c r="B153" s="56"/>
      <c r="C153" s="56"/>
      <c r="D153" s="56"/>
      <c r="E153" s="14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7"/>
      <c r="Q153" s="57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5.75" customHeight="1" x14ac:dyDescent="0.3">
      <c r="A154" s="56"/>
      <c r="B154" s="56"/>
      <c r="C154" s="56"/>
      <c r="D154" s="56"/>
      <c r="E154" s="14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7"/>
      <c r="Q154" s="57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5.75" customHeight="1" x14ac:dyDescent="0.3">
      <c r="A155" s="56"/>
      <c r="B155" s="56"/>
      <c r="C155" s="56"/>
      <c r="D155" s="56"/>
      <c r="E155" s="14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7"/>
      <c r="Q155" s="57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5.75" customHeight="1" x14ac:dyDescent="0.3">
      <c r="A156" s="56"/>
      <c r="B156" s="56"/>
      <c r="C156" s="56"/>
      <c r="D156" s="56"/>
      <c r="E156" s="14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7"/>
      <c r="Q156" s="57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5.75" customHeight="1" x14ac:dyDescent="0.3">
      <c r="A157" s="56"/>
      <c r="B157" s="56"/>
      <c r="C157" s="56"/>
      <c r="D157" s="56"/>
      <c r="E157" s="14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7"/>
      <c r="Q157" s="57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5.75" customHeight="1" x14ac:dyDescent="0.3">
      <c r="A158" s="56"/>
      <c r="B158" s="56"/>
      <c r="C158" s="56"/>
      <c r="D158" s="56"/>
      <c r="E158" s="14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7"/>
      <c r="Q158" s="57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5.75" customHeight="1" x14ac:dyDescent="0.3">
      <c r="A159" s="56"/>
      <c r="B159" s="56"/>
      <c r="C159" s="56"/>
      <c r="D159" s="56"/>
      <c r="E159" s="14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7"/>
      <c r="Q159" s="57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5.75" customHeight="1" x14ac:dyDescent="0.3">
      <c r="A160" s="56"/>
      <c r="B160" s="56"/>
      <c r="C160" s="56"/>
      <c r="D160" s="56"/>
      <c r="E160" s="14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7"/>
      <c r="Q160" s="57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5.75" customHeight="1" x14ac:dyDescent="0.3">
      <c r="A161" s="56"/>
      <c r="B161" s="56"/>
      <c r="C161" s="56"/>
      <c r="D161" s="56"/>
      <c r="E161" s="14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7"/>
      <c r="Q161" s="57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5.75" customHeight="1" x14ac:dyDescent="0.3">
      <c r="A162" s="56"/>
      <c r="B162" s="56"/>
      <c r="C162" s="56"/>
      <c r="D162" s="56"/>
      <c r="E162" s="14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7"/>
      <c r="Q162" s="57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5.75" customHeight="1" x14ac:dyDescent="0.3">
      <c r="A163" s="56"/>
      <c r="B163" s="56"/>
      <c r="C163" s="56"/>
      <c r="D163" s="56"/>
      <c r="E163" s="14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7"/>
      <c r="Q163" s="57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5.75" customHeight="1" x14ac:dyDescent="0.3">
      <c r="A164" s="56"/>
      <c r="B164" s="56"/>
      <c r="C164" s="56"/>
      <c r="D164" s="56"/>
      <c r="E164" s="14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7"/>
      <c r="Q164" s="57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5.75" customHeight="1" x14ac:dyDescent="0.3">
      <c r="A165" s="56"/>
      <c r="B165" s="56"/>
      <c r="C165" s="56"/>
      <c r="D165" s="56"/>
      <c r="E165" s="14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7"/>
      <c r="Q165" s="57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5.75" customHeight="1" x14ac:dyDescent="0.3">
      <c r="A166" s="56"/>
      <c r="B166" s="56"/>
      <c r="C166" s="56"/>
      <c r="D166" s="56"/>
      <c r="E166" s="14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7"/>
      <c r="Q166" s="57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5.75" customHeight="1" x14ac:dyDescent="0.3">
      <c r="A167" s="56"/>
      <c r="B167" s="56"/>
      <c r="C167" s="56"/>
      <c r="D167" s="56"/>
      <c r="E167" s="14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7"/>
      <c r="Q167" s="57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5.75" customHeight="1" x14ac:dyDescent="0.3">
      <c r="A168" s="56"/>
      <c r="B168" s="56"/>
      <c r="C168" s="56"/>
      <c r="D168" s="56"/>
      <c r="E168" s="14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7"/>
      <c r="Q168" s="57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5.75" customHeight="1" x14ac:dyDescent="0.3">
      <c r="A169" s="56"/>
      <c r="B169" s="56"/>
      <c r="C169" s="56"/>
      <c r="D169" s="56"/>
      <c r="E169" s="14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7"/>
      <c r="Q169" s="57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5.75" customHeight="1" x14ac:dyDescent="0.3">
      <c r="A170" s="56"/>
      <c r="B170" s="56"/>
      <c r="C170" s="56"/>
      <c r="D170" s="56"/>
      <c r="E170" s="14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7"/>
      <c r="Q170" s="57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5.75" customHeight="1" x14ac:dyDescent="0.3">
      <c r="A171" s="56"/>
      <c r="B171" s="56"/>
      <c r="C171" s="56"/>
      <c r="D171" s="56"/>
      <c r="E171" s="14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7"/>
      <c r="Q171" s="57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5.75" customHeight="1" x14ac:dyDescent="0.3">
      <c r="A172" s="56"/>
      <c r="B172" s="56"/>
      <c r="C172" s="56"/>
      <c r="D172" s="56"/>
      <c r="E172" s="14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7"/>
      <c r="Q172" s="57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5.75" customHeight="1" x14ac:dyDescent="0.3">
      <c r="A173" s="56"/>
      <c r="B173" s="56"/>
      <c r="C173" s="56"/>
      <c r="D173" s="56"/>
      <c r="E173" s="14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7"/>
      <c r="Q173" s="57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5.75" customHeight="1" x14ac:dyDescent="0.3">
      <c r="A174" s="56"/>
      <c r="B174" s="56"/>
      <c r="C174" s="56"/>
      <c r="D174" s="56"/>
      <c r="E174" s="14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7"/>
      <c r="Q174" s="57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5.75" customHeight="1" x14ac:dyDescent="0.3">
      <c r="A175" s="56"/>
      <c r="B175" s="56"/>
      <c r="C175" s="56"/>
      <c r="D175" s="56"/>
      <c r="E175" s="14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7"/>
      <c r="Q175" s="57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5.75" customHeight="1" x14ac:dyDescent="0.3">
      <c r="A176" s="56"/>
      <c r="B176" s="56"/>
      <c r="C176" s="56"/>
      <c r="D176" s="56"/>
      <c r="E176" s="14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7"/>
      <c r="Q176" s="57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5.75" customHeight="1" x14ac:dyDescent="0.3">
      <c r="A177" s="56"/>
      <c r="B177" s="56"/>
      <c r="C177" s="56"/>
      <c r="D177" s="56"/>
      <c r="E177" s="14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7"/>
      <c r="Q177" s="57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5.75" customHeight="1" x14ac:dyDescent="0.3">
      <c r="A178" s="56"/>
      <c r="B178" s="56"/>
      <c r="C178" s="56"/>
      <c r="D178" s="56"/>
      <c r="E178" s="14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7"/>
      <c r="Q178" s="57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5.75" customHeight="1" x14ac:dyDescent="0.3">
      <c r="A179" s="56"/>
      <c r="B179" s="56"/>
      <c r="C179" s="56"/>
      <c r="D179" s="56"/>
      <c r="E179" s="14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7"/>
      <c r="Q179" s="57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5.75" customHeight="1" x14ac:dyDescent="0.3">
      <c r="A180" s="56"/>
      <c r="B180" s="56"/>
      <c r="C180" s="56"/>
      <c r="D180" s="56"/>
      <c r="E180" s="14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7"/>
      <c r="Q180" s="57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5.75" customHeight="1" x14ac:dyDescent="0.3">
      <c r="A181" s="56"/>
      <c r="B181" s="56"/>
      <c r="C181" s="56"/>
      <c r="D181" s="56"/>
      <c r="E181" s="14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7"/>
      <c r="Q181" s="57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5.75" customHeight="1" x14ac:dyDescent="0.3">
      <c r="A182" s="56"/>
      <c r="B182" s="56"/>
      <c r="C182" s="56"/>
      <c r="D182" s="56"/>
      <c r="E182" s="14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7"/>
      <c r="Q182" s="57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5.75" customHeight="1" x14ac:dyDescent="0.3">
      <c r="A183" s="56"/>
      <c r="B183" s="56"/>
      <c r="C183" s="56"/>
      <c r="D183" s="56"/>
      <c r="E183" s="14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7"/>
      <c r="Q183" s="57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5.75" customHeight="1" x14ac:dyDescent="0.3">
      <c r="A184" s="56"/>
      <c r="B184" s="56"/>
      <c r="C184" s="56"/>
      <c r="D184" s="56"/>
      <c r="E184" s="14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7"/>
      <c r="Q184" s="57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5.75" customHeight="1" x14ac:dyDescent="0.3">
      <c r="A185" s="56"/>
      <c r="B185" s="56"/>
      <c r="C185" s="56"/>
      <c r="D185" s="56"/>
      <c r="E185" s="14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7"/>
      <c r="Q185" s="57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5.75" customHeight="1" x14ac:dyDescent="0.3">
      <c r="A186" s="56"/>
      <c r="B186" s="56"/>
      <c r="C186" s="56"/>
      <c r="D186" s="56"/>
      <c r="E186" s="14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7"/>
      <c r="Q186" s="57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5.75" customHeight="1" x14ac:dyDescent="0.3">
      <c r="A187" s="56"/>
      <c r="B187" s="56"/>
      <c r="C187" s="56"/>
      <c r="D187" s="56"/>
      <c r="E187" s="14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7"/>
      <c r="Q187" s="57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5.75" customHeight="1" x14ac:dyDescent="0.3">
      <c r="A188" s="56"/>
      <c r="B188" s="56"/>
      <c r="C188" s="56"/>
      <c r="D188" s="56"/>
      <c r="E188" s="14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7"/>
      <c r="Q188" s="57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5.75" customHeight="1" x14ac:dyDescent="0.3">
      <c r="A189" s="56"/>
      <c r="B189" s="56"/>
      <c r="C189" s="56"/>
      <c r="D189" s="56"/>
      <c r="E189" s="14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7"/>
      <c r="Q189" s="57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5.75" customHeight="1" x14ac:dyDescent="0.3">
      <c r="A190" s="56"/>
      <c r="B190" s="56"/>
      <c r="C190" s="56"/>
      <c r="D190" s="56"/>
      <c r="E190" s="14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7"/>
      <c r="Q190" s="57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5.75" customHeight="1" x14ac:dyDescent="0.3">
      <c r="A191" s="56"/>
      <c r="B191" s="56"/>
      <c r="C191" s="56"/>
      <c r="D191" s="56"/>
      <c r="E191" s="14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7"/>
      <c r="Q191" s="57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5.75" customHeight="1" x14ac:dyDescent="0.3">
      <c r="A192" s="56"/>
      <c r="B192" s="56"/>
      <c r="C192" s="56"/>
      <c r="D192" s="56"/>
      <c r="E192" s="14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7"/>
      <c r="Q192" s="57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5.75" customHeight="1" x14ac:dyDescent="0.3">
      <c r="A193" s="56"/>
      <c r="B193" s="56"/>
      <c r="C193" s="56"/>
      <c r="D193" s="56"/>
      <c r="E193" s="14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7"/>
      <c r="Q193" s="57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5.75" customHeight="1" x14ac:dyDescent="0.3">
      <c r="A194" s="56"/>
      <c r="B194" s="56"/>
      <c r="C194" s="56"/>
      <c r="D194" s="56"/>
      <c r="E194" s="14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7"/>
      <c r="Q194" s="57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5.75" customHeight="1" x14ac:dyDescent="0.3">
      <c r="A195" s="56"/>
      <c r="B195" s="56"/>
      <c r="C195" s="56"/>
      <c r="D195" s="56"/>
      <c r="E195" s="14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7"/>
      <c r="Q195" s="57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5.75" customHeight="1" x14ac:dyDescent="0.3">
      <c r="A196" s="56"/>
      <c r="B196" s="56"/>
      <c r="C196" s="56"/>
      <c r="D196" s="56"/>
      <c r="E196" s="14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7"/>
      <c r="Q196" s="57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5.75" customHeight="1" x14ac:dyDescent="0.3">
      <c r="A197" s="56"/>
      <c r="B197" s="56"/>
      <c r="C197" s="56"/>
      <c r="D197" s="56"/>
      <c r="E197" s="14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7"/>
      <c r="Q197" s="57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5.75" customHeight="1" x14ac:dyDescent="0.3">
      <c r="A198" s="56"/>
      <c r="B198" s="56"/>
      <c r="C198" s="56"/>
      <c r="D198" s="56"/>
      <c r="E198" s="14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7"/>
      <c r="Q198" s="57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5.75" customHeight="1" x14ac:dyDescent="0.3">
      <c r="A199" s="56"/>
      <c r="B199" s="56"/>
      <c r="C199" s="56"/>
      <c r="D199" s="56"/>
      <c r="E199" s="14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7"/>
      <c r="Q199" s="57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5.75" customHeight="1" x14ac:dyDescent="0.3">
      <c r="A200" s="56"/>
      <c r="B200" s="56"/>
      <c r="C200" s="56"/>
      <c r="D200" s="56"/>
      <c r="E200" s="14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7"/>
      <c r="Q200" s="57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5.75" customHeight="1" x14ac:dyDescent="0.3">
      <c r="A201" s="56"/>
      <c r="B201" s="56"/>
      <c r="C201" s="56"/>
      <c r="D201" s="56"/>
      <c r="E201" s="14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7"/>
      <c r="Q201" s="57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5.75" customHeight="1" x14ac:dyDescent="0.3">
      <c r="A202" s="56"/>
      <c r="B202" s="56"/>
      <c r="C202" s="56"/>
      <c r="D202" s="56"/>
      <c r="E202" s="14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7"/>
      <c r="Q202" s="57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5.75" customHeight="1" x14ac:dyDescent="0.3">
      <c r="A203" s="56"/>
      <c r="B203" s="56"/>
      <c r="C203" s="56"/>
      <c r="D203" s="56"/>
      <c r="E203" s="14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7"/>
      <c r="Q203" s="57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5.75" customHeight="1" x14ac:dyDescent="0.3">
      <c r="A204" s="56"/>
      <c r="B204" s="56"/>
      <c r="C204" s="56"/>
      <c r="D204" s="56"/>
      <c r="E204" s="14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7"/>
      <c r="Q204" s="57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5.75" customHeight="1" x14ac:dyDescent="0.3">
      <c r="A205" s="56"/>
      <c r="B205" s="56"/>
      <c r="C205" s="56"/>
      <c r="D205" s="56"/>
      <c r="E205" s="14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7"/>
      <c r="Q205" s="57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5.75" customHeight="1" x14ac:dyDescent="0.3">
      <c r="A206" s="56"/>
      <c r="B206" s="56"/>
      <c r="C206" s="56"/>
      <c r="D206" s="56"/>
      <c r="E206" s="14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7"/>
      <c r="Q206" s="57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5.75" customHeight="1" x14ac:dyDescent="0.3">
      <c r="A207" s="56"/>
      <c r="B207" s="56"/>
      <c r="C207" s="56"/>
      <c r="D207" s="56"/>
      <c r="E207" s="14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7"/>
      <c r="Q207" s="57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5.75" customHeight="1" x14ac:dyDescent="0.3">
      <c r="A208" s="56"/>
      <c r="B208" s="56"/>
      <c r="C208" s="56"/>
      <c r="D208" s="56"/>
      <c r="E208" s="14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7"/>
      <c r="Q208" s="57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5.75" customHeight="1" x14ac:dyDescent="0.3">
      <c r="A209" s="56"/>
      <c r="B209" s="56"/>
      <c r="C209" s="56"/>
      <c r="D209" s="56"/>
      <c r="E209" s="14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7"/>
      <c r="Q209" s="57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5.75" customHeight="1" x14ac:dyDescent="0.3">
      <c r="A210" s="56"/>
      <c r="B210" s="56"/>
      <c r="C210" s="56"/>
      <c r="D210" s="56"/>
      <c r="E210" s="14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7"/>
      <c r="Q210" s="57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5.75" customHeight="1" x14ac:dyDescent="0.3">
      <c r="A211" s="56"/>
      <c r="B211" s="56"/>
      <c r="C211" s="56"/>
      <c r="D211" s="56"/>
      <c r="E211" s="14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7"/>
      <c r="Q211" s="57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5.75" customHeight="1" x14ac:dyDescent="0.3">
      <c r="A212" s="56"/>
      <c r="B212" s="56"/>
      <c r="C212" s="56"/>
      <c r="D212" s="56"/>
      <c r="E212" s="14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7"/>
      <c r="Q212" s="57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5.75" customHeight="1" x14ac:dyDescent="0.3">
      <c r="A213" s="56"/>
      <c r="B213" s="56"/>
      <c r="C213" s="56"/>
      <c r="D213" s="56"/>
      <c r="E213" s="14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7"/>
      <c r="Q213" s="57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5.75" customHeight="1" x14ac:dyDescent="0.3">
      <c r="A214" s="56"/>
      <c r="B214" s="56"/>
      <c r="C214" s="56"/>
      <c r="D214" s="56"/>
      <c r="E214" s="14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7"/>
      <c r="Q214" s="57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5.75" customHeight="1" x14ac:dyDescent="0.3">
      <c r="A215" s="56"/>
      <c r="B215" s="56"/>
      <c r="C215" s="56"/>
      <c r="D215" s="56"/>
      <c r="E215" s="14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7"/>
      <c r="Q215" s="57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5.75" customHeight="1" x14ac:dyDescent="0.3">
      <c r="A216" s="56"/>
      <c r="B216" s="56"/>
      <c r="C216" s="56"/>
      <c r="D216" s="56"/>
      <c r="E216" s="14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7"/>
      <c r="Q216" s="57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5.75" customHeight="1" x14ac:dyDescent="0.3">
      <c r="A217" s="56"/>
      <c r="B217" s="56"/>
      <c r="C217" s="56"/>
      <c r="D217" s="56"/>
      <c r="E217" s="14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7"/>
      <c r="Q217" s="57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5.75" customHeight="1" x14ac:dyDescent="0.3">
      <c r="A218" s="56"/>
      <c r="B218" s="56"/>
      <c r="C218" s="56"/>
      <c r="D218" s="56"/>
      <c r="E218" s="14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7"/>
      <c r="Q218" s="57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5.75" customHeight="1" x14ac:dyDescent="0.3">
      <c r="A219" s="56"/>
      <c r="B219" s="56"/>
      <c r="C219" s="56"/>
      <c r="D219" s="56"/>
      <c r="E219" s="14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7"/>
      <c r="Q219" s="57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5.75" customHeight="1" x14ac:dyDescent="0.3">
      <c r="A220" s="56"/>
      <c r="B220" s="56"/>
      <c r="C220" s="56"/>
      <c r="D220" s="56"/>
      <c r="E220" s="14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7"/>
      <c r="Q220" s="57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5.75" customHeight="1" x14ac:dyDescent="0.3">
      <c r="A221" s="56"/>
      <c r="B221" s="56"/>
      <c r="C221" s="56"/>
      <c r="D221" s="56"/>
      <c r="E221" s="14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7"/>
      <c r="Q221" s="57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5.75" customHeight="1" x14ac:dyDescent="0.3">
      <c r="A222" s="56"/>
      <c r="B222" s="56"/>
      <c r="C222" s="56"/>
      <c r="D222" s="56"/>
      <c r="E222" s="14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7"/>
      <c r="Q222" s="57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5.75" customHeight="1" x14ac:dyDescent="0.3">
      <c r="A223" s="56"/>
      <c r="B223" s="56"/>
      <c r="C223" s="56"/>
      <c r="D223" s="56"/>
      <c r="E223" s="14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7"/>
      <c r="Q223" s="57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5.75" customHeight="1" x14ac:dyDescent="0.3">
      <c r="A224" s="56"/>
      <c r="B224" s="56"/>
      <c r="C224" s="56"/>
      <c r="D224" s="56"/>
      <c r="E224" s="14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7"/>
      <c r="Q224" s="57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5.75" customHeight="1" x14ac:dyDescent="0.3">
      <c r="A225" s="56"/>
      <c r="B225" s="56"/>
      <c r="C225" s="56"/>
      <c r="D225" s="56"/>
      <c r="E225" s="14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7"/>
      <c r="Q225" s="57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5.75" customHeight="1" x14ac:dyDescent="0.3">
      <c r="A226" s="56"/>
      <c r="B226" s="56"/>
      <c r="C226" s="56"/>
      <c r="D226" s="56"/>
      <c r="E226" s="14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7"/>
      <c r="Q226" s="57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5.75" customHeight="1" x14ac:dyDescent="0.3">
      <c r="A227" s="56"/>
      <c r="B227" s="56"/>
      <c r="C227" s="56"/>
      <c r="D227" s="56"/>
      <c r="E227" s="14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7"/>
      <c r="Q227" s="57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5.75" customHeight="1" x14ac:dyDescent="0.3">
      <c r="A228" s="56"/>
      <c r="B228" s="56"/>
      <c r="C228" s="56"/>
      <c r="D228" s="56"/>
      <c r="E228" s="14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7"/>
      <c r="Q228" s="57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5.75" customHeight="1" x14ac:dyDescent="0.3">
      <c r="A229" s="56"/>
      <c r="B229" s="56"/>
      <c r="C229" s="56"/>
      <c r="D229" s="56"/>
      <c r="E229" s="14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7"/>
      <c r="Q229" s="57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5.75" customHeight="1" x14ac:dyDescent="0.3">
      <c r="A230" s="56"/>
      <c r="B230" s="56"/>
      <c r="C230" s="56"/>
      <c r="D230" s="56"/>
      <c r="E230" s="14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7"/>
      <c r="Q230" s="57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5.75" customHeight="1" x14ac:dyDescent="0.3">
      <c r="A231" s="56"/>
      <c r="B231" s="56"/>
      <c r="C231" s="56"/>
      <c r="D231" s="56"/>
      <c r="E231" s="14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7"/>
      <c r="Q231" s="57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5.75" customHeight="1" x14ac:dyDescent="0.3">
      <c r="A232" s="56"/>
      <c r="B232" s="56"/>
      <c r="C232" s="56"/>
      <c r="D232" s="56"/>
      <c r="E232" s="14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7"/>
      <c r="Q232" s="57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5.75" customHeight="1" x14ac:dyDescent="0.3">
      <c r="A233" s="56"/>
      <c r="B233" s="56"/>
      <c r="C233" s="56"/>
      <c r="D233" s="56"/>
      <c r="E233" s="14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7"/>
      <c r="Q233" s="57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5.75" customHeight="1" x14ac:dyDescent="0.3">
      <c r="A234" s="56"/>
      <c r="B234" s="56"/>
      <c r="C234" s="56"/>
      <c r="D234" s="56"/>
      <c r="E234" s="14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7"/>
      <c r="Q234" s="57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5.75" customHeight="1" x14ac:dyDescent="0.3">
      <c r="A235" s="56"/>
      <c r="B235" s="56"/>
      <c r="C235" s="56"/>
      <c r="D235" s="56"/>
      <c r="E235" s="14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7"/>
      <c r="Q235" s="57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5.75" customHeight="1" x14ac:dyDescent="0.3">
      <c r="A236" s="56"/>
      <c r="B236" s="56"/>
      <c r="C236" s="56"/>
      <c r="D236" s="56"/>
      <c r="E236" s="14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7"/>
      <c r="Q236" s="57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5.75" customHeight="1" x14ac:dyDescent="0.3">
      <c r="A237" s="56"/>
      <c r="B237" s="56"/>
      <c r="C237" s="56"/>
      <c r="D237" s="56"/>
      <c r="E237" s="14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7"/>
      <c r="Q237" s="57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5.75" customHeight="1" x14ac:dyDescent="0.3">
      <c r="A238" s="56"/>
      <c r="B238" s="56"/>
      <c r="C238" s="56"/>
      <c r="D238" s="56"/>
      <c r="E238" s="14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7"/>
      <c r="Q238" s="57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5.75" customHeight="1" x14ac:dyDescent="0.3">
      <c r="A239" s="56"/>
      <c r="B239" s="56"/>
      <c r="C239" s="56"/>
      <c r="D239" s="56"/>
      <c r="E239" s="14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7"/>
      <c r="Q239" s="57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5.75" customHeight="1" x14ac:dyDescent="0.3">
      <c r="A240" s="56"/>
      <c r="B240" s="56"/>
      <c r="C240" s="56"/>
      <c r="D240" s="56"/>
      <c r="E240" s="14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7"/>
      <c r="Q240" s="57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5.75" customHeight="1" x14ac:dyDescent="0.3">
      <c r="A241" s="56"/>
      <c r="B241" s="56"/>
      <c r="C241" s="56"/>
      <c r="D241" s="56"/>
      <c r="E241" s="14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7"/>
      <c r="Q241" s="57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5.75" customHeight="1" x14ac:dyDescent="0.3">
      <c r="A242" s="56"/>
      <c r="B242" s="56"/>
      <c r="C242" s="56"/>
      <c r="D242" s="56"/>
      <c r="E242" s="14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7"/>
      <c r="Q242" s="57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5.75" customHeight="1" x14ac:dyDescent="0.3">
      <c r="A243" s="56"/>
      <c r="B243" s="56"/>
      <c r="C243" s="56"/>
      <c r="D243" s="56"/>
      <c r="E243" s="14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7"/>
      <c r="Q243" s="57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5.75" customHeight="1" x14ac:dyDescent="0.3">
      <c r="A244" s="56"/>
      <c r="B244" s="56"/>
      <c r="C244" s="56"/>
      <c r="D244" s="56"/>
      <c r="E244" s="14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7"/>
      <c r="Q244" s="57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5.75" customHeight="1" x14ac:dyDescent="0.3">
      <c r="A245" s="56"/>
      <c r="B245" s="56"/>
      <c r="C245" s="56"/>
      <c r="D245" s="56"/>
      <c r="E245" s="14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7"/>
      <c r="Q245" s="57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5.75" customHeight="1" x14ac:dyDescent="0.3">
      <c r="A246" s="56"/>
      <c r="B246" s="56"/>
      <c r="C246" s="56"/>
      <c r="D246" s="56"/>
      <c r="E246" s="14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7"/>
      <c r="Q246" s="57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5.75" customHeight="1" x14ac:dyDescent="0.3">
      <c r="A247" s="56"/>
      <c r="B247" s="56"/>
      <c r="C247" s="56"/>
      <c r="D247" s="56"/>
      <c r="E247" s="14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7"/>
      <c r="Q247" s="57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5.75" customHeight="1" x14ac:dyDescent="0.3">
      <c r="A248" s="56"/>
      <c r="B248" s="56"/>
      <c r="C248" s="56"/>
      <c r="D248" s="56"/>
      <c r="E248" s="14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7"/>
      <c r="Q248" s="57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5.75" customHeight="1" x14ac:dyDescent="0.3">
      <c r="A249" s="56"/>
      <c r="B249" s="56"/>
      <c r="C249" s="56"/>
      <c r="D249" s="56"/>
      <c r="E249" s="14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7"/>
      <c r="Q249" s="57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5.75" customHeight="1" x14ac:dyDescent="0.3">
      <c r="A250" s="56"/>
      <c r="B250" s="56"/>
      <c r="C250" s="56"/>
      <c r="D250" s="56"/>
      <c r="E250" s="14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7"/>
      <c r="Q250" s="57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5.75" customHeight="1" x14ac:dyDescent="0.3">
      <c r="A251" s="56"/>
      <c r="B251" s="56"/>
      <c r="C251" s="56"/>
      <c r="D251" s="56"/>
      <c r="E251" s="14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7"/>
      <c r="Q251" s="57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5.75" customHeight="1" x14ac:dyDescent="0.3">
      <c r="A252" s="56"/>
      <c r="B252" s="56"/>
      <c r="C252" s="56"/>
      <c r="D252" s="56"/>
      <c r="E252" s="14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7"/>
      <c r="Q252" s="57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5.75" customHeight="1" x14ac:dyDescent="0.3">
      <c r="A253" s="56"/>
      <c r="B253" s="56"/>
      <c r="C253" s="56"/>
      <c r="D253" s="56"/>
      <c r="E253" s="14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7"/>
      <c r="Q253" s="57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5.75" customHeight="1" x14ac:dyDescent="0.3">
      <c r="A254" s="56"/>
      <c r="B254" s="56"/>
      <c r="C254" s="56"/>
      <c r="D254" s="56"/>
      <c r="E254" s="14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7"/>
      <c r="Q254" s="57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5.75" customHeight="1" x14ac:dyDescent="0.3">
      <c r="A255" s="56"/>
      <c r="B255" s="56"/>
      <c r="C255" s="56"/>
      <c r="D255" s="56"/>
      <c r="E255" s="14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7"/>
      <c r="Q255" s="57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5.75" customHeight="1" x14ac:dyDescent="0.3">
      <c r="A256" s="56"/>
      <c r="B256" s="56"/>
      <c r="C256" s="56"/>
      <c r="D256" s="56"/>
      <c r="E256" s="14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7"/>
      <c r="Q256" s="57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5.75" customHeight="1" x14ac:dyDescent="0.3">
      <c r="A257" s="56"/>
      <c r="B257" s="56"/>
      <c r="C257" s="56"/>
      <c r="D257" s="56"/>
      <c r="E257" s="14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7"/>
      <c r="Q257" s="57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5.75" customHeight="1" x14ac:dyDescent="0.3">
      <c r="A258" s="56"/>
      <c r="B258" s="56"/>
      <c r="C258" s="56"/>
      <c r="D258" s="56"/>
      <c r="E258" s="14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7"/>
      <c r="Q258" s="57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5.75" customHeight="1" x14ac:dyDescent="0.3">
      <c r="A259" s="56"/>
      <c r="B259" s="56"/>
      <c r="C259" s="56"/>
      <c r="D259" s="56"/>
      <c r="E259" s="14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7"/>
      <c r="Q259" s="57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5.75" customHeight="1" x14ac:dyDescent="0.3">
      <c r="A260" s="56"/>
      <c r="B260" s="56"/>
      <c r="C260" s="56"/>
      <c r="D260" s="56"/>
      <c r="E260" s="14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7"/>
      <c r="Q260" s="57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5.75" customHeight="1" x14ac:dyDescent="0.3">
      <c r="A261" s="56"/>
      <c r="B261" s="56"/>
      <c r="C261" s="56"/>
      <c r="D261" s="56"/>
      <c r="E261" s="14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7"/>
      <c r="Q261" s="57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5.75" customHeight="1" x14ac:dyDescent="0.3">
      <c r="A262" s="56"/>
      <c r="B262" s="56"/>
      <c r="C262" s="56"/>
      <c r="D262" s="56"/>
      <c r="E262" s="14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7"/>
      <c r="Q262" s="57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5.75" customHeight="1" x14ac:dyDescent="0.3">
      <c r="A263" s="56"/>
      <c r="B263" s="56"/>
      <c r="C263" s="56"/>
      <c r="D263" s="56"/>
      <c r="E263" s="14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7"/>
      <c r="Q263" s="57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5.75" customHeight="1" x14ac:dyDescent="0.3">
      <c r="A264" s="56"/>
      <c r="B264" s="56"/>
      <c r="C264" s="56"/>
      <c r="D264" s="56"/>
      <c r="E264" s="14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7"/>
      <c r="Q264" s="57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15.75" customHeight="1" x14ac:dyDescent="0.3">
      <c r="A265" s="56"/>
      <c r="B265" s="56"/>
      <c r="C265" s="56"/>
      <c r="D265" s="56"/>
      <c r="E265" s="14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7"/>
      <c r="Q265" s="57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15.75" customHeight="1" x14ac:dyDescent="0.3">
      <c r="A266" s="56"/>
      <c r="B266" s="56"/>
      <c r="C266" s="56"/>
      <c r="D266" s="56"/>
      <c r="E266" s="14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7"/>
      <c r="Q266" s="57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15.75" customHeight="1" x14ac:dyDescent="0.3">
      <c r="A267" s="56"/>
      <c r="B267" s="56"/>
      <c r="C267" s="56"/>
      <c r="D267" s="56"/>
      <c r="E267" s="14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7"/>
      <c r="Q267" s="57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15.75" customHeight="1" x14ac:dyDescent="0.3">
      <c r="A268" s="56"/>
      <c r="B268" s="56"/>
      <c r="C268" s="56"/>
      <c r="D268" s="56"/>
      <c r="E268" s="14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7"/>
      <c r="Q268" s="57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15.75" customHeight="1" x14ac:dyDescent="0.3">
      <c r="A269" s="56"/>
      <c r="B269" s="56"/>
      <c r="C269" s="56"/>
      <c r="D269" s="56"/>
      <c r="E269" s="14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7"/>
      <c r="Q269" s="57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15.75" customHeight="1" x14ac:dyDescent="0.3">
      <c r="A270" s="56"/>
      <c r="B270" s="56"/>
      <c r="C270" s="56"/>
      <c r="D270" s="56"/>
      <c r="E270" s="14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7"/>
      <c r="Q270" s="57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15.75" customHeight="1" x14ac:dyDescent="0.3">
      <c r="A271" s="56"/>
      <c r="B271" s="56"/>
      <c r="C271" s="56"/>
      <c r="D271" s="56"/>
      <c r="E271" s="14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7"/>
      <c r="Q271" s="57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15.75" customHeight="1" x14ac:dyDescent="0.3">
      <c r="A272" s="56"/>
      <c r="B272" s="56"/>
      <c r="C272" s="56"/>
      <c r="D272" s="56"/>
      <c r="E272" s="14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7"/>
      <c r="Q272" s="57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15.75" customHeight="1" x14ac:dyDescent="0.3">
      <c r="A273" s="56"/>
      <c r="B273" s="56"/>
      <c r="C273" s="56"/>
      <c r="D273" s="56"/>
      <c r="E273" s="14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7"/>
      <c r="Q273" s="57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15.75" customHeight="1" x14ac:dyDescent="0.3">
      <c r="A274" s="56"/>
      <c r="B274" s="56"/>
      <c r="C274" s="56"/>
      <c r="D274" s="56"/>
      <c r="E274" s="14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7"/>
      <c r="Q274" s="57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15.75" customHeight="1" x14ac:dyDescent="0.3">
      <c r="A275" s="56"/>
      <c r="B275" s="56"/>
      <c r="C275" s="56"/>
      <c r="D275" s="56"/>
      <c r="E275" s="14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7"/>
      <c r="Q275" s="57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15.75" customHeight="1" x14ac:dyDescent="0.3">
      <c r="A276" s="56"/>
      <c r="B276" s="56"/>
      <c r="C276" s="56"/>
      <c r="D276" s="56"/>
      <c r="E276" s="14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7"/>
      <c r="Q276" s="57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15.75" customHeight="1" x14ac:dyDescent="0.3">
      <c r="A277" s="56"/>
      <c r="B277" s="56"/>
      <c r="C277" s="56"/>
      <c r="D277" s="56"/>
      <c r="E277" s="14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7"/>
      <c r="Q277" s="57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15.75" customHeight="1" x14ac:dyDescent="0.3">
      <c r="A278" s="56"/>
      <c r="B278" s="56"/>
      <c r="C278" s="56"/>
      <c r="D278" s="56"/>
      <c r="E278" s="14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7"/>
      <c r="Q278" s="57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15.75" customHeight="1" x14ac:dyDescent="0.3">
      <c r="A279" s="56"/>
      <c r="B279" s="56"/>
      <c r="C279" s="56"/>
      <c r="D279" s="56"/>
      <c r="E279" s="14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7"/>
      <c r="Q279" s="57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15.75" customHeight="1" x14ac:dyDescent="0.3">
      <c r="A280" s="56"/>
      <c r="B280" s="56"/>
      <c r="C280" s="56"/>
      <c r="D280" s="56"/>
      <c r="E280" s="14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7"/>
      <c r="Q280" s="57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15.75" customHeight="1" x14ac:dyDescent="0.3">
      <c r="A281" s="56"/>
      <c r="B281" s="56"/>
      <c r="C281" s="56"/>
      <c r="D281" s="56"/>
      <c r="E281" s="14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7"/>
      <c r="Q281" s="57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15.75" customHeight="1" x14ac:dyDescent="0.3">
      <c r="A282" s="56"/>
      <c r="B282" s="56"/>
      <c r="C282" s="56"/>
      <c r="D282" s="56"/>
      <c r="E282" s="14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7"/>
      <c r="Q282" s="57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15.75" customHeight="1" x14ac:dyDescent="0.3">
      <c r="A283" s="56"/>
      <c r="B283" s="56"/>
      <c r="C283" s="56"/>
      <c r="D283" s="56"/>
      <c r="E283" s="14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7"/>
      <c r="Q283" s="57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15.75" customHeight="1" x14ac:dyDescent="0.3">
      <c r="A284" s="56"/>
      <c r="B284" s="56"/>
      <c r="C284" s="56"/>
      <c r="D284" s="56"/>
      <c r="E284" s="14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7"/>
      <c r="Q284" s="57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15.75" customHeight="1" x14ac:dyDescent="0.3">
      <c r="A285" s="56"/>
      <c r="B285" s="56"/>
      <c r="C285" s="56"/>
      <c r="D285" s="56"/>
      <c r="E285" s="14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7"/>
      <c r="Q285" s="57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15.75" customHeight="1" x14ac:dyDescent="0.3">
      <c r="A286" s="56"/>
      <c r="B286" s="56"/>
      <c r="C286" s="56"/>
      <c r="D286" s="56"/>
      <c r="E286" s="14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7"/>
      <c r="Q286" s="57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15.75" customHeight="1" x14ac:dyDescent="0.3">
      <c r="A287" s="56"/>
      <c r="B287" s="56"/>
      <c r="C287" s="56"/>
      <c r="D287" s="56"/>
      <c r="E287" s="14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7"/>
      <c r="Q287" s="57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15.75" customHeight="1" x14ac:dyDescent="0.3">
      <c r="A288" s="56"/>
      <c r="B288" s="56"/>
      <c r="C288" s="56"/>
      <c r="D288" s="56"/>
      <c r="E288" s="14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7"/>
      <c r="Q288" s="57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15.75" customHeight="1" x14ac:dyDescent="0.3">
      <c r="A289" s="56"/>
      <c r="B289" s="56"/>
      <c r="C289" s="56"/>
      <c r="D289" s="56"/>
      <c r="E289" s="14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7"/>
      <c r="Q289" s="57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15.75" customHeight="1" x14ac:dyDescent="0.3">
      <c r="A290" s="56"/>
      <c r="B290" s="56"/>
      <c r="C290" s="56"/>
      <c r="D290" s="56"/>
      <c r="E290" s="14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7"/>
      <c r="Q290" s="57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15.75" customHeight="1" x14ac:dyDescent="0.3">
      <c r="A291" s="56"/>
      <c r="B291" s="56"/>
      <c r="C291" s="56"/>
      <c r="D291" s="56"/>
      <c r="E291" s="14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7"/>
      <c r="Q291" s="57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15.75" customHeight="1" x14ac:dyDescent="0.3">
      <c r="A292" s="56"/>
      <c r="B292" s="56"/>
      <c r="C292" s="56"/>
      <c r="D292" s="56"/>
      <c r="E292" s="14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7"/>
      <c r="Q292" s="57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15.75" customHeight="1" x14ac:dyDescent="0.3">
      <c r="A293" s="56"/>
      <c r="B293" s="56"/>
      <c r="C293" s="56"/>
      <c r="D293" s="56"/>
      <c r="E293" s="14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7"/>
      <c r="Q293" s="57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15.75" customHeight="1" x14ac:dyDescent="0.3">
      <c r="A294" s="56"/>
      <c r="B294" s="56"/>
      <c r="C294" s="56"/>
      <c r="D294" s="56"/>
      <c r="E294" s="14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7"/>
      <c r="Q294" s="57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15.75" customHeight="1" x14ac:dyDescent="0.3">
      <c r="A295" s="56"/>
      <c r="B295" s="56"/>
      <c r="C295" s="56"/>
      <c r="D295" s="56"/>
      <c r="E295" s="14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7"/>
      <c r="Q295" s="57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15.75" customHeight="1" x14ac:dyDescent="0.3">
      <c r="A296" s="56"/>
      <c r="B296" s="56"/>
      <c r="C296" s="56"/>
      <c r="D296" s="56"/>
      <c r="E296" s="14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7"/>
      <c r="Q296" s="57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15.75" customHeight="1" x14ac:dyDescent="0.3">
      <c r="A297" s="56"/>
      <c r="B297" s="56"/>
      <c r="C297" s="56"/>
      <c r="D297" s="56"/>
      <c r="E297" s="14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7"/>
      <c r="Q297" s="57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15.75" customHeight="1" x14ac:dyDescent="0.3">
      <c r="A298" s="56"/>
      <c r="B298" s="56"/>
      <c r="C298" s="56"/>
      <c r="D298" s="56"/>
      <c r="E298" s="14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7"/>
      <c r="Q298" s="57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15.75" customHeight="1" x14ac:dyDescent="0.3">
      <c r="A299" s="56"/>
      <c r="B299" s="56"/>
      <c r="C299" s="56"/>
      <c r="D299" s="56"/>
      <c r="E299" s="14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7"/>
      <c r="Q299" s="57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15.75" customHeight="1" x14ac:dyDescent="0.3">
      <c r="A300" s="56"/>
      <c r="B300" s="56"/>
      <c r="C300" s="56"/>
      <c r="D300" s="56"/>
      <c r="E300" s="14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7"/>
      <c r="Q300" s="57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15.75" customHeight="1" x14ac:dyDescent="0.3">
      <c r="A301" s="56"/>
      <c r="B301" s="56"/>
      <c r="C301" s="56"/>
      <c r="D301" s="56"/>
      <c r="E301" s="14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7"/>
      <c r="Q301" s="57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15.75" customHeight="1" x14ac:dyDescent="0.3">
      <c r="A302" s="56"/>
      <c r="B302" s="56"/>
      <c r="C302" s="56"/>
      <c r="D302" s="56"/>
      <c r="E302" s="14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7"/>
      <c r="Q302" s="57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15.75" customHeight="1" x14ac:dyDescent="0.3">
      <c r="A303" s="56"/>
      <c r="B303" s="56"/>
      <c r="C303" s="56"/>
      <c r="D303" s="56"/>
      <c r="E303" s="14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7"/>
      <c r="Q303" s="57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15.75" customHeight="1" x14ac:dyDescent="0.3">
      <c r="A304" s="56"/>
      <c r="B304" s="56"/>
      <c r="C304" s="56"/>
      <c r="D304" s="56"/>
      <c r="E304" s="14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7"/>
      <c r="Q304" s="57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15.75" customHeight="1" x14ac:dyDescent="0.3">
      <c r="A305" s="56"/>
      <c r="B305" s="56"/>
      <c r="C305" s="56"/>
      <c r="D305" s="56"/>
      <c r="E305" s="14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7"/>
      <c r="Q305" s="57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15.75" customHeight="1" x14ac:dyDescent="0.3">
      <c r="A306" s="56"/>
      <c r="B306" s="56"/>
      <c r="C306" s="56"/>
      <c r="D306" s="56"/>
      <c r="E306" s="14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7"/>
      <c r="Q306" s="57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15.75" customHeight="1" x14ac:dyDescent="0.3">
      <c r="A307" s="56"/>
      <c r="B307" s="56"/>
      <c r="C307" s="56"/>
      <c r="D307" s="56"/>
      <c r="E307" s="14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7"/>
      <c r="Q307" s="57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15.75" customHeight="1" x14ac:dyDescent="0.3">
      <c r="A308" s="56"/>
      <c r="B308" s="56"/>
      <c r="C308" s="56"/>
      <c r="D308" s="56"/>
      <c r="E308" s="14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7"/>
      <c r="Q308" s="57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15.75" customHeight="1" x14ac:dyDescent="0.3">
      <c r="A309" s="56"/>
      <c r="B309" s="56"/>
      <c r="C309" s="56"/>
      <c r="D309" s="56"/>
      <c r="E309" s="14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7"/>
      <c r="Q309" s="57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15.75" customHeight="1" x14ac:dyDescent="0.3">
      <c r="A310" s="56"/>
      <c r="B310" s="56"/>
      <c r="C310" s="56"/>
      <c r="D310" s="56"/>
      <c r="E310" s="14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7"/>
      <c r="Q310" s="57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15.75" customHeight="1" x14ac:dyDescent="0.3">
      <c r="A311" s="56"/>
      <c r="B311" s="56"/>
      <c r="C311" s="56"/>
      <c r="D311" s="56"/>
      <c r="E311" s="14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7"/>
      <c r="Q311" s="57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15.75" customHeight="1" x14ac:dyDescent="0.3">
      <c r="A312" s="56"/>
      <c r="B312" s="56"/>
      <c r="C312" s="56"/>
      <c r="D312" s="56"/>
      <c r="E312" s="14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7"/>
      <c r="Q312" s="57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15.75" customHeight="1" x14ac:dyDescent="0.3">
      <c r="A313" s="56"/>
      <c r="B313" s="56"/>
      <c r="C313" s="56"/>
      <c r="D313" s="56"/>
      <c r="E313" s="14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7"/>
      <c r="Q313" s="57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15.75" customHeight="1" x14ac:dyDescent="0.3">
      <c r="A314" s="56"/>
      <c r="B314" s="56"/>
      <c r="C314" s="56"/>
      <c r="D314" s="56"/>
      <c r="E314" s="14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7"/>
      <c r="Q314" s="57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15.75" customHeight="1" x14ac:dyDescent="0.3">
      <c r="A315" s="56"/>
      <c r="B315" s="56"/>
      <c r="C315" s="56"/>
      <c r="D315" s="56"/>
      <c r="E315" s="14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7"/>
      <c r="Q315" s="57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15.75" customHeight="1" x14ac:dyDescent="0.3">
      <c r="A316" s="56"/>
      <c r="B316" s="56"/>
      <c r="C316" s="56"/>
      <c r="D316" s="56"/>
      <c r="E316" s="14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7"/>
      <c r="Q316" s="57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15.75" customHeight="1" x14ac:dyDescent="0.3">
      <c r="A317" s="56"/>
      <c r="B317" s="56"/>
      <c r="C317" s="56"/>
      <c r="D317" s="56"/>
      <c r="E317" s="14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7"/>
      <c r="Q317" s="57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15.75" customHeight="1" x14ac:dyDescent="0.3">
      <c r="A318" s="56"/>
      <c r="B318" s="56"/>
      <c r="C318" s="56"/>
      <c r="D318" s="56"/>
      <c r="E318" s="14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7"/>
      <c r="Q318" s="57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15.75" customHeight="1" x14ac:dyDescent="0.3">
      <c r="A319" s="56"/>
      <c r="B319" s="56"/>
      <c r="C319" s="56"/>
      <c r="D319" s="56"/>
      <c r="E319" s="14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7"/>
      <c r="Q319" s="57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15.75" customHeight="1" x14ac:dyDescent="0.3">
      <c r="A320" s="56"/>
      <c r="B320" s="56"/>
      <c r="C320" s="56"/>
      <c r="D320" s="56"/>
      <c r="E320" s="14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7"/>
      <c r="Q320" s="57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15.75" customHeight="1" x14ac:dyDescent="0.3">
      <c r="A321" s="56"/>
      <c r="B321" s="56"/>
      <c r="C321" s="56"/>
      <c r="D321" s="56"/>
      <c r="E321" s="14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7"/>
      <c r="Q321" s="57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15.75" customHeight="1" x14ac:dyDescent="0.3">
      <c r="A322" s="56"/>
      <c r="B322" s="56"/>
      <c r="C322" s="56"/>
      <c r="D322" s="56"/>
      <c r="E322" s="14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7"/>
      <c r="Q322" s="57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15.75" customHeight="1" x14ac:dyDescent="0.3">
      <c r="A323" s="56"/>
      <c r="B323" s="56"/>
      <c r="C323" s="56"/>
      <c r="D323" s="56"/>
      <c r="E323" s="14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7"/>
      <c r="Q323" s="57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15.75" customHeight="1" x14ac:dyDescent="0.3">
      <c r="A324" s="56"/>
      <c r="B324" s="56"/>
      <c r="C324" s="56"/>
      <c r="D324" s="56"/>
      <c r="E324" s="14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7"/>
      <c r="Q324" s="57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15.75" customHeight="1" x14ac:dyDescent="0.3">
      <c r="A325" s="56"/>
      <c r="B325" s="56"/>
      <c r="C325" s="56"/>
      <c r="D325" s="56"/>
      <c r="E325" s="14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7"/>
      <c r="Q325" s="57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15.75" customHeight="1" x14ac:dyDescent="0.3">
      <c r="A326" s="56"/>
      <c r="B326" s="56"/>
      <c r="C326" s="56"/>
      <c r="D326" s="56"/>
      <c r="E326" s="14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7"/>
      <c r="Q326" s="57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15.75" customHeight="1" x14ac:dyDescent="0.3">
      <c r="A327" s="56"/>
      <c r="B327" s="56"/>
      <c r="C327" s="56"/>
      <c r="D327" s="56"/>
      <c r="E327" s="14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7"/>
      <c r="Q327" s="57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15.75" customHeight="1" x14ac:dyDescent="0.3">
      <c r="A328" s="56"/>
      <c r="B328" s="56"/>
      <c r="C328" s="56"/>
      <c r="D328" s="56"/>
      <c r="E328" s="14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7"/>
      <c r="Q328" s="57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15.75" customHeight="1" x14ac:dyDescent="0.3">
      <c r="A329" s="56"/>
      <c r="B329" s="56"/>
      <c r="C329" s="56"/>
      <c r="D329" s="56"/>
      <c r="E329" s="14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7"/>
      <c r="Q329" s="57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15.75" customHeight="1" x14ac:dyDescent="0.3">
      <c r="A330" s="56"/>
      <c r="B330" s="56"/>
      <c r="C330" s="56"/>
      <c r="D330" s="56"/>
      <c r="E330" s="14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7"/>
      <c r="Q330" s="57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15.75" customHeight="1" x14ac:dyDescent="0.3">
      <c r="A331" s="56"/>
      <c r="B331" s="56"/>
      <c r="C331" s="56"/>
      <c r="D331" s="56"/>
      <c r="E331" s="14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7"/>
      <c r="Q331" s="57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15.75" customHeight="1" x14ac:dyDescent="0.3">
      <c r="A332" s="56"/>
      <c r="B332" s="56"/>
      <c r="C332" s="56"/>
      <c r="D332" s="56"/>
      <c r="E332" s="14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7"/>
      <c r="Q332" s="57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15.75" customHeight="1" x14ac:dyDescent="0.3">
      <c r="A333" s="56"/>
      <c r="B333" s="56"/>
      <c r="C333" s="56"/>
      <c r="D333" s="56"/>
      <c r="E333" s="14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7"/>
      <c r="Q333" s="57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15.75" customHeight="1" x14ac:dyDescent="0.3">
      <c r="A334" s="56"/>
      <c r="B334" s="56"/>
      <c r="C334" s="56"/>
      <c r="D334" s="56"/>
      <c r="E334" s="14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7"/>
      <c r="Q334" s="57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15.75" customHeight="1" x14ac:dyDescent="0.3">
      <c r="A335" s="56"/>
      <c r="B335" s="56"/>
      <c r="C335" s="56"/>
      <c r="D335" s="56"/>
      <c r="E335" s="14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7"/>
      <c r="Q335" s="57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15.75" customHeight="1" x14ac:dyDescent="0.3">
      <c r="A336" s="56"/>
      <c r="B336" s="56"/>
      <c r="C336" s="56"/>
      <c r="D336" s="56"/>
      <c r="E336" s="14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7"/>
      <c r="Q336" s="57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15.75" customHeight="1" x14ac:dyDescent="0.3">
      <c r="A337" s="56"/>
      <c r="B337" s="56"/>
      <c r="C337" s="56"/>
      <c r="D337" s="56"/>
      <c r="E337" s="14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7"/>
      <c r="Q337" s="57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15.75" customHeight="1" x14ac:dyDescent="0.3">
      <c r="A338" s="56"/>
      <c r="B338" s="56"/>
      <c r="C338" s="56"/>
      <c r="D338" s="56"/>
      <c r="E338" s="14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7"/>
      <c r="Q338" s="57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15.75" customHeight="1" x14ac:dyDescent="0.3">
      <c r="A339" s="56"/>
      <c r="B339" s="56"/>
      <c r="C339" s="56"/>
      <c r="D339" s="56"/>
      <c r="E339" s="14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7"/>
      <c r="Q339" s="57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15.75" customHeight="1" x14ac:dyDescent="0.3">
      <c r="A340" s="56"/>
      <c r="B340" s="56"/>
      <c r="C340" s="56"/>
      <c r="D340" s="56"/>
      <c r="E340" s="14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7"/>
      <c r="Q340" s="57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15.75" customHeight="1" x14ac:dyDescent="0.3">
      <c r="A341" s="56"/>
      <c r="B341" s="56"/>
      <c r="C341" s="56"/>
      <c r="D341" s="56"/>
      <c r="E341" s="14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7"/>
      <c r="Q341" s="57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15.75" customHeight="1" x14ac:dyDescent="0.3">
      <c r="A342" s="56"/>
      <c r="B342" s="56"/>
      <c r="C342" s="56"/>
      <c r="D342" s="56"/>
      <c r="E342" s="14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7"/>
      <c r="Q342" s="57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15.75" customHeight="1" x14ac:dyDescent="0.3">
      <c r="A343" s="56"/>
      <c r="B343" s="56"/>
      <c r="C343" s="56"/>
      <c r="D343" s="56"/>
      <c r="E343" s="14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7"/>
      <c r="Q343" s="57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15.75" customHeight="1" x14ac:dyDescent="0.3">
      <c r="A344" s="56"/>
      <c r="B344" s="56"/>
      <c r="C344" s="56"/>
      <c r="D344" s="56"/>
      <c r="E344" s="14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7"/>
      <c r="Q344" s="57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15.75" customHeight="1" x14ac:dyDescent="0.3">
      <c r="A345" s="56"/>
      <c r="B345" s="56"/>
      <c r="C345" s="56"/>
      <c r="D345" s="56"/>
      <c r="E345" s="14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7"/>
      <c r="Q345" s="57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15.75" customHeight="1" x14ac:dyDescent="0.3">
      <c r="A346" s="56"/>
      <c r="B346" s="56"/>
      <c r="C346" s="56"/>
      <c r="D346" s="56"/>
      <c r="E346" s="14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7"/>
      <c r="Q346" s="57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15.75" customHeight="1" x14ac:dyDescent="0.3">
      <c r="A347" s="56"/>
      <c r="B347" s="56"/>
      <c r="C347" s="56"/>
      <c r="D347" s="56"/>
      <c r="E347" s="14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7"/>
      <c r="Q347" s="57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15.75" customHeight="1" x14ac:dyDescent="0.3">
      <c r="A348" s="56"/>
      <c r="B348" s="56"/>
      <c r="C348" s="56"/>
      <c r="D348" s="56"/>
      <c r="E348" s="14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7"/>
      <c r="Q348" s="57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15.75" customHeight="1" x14ac:dyDescent="0.3">
      <c r="A349" s="56"/>
      <c r="B349" s="56"/>
      <c r="C349" s="56"/>
      <c r="D349" s="56"/>
      <c r="E349" s="14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7"/>
      <c r="Q349" s="57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15.75" customHeight="1" x14ac:dyDescent="0.3">
      <c r="A350" s="56"/>
      <c r="B350" s="56"/>
      <c r="C350" s="56"/>
      <c r="D350" s="56"/>
      <c r="E350" s="14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7"/>
      <c r="Q350" s="57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15.75" customHeight="1" x14ac:dyDescent="0.3">
      <c r="A351" s="56"/>
      <c r="B351" s="56"/>
      <c r="C351" s="56"/>
      <c r="D351" s="56"/>
      <c r="E351" s="14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7"/>
      <c r="Q351" s="57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15.75" customHeight="1" x14ac:dyDescent="0.3">
      <c r="A352" s="56"/>
      <c r="B352" s="56"/>
      <c r="C352" s="56"/>
      <c r="D352" s="56"/>
      <c r="E352" s="14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7"/>
      <c r="Q352" s="57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15.75" customHeight="1" x14ac:dyDescent="0.3">
      <c r="A353" s="56"/>
      <c r="B353" s="56"/>
      <c r="C353" s="56"/>
      <c r="D353" s="56"/>
      <c r="E353" s="14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7"/>
      <c r="Q353" s="57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15.75" customHeight="1" x14ac:dyDescent="0.3">
      <c r="A354" s="56"/>
      <c r="B354" s="56"/>
      <c r="C354" s="56"/>
      <c r="D354" s="56"/>
      <c r="E354" s="14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7"/>
      <c r="Q354" s="57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15.75" customHeight="1" x14ac:dyDescent="0.3">
      <c r="A355" s="56"/>
      <c r="B355" s="56"/>
      <c r="C355" s="56"/>
      <c r="D355" s="56"/>
      <c r="E355" s="14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7"/>
      <c r="Q355" s="57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15.75" customHeight="1" x14ac:dyDescent="0.3">
      <c r="A356" s="56"/>
      <c r="B356" s="56"/>
      <c r="C356" s="56"/>
      <c r="D356" s="56"/>
      <c r="E356" s="14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7"/>
      <c r="Q356" s="57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15.75" customHeight="1" x14ac:dyDescent="0.3">
      <c r="A357" s="56"/>
      <c r="B357" s="56"/>
      <c r="C357" s="56"/>
      <c r="D357" s="56"/>
      <c r="E357" s="14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7"/>
      <c r="Q357" s="57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15.75" customHeight="1" x14ac:dyDescent="0.3">
      <c r="A358" s="56"/>
      <c r="B358" s="56"/>
      <c r="C358" s="56"/>
      <c r="D358" s="56"/>
      <c r="E358" s="14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7"/>
      <c r="Q358" s="57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15.75" customHeight="1" x14ac:dyDescent="0.3">
      <c r="A359" s="56"/>
      <c r="B359" s="56"/>
      <c r="C359" s="56"/>
      <c r="D359" s="56"/>
      <c r="E359" s="14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7"/>
      <c r="Q359" s="57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15.75" customHeight="1" x14ac:dyDescent="0.3">
      <c r="A360" s="56"/>
      <c r="B360" s="56"/>
      <c r="C360" s="56"/>
      <c r="D360" s="56"/>
      <c r="E360" s="14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7"/>
      <c r="Q360" s="57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15.75" customHeight="1" x14ac:dyDescent="0.3">
      <c r="A361" s="56"/>
      <c r="B361" s="56"/>
      <c r="C361" s="56"/>
      <c r="D361" s="56"/>
      <c r="E361" s="14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7"/>
      <c r="Q361" s="57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15.75" customHeight="1" x14ac:dyDescent="0.3">
      <c r="A362" s="56"/>
      <c r="B362" s="56"/>
      <c r="C362" s="56"/>
      <c r="D362" s="56"/>
      <c r="E362" s="14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7"/>
      <c r="Q362" s="57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15.75" customHeight="1" x14ac:dyDescent="0.3">
      <c r="A363" s="56"/>
      <c r="B363" s="56"/>
      <c r="C363" s="56"/>
      <c r="D363" s="56"/>
      <c r="E363" s="14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7"/>
      <c r="Q363" s="57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15.75" customHeight="1" x14ac:dyDescent="0.3">
      <c r="A364" s="56"/>
      <c r="B364" s="56"/>
      <c r="C364" s="56"/>
      <c r="D364" s="56"/>
      <c r="E364" s="14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7"/>
      <c r="Q364" s="57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15.75" customHeight="1" x14ac:dyDescent="0.3">
      <c r="A365" s="56"/>
      <c r="B365" s="56"/>
      <c r="C365" s="56"/>
      <c r="D365" s="56"/>
      <c r="E365" s="14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7"/>
      <c r="Q365" s="57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15.75" customHeight="1" x14ac:dyDescent="0.3">
      <c r="A366" s="56"/>
      <c r="B366" s="56"/>
      <c r="C366" s="56"/>
      <c r="D366" s="56"/>
      <c r="E366" s="14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7"/>
      <c r="Q366" s="57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15.75" customHeight="1" x14ac:dyDescent="0.3">
      <c r="A367" s="56"/>
      <c r="B367" s="56"/>
      <c r="C367" s="56"/>
      <c r="D367" s="56"/>
      <c r="E367" s="14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7"/>
      <c r="Q367" s="57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15.75" customHeight="1" x14ac:dyDescent="0.3">
      <c r="A368" s="56"/>
      <c r="B368" s="56"/>
      <c r="C368" s="56"/>
      <c r="D368" s="56"/>
      <c r="E368" s="14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7"/>
      <c r="Q368" s="57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15.75" customHeight="1" x14ac:dyDescent="0.3">
      <c r="A369" s="56"/>
      <c r="B369" s="56"/>
      <c r="C369" s="56"/>
      <c r="D369" s="56"/>
      <c r="E369" s="14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7"/>
      <c r="Q369" s="57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15.75" customHeight="1" x14ac:dyDescent="0.3">
      <c r="A370" s="56"/>
      <c r="B370" s="56"/>
      <c r="C370" s="56"/>
      <c r="D370" s="56"/>
      <c r="E370" s="14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7"/>
      <c r="Q370" s="57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15.75" customHeight="1" x14ac:dyDescent="0.3">
      <c r="A371" s="56"/>
      <c r="B371" s="56"/>
      <c r="C371" s="56"/>
      <c r="D371" s="56"/>
      <c r="E371" s="14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7"/>
      <c r="Q371" s="57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15.75" customHeight="1" x14ac:dyDescent="0.3">
      <c r="A372" s="56"/>
      <c r="B372" s="56"/>
      <c r="C372" s="56"/>
      <c r="D372" s="56"/>
      <c r="E372" s="14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7"/>
      <c r="Q372" s="57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15.75" customHeight="1" x14ac:dyDescent="0.3">
      <c r="A373" s="56"/>
      <c r="B373" s="56"/>
      <c r="C373" s="56"/>
      <c r="D373" s="56"/>
      <c r="E373" s="14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7"/>
      <c r="Q373" s="57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15.75" customHeight="1" x14ac:dyDescent="0.3">
      <c r="A374" s="56"/>
      <c r="B374" s="56"/>
      <c r="C374" s="56"/>
      <c r="D374" s="56"/>
      <c r="E374" s="14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7"/>
      <c r="Q374" s="57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15.75" customHeight="1" x14ac:dyDescent="0.3">
      <c r="A375" s="56"/>
      <c r="B375" s="56"/>
      <c r="C375" s="56"/>
      <c r="D375" s="56"/>
      <c r="E375" s="14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7"/>
      <c r="Q375" s="57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15.75" customHeight="1" x14ac:dyDescent="0.3">
      <c r="A376" s="56"/>
      <c r="B376" s="56"/>
      <c r="C376" s="56"/>
      <c r="D376" s="56"/>
      <c r="E376" s="14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7"/>
      <c r="Q376" s="57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15.75" customHeight="1" x14ac:dyDescent="0.3">
      <c r="A377" s="56"/>
      <c r="B377" s="56"/>
      <c r="C377" s="56"/>
      <c r="D377" s="56"/>
      <c r="E377" s="14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7"/>
      <c r="Q377" s="57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15.75" customHeight="1" x14ac:dyDescent="0.3">
      <c r="A378" s="56"/>
      <c r="B378" s="56"/>
      <c r="C378" s="56"/>
      <c r="D378" s="56"/>
      <c r="E378" s="14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7"/>
      <c r="Q378" s="57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15.75" customHeight="1" x14ac:dyDescent="0.3">
      <c r="A379" s="56"/>
      <c r="B379" s="56"/>
      <c r="C379" s="56"/>
      <c r="D379" s="56"/>
      <c r="E379" s="14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7"/>
      <c r="Q379" s="57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15.75" customHeight="1" x14ac:dyDescent="0.3">
      <c r="A380" s="56"/>
      <c r="B380" s="56"/>
      <c r="C380" s="56"/>
      <c r="D380" s="56"/>
      <c r="E380" s="14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7"/>
      <c r="Q380" s="57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15.75" customHeight="1" x14ac:dyDescent="0.3">
      <c r="A381" s="56"/>
      <c r="B381" s="56"/>
      <c r="C381" s="56"/>
      <c r="D381" s="56"/>
      <c r="E381" s="14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7"/>
      <c r="Q381" s="57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15.75" customHeight="1" x14ac:dyDescent="0.3">
      <c r="A382" s="56"/>
      <c r="B382" s="56"/>
      <c r="C382" s="56"/>
      <c r="D382" s="56"/>
      <c r="E382" s="14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7"/>
      <c r="Q382" s="57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15.75" customHeight="1" x14ac:dyDescent="0.3">
      <c r="A383" s="56"/>
      <c r="B383" s="56"/>
      <c r="C383" s="56"/>
      <c r="D383" s="56"/>
      <c r="E383" s="14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7"/>
      <c r="Q383" s="57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15.75" customHeight="1" x14ac:dyDescent="0.3">
      <c r="A384" s="56"/>
      <c r="B384" s="56"/>
      <c r="C384" s="56"/>
      <c r="D384" s="56"/>
      <c r="E384" s="14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7"/>
      <c r="Q384" s="57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15.75" customHeight="1" x14ac:dyDescent="0.3">
      <c r="A385" s="56"/>
      <c r="B385" s="56"/>
      <c r="C385" s="56"/>
      <c r="D385" s="56"/>
      <c r="E385" s="14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7"/>
      <c r="Q385" s="57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15.75" customHeight="1" x14ac:dyDescent="0.3">
      <c r="A386" s="56"/>
      <c r="B386" s="56"/>
      <c r="C386" s="56"/>
      <c r="D386" s="56"/>
      <c r="E386" s="14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7"/>
      <c r="Q386" s="57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15.75" customHeight="1" x14ac:dyDescent="0.3">
      <c r="A387" s="56"/>
      <c r="B387" s="56"/>
      <c r="C387" s="56"/>
      <c r="D387" s="56"/>
      <c r="E387" s="14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7"/>
      <c r="Q387" s="57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15.75" customHeight="1" x14ac:dyDescent="0.3">
      <c r="A388" s="56"/>
      <c r="B388" s="56"/>
      <c r="C388" s="56"/>
      <c r="D388" s="56"/>
      <c r="E388" s="14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7"/>
      <c r="Q388" s="57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15.75" customHeight="1" x14ac:dyDescent="0.3">
      <c r="A389" s="56"/>
      <c r="B389" s="56"/>
      <c r="C389" s="56"/>
      <c r="D389" s="56"/>
      <c r="E389" s="14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7"/>
      <c r="Q389" s="57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15.75" customHeight="1" x14ac:dyDescent="0.3">
      <c r="A390" s="56"/>
      <c r="B390" s="56"/>
      <c r="C390" s="56"/>
      <c r="D390" s="56"/>
      <c r="E390" s="14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7"/>
      <c r="Q390" s="57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15.75" customHeight="1" x14ac:dyDescent="0.3">
      <c r="A391" s="56"/>
      <c r="B391" s="56"/>
      <c r="C391" s="56"/>
      <c r="D391" s="56"/>
      <c r="E391" s="14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7"/>
      <c r="Q391" s="57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15.75" customHeight="1" x14ac:dyDescent="0.3">
      <c r="A392" s="56"/>
      <c r="B392" s="56"/>
      <c r="C392" s="56"/>
      <c r="D392" s="56"/>
      <c r="E392" s="14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7"/>
      <c r="Q392" s="57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15.75" customHeight="1" x14ac:dyDescent="0.3">
      <c r="A393" s="56"/>
      <c r="B393" s="56"/>
      <c r="C393" s="56"/>
      <c r="D393" s="56"/>
      <c r="E393" s="14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7"/>
      <c r="Q393" s="57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15.75" customHeight="1" x14ac:dyDescent="0.3">
      <c r="A394" s="56"/>
      <c r="B394" s="56"/>
      <c r="C394" s="56"/>
      <c r="D394" s="56"/>
      <c r="E394" s="14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7"/>
      <c r="Q394" s="57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15.75" customHeight="1" x14ac:dyDescent="0.3">
      <c r="A395" s="56"/>
      <c r="B395" s="56"/>
      <c r="C395" s="56"/>
      <c r="D395" s="56"/>
      <c r="E395" s="14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7"/>
      <c r="Q395" s="57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15.75" customHeight="1" x14ac:dyDescent="0.3">
      <c r="A396" s="56"/>
      <c r="B396" s="56"/>
      <c r="C396" s="56"/>
      <c r="D396" s="56"/>
      <c r="E396" s="14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7"/>
      <c r="Q396" s="57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15.75" customHeight="1" x14ac:dyDescent="0.3">
      <c r="A397" s="56"/>
      <c r="B397" s="56"/>
      <c r="C397" s="56"/>
      <c r="D397" s="56"/>
      <c r="E397" s="14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7"/>
      <c r="Q397" s="57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15.75" customHeight="1" x14ac:dyDescent="0.3">
      <c r="A398" s="56"/>
      <c r="B398" s="56"/>
      <c r="C398" s="56"/>
      <c r="D398" s="56"/>
      <c r="E398" s="14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7"/>
      <c r="Q398" s="57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15.75" customHeight="1" x14ac:dyDescent="0.3">
      <c r="A399" s="56"/>
      <c r="B399" s="56"/>
      <c r="C399" s="56"/>
      <c r="D399" s="56"/>
      <c r="E399" s="14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7"/>
      <c r="Q399" s="57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15.75" customHeight="1" x14ac:dyDescent="0.3">
      <c r="A400" s="56"/>
      <c r="B400" s="56"/>
      <c r="C400" s="56"/>
      <c r="D400" s="56"/>
      <c r="E400" s="14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7"/>
      <c r="Q400" s="57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15.75" customHeight="1" x14ac:dyDescent="0.3">
      <c r="A401" s="56"/>
      <c r="B401" s="56"/>
      <c r="C401" s="56"/>
      <c r="D401" s="56"/>
      <c r="E401" s="14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7"/>
      <c r="Q401" s="57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15.75" customHeight="1" x14ac:dyDescent="0.3">
      <c r="A402" s="56"/>
      <c r="B402" s="56"/>
      <c r="C402" s="56"/>
      <c r="D402" s="56"/>
      <c r="E402" s="14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7"/>
      <c r="Q402" s="57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15.75" customHeight="1" x14ac:dyDescent="0.3">
      <c r="A403" s="56"/>
      <c r="B403" s="56"/>
      <c r="C403" s="56"/>
      <c r="D403" s="56"/>
      <c r="E403" s="14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7"/>
      <c r="Q403" s="57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15.75" customHeight="1" x14ac:dyDescent="0.3">
      <c r="A404" s="56"/>
      <c r="B404" s="56"/>
      <c r="C404" s="56"/>
      <c r="D404" s="56"/>
      <c r="E404" s="14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7"/>
      <c r="Q404" s="57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15.75" customHeight="1" x14ac:dyDescent="0.3">
      <c r="A405" s="56"/>
      <c r="B405" s="56"/>
      <c r="C405" s="56"/>
      <c r="D405" s="56"/>
      <c r="E405" s="14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7"/>
      <c r="Q405" s="57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15.75" customHeight="1" x14ac:dyDescent="0.3">
      <c r="A406" s="56"/>
      <c r="B406" s="56"/>
      <c r="C406" s="56"/>
      <c r="D406" s="56"/>
      <c r="E406" s="14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7"/>
      <c r="Q406" s="57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15.75" customHeight="1" x14ac:dyDescent="0.3">
      <c r="A407" s="56"/>
      <c r="B407" s="56"/>
      <c r="C407" s="56"/>
      <c r="D407" s="56"/>
      <c r="E407" s="14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7"/>
      <c r="Q407" s="57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15.75" customHeight="1" x14ac:dyDescent="0.3">
      <c r="A408" s="56"/>
      <c r="B408" s="56"/>
      <c r="C408" s="56"/>
      <c r="D408" s="56"/>
      <c r="E408" s="14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7"/>
      <c r="Q408" s="57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15.75" customHeight="1" x14ac:dyDescent="0.3">
      <c r="A409" s="56"/>
      <c r="B409" s="56"/>
      <c r="C409" s="56"/>
      <c r="D409" s="56"/>
      <c r="E409" s="14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7"/>
      <c r="Q409" s="57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15.75" customHeight="1" x14ac:dyDescent="0.3">
      <c r="A410" s="56"/>
      <c r="B410" s="56"/>
      <c r="C410" s="56"/>
      <c r="D410" s="56"/>
      <c r="E410" s="14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7"/>
      <c r="Q410" s="57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15.75" customHeight="1" x14ac:dyDescent="0.3">
      <c r="A411" s="56"/>
      <c r="B411" s="56"/>
      <c r="C411" s="56"/>
      <c r="D411" s="56"/>
      <c r="E411" s="14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7"/>
      <c r="Q411" s="57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15.75" customHeight="1" x14ac:dyDescent="0.3">
      <c r="A412" s="56"/>
      <c r="B412" s="56"/>
      <c r="C412" s="56"/>
      <c r="D412" s="56"/>
      <c r="E412" s="14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7"/>
      <c r="Q412" s="57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15.75" customHeight="1" x14ac:dyDescent="0.3">
      <c r="A413" s="56"/>
      <c r="B413" s="56"/>
      <c r="C413" s="56"/>
      <c r="D413" s="56"/>
      <c r="E413" s="14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7"/>
      <c r="Q413" s="57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15.75" customHeight="1" x14ac:dyDescent="0.3">
      <c r="A414" s="56"/>
      <c r="B414" s="56"/>
      <c r="C414" s="56"/>
      <c r="D414" s="56"/>
      <c r="E414" s="14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7"/>
      <c r="Q414" s="57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15.75" customHeight="1" x14ac:dyDescent="0.3">
      <c r="A415" s="56"/>
      <c r="B415" s="56"/>
      <c r="C415" s="56"/>
      <c r="D415" s="56"/>
      <c r="E415" s="14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7"/>
      <c r="Q415" s="57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15.75" customHeight="1" x14ac:dyDescent="0.3">
      <c r="A416" s="56"/>
      <c r="B416" s="56"/>
      <c r="C416" s="56"/>
      <c r="D416" s="56"/>
      <c r="E416" s="14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7"/>
      <c r="Q416" s="57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15.75" customHeight="1" x14ac:dyDescent="0.3">
      <c r="A417" s="56"/>
      <c r="B417" s="56"/>
      <c r="C417" s="56"/>
      <c r="D417" s="56"/>
      <c r="E417" s="14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7"/>
      <c r="Q417" s="57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15.75" customHeight="1" x14ac:dyDescent="0.3">
      <c r="A418" s="56"/>
      <c r="B418" s="56"/>
      <c r="C418" s="56"/>
      <c r="D418" s="56"/>
      <c r="E418" s="14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7"/>
      <c r="Q418" s="57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15.75" customHeight="1" x14ac:dyDescent="0.3">
      <c r="A419" s="56"/>
      <c r="B419" s="56"/>
      <c r="C419" s="56"/>
      <c r="D419" s="56"/>
      <c r="E419" s="14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7"/>
      <c r="Q419" s="57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15.75" customHeight="1" x14ac:dyDescent="0.3">
      <c r="A420" s="56"/>
      <c r="B420" s="56"/>
      <c r="C420" s="56"/>
      <c r="D420" s="56"/>
      <c r="E420" s="14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7"/>
      <c r="Q420" s="57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15.75" customHeight="1" x14ac:dyDescent="0.3">
      <c r="A421" s="56"/>
      <c r="B421" s="56"/>
      <c r="C421" s="56"/>
      <c r="D421" s="56"/>
      <c r="E421" s="14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7"/>
      <c r="Q421" s="57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15.75" customHeight="1" x14ac:dyDescent="0.3">
      <c r="A422" s="56"/>
      <c r="B422" s="56"/>
      <c r="C422" s="56"/>
      <c r="D422" s="56"/>
      <c r="E422" s="14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7"/>
      <c r="Q422" s="57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15.75" customHeight="1" x14ac:dyDescent="0.3">
      <c r="A423" s="56"/>
      <c r="B423" s="56"/>
      <c r="C423" s="56"/>
      <c r="D423" s="56"/>
      <c r="E423" s="14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7"/>
      <c r="Q423" s="57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15.75" customHeight="1" x14ac:dyDescent="0.3">
      <c r="A424" s="56"/>
      <c r="B424" s="56"/>
      <c r="C424" s="56"/>
      <c r="D424" s="56"/>
      <c r="E424" s="14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7"/>
      <c r="Q424" s="57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15.75" customHeight="1" x14ac:dyDescent="0.3">
      <c r="A425" s="56"/>
      <c r="B425" s="56"/>
      <c r="C425" s="56"/>
      <c r="D425" s="56"/>
      <c r="E425" s="14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7"/>
      <c r="Q425" s="57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15.75" customHeight="1" x14ac:dyDescent="0.3">
      <c r="A426" s="56"/>
      <c r="B426" s="56"/>
      <c r="C426" s="56"/>
      <c r="D426" s="56"/>
      <c r="E426" s="14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7"/>
      <c r="Q426" s="57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15.75" customHeight="1" x14ac:dyDescent="0.3">
      <c r="A427" s="56"/>
      <c r="B427" s="56"/>
      <c r="C427" s="56"/>
      <c r="D427" s="56"/>
      <c r="E427" s="14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7"/>
      <c r="Q427" s="57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15.75" customHeight="1" x14ac:dyDescent="0.3">
      <c r="A428" s="56"/>
      <c r="B428" s="56"/>
      <c r="C428" s="56"/>
      <c r="D428" s="56"/>
      <c r="E428" s="14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7"/>
      <c r="Q428" s="57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15.75" customHeight="1" x14ac:dyDescent="0.3">
      <c r="A429" s="56"/>
      <c r="B429" s="56"/>
      <c r="C429" s="56"/>
      <c r="D429" s="56"/>
      <c r="E429" s="14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7"/>
      <c r="Q429" s="57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15.75" customHeight="1" x14ac:dyDescent="0.3">
      <c r="A430" s="56"/>
      <c r="B430" s="56"/>
      <c r="C430" s="56"/>
      <c r="D430" s="56"/>
      <c r="E430" s="14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7"/>
      <c r="Q430" s="57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15.75" customHeight="1" x14ac:dyDescent="0.3">
      <c r="A431" s="56"/>
      <c r="B431" s="56"/>
      <c r="C431" s="56"/>
      <c r="D431" s="56"/>
      <c r="E431" s="14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7"/>
      <c r="Q431" s="57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15.75" customHeight="1" x14ac:dyDescent="0.3">
      <c r="A432" s="56"/>
      <c r="B432" s="56"/>
      <c r="C432" s="56"/>
      <c r="D432" s="56"/>
      <c r="E432" s="14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7"/>
      <c r="Q432" s="57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15.75" customHeight="1" x14ac:dyDescent="0.3">
      <c r="A433" s="56"/>
      <c r="B433" s="56"/>
      <c r="C433" s="56"/>
      <c r="D433" s="56"/>
      <c r="E433" s="14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7"/>
      <c r="Q433" s="57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15.75" customHeight="1" x14ac:dyDescent="0.3">
      <c r="A434" s="56"/>
      <c r="B434" s="56"/>
      <c r="C434" s="56"/>
      <c r="D434" s="56"/>
      <c r="E434" s="14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7"/>
      <c r="Q434" s="57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15.75" customHeight="1" x14ac:dyDescent="0.3">
      <c r="A435" s="56"/>
      <c r="B435" s="56"/>
      <c r="C435" s="56"/>
      <c r="D435" s="56"/>
      <c r="E435" s="14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7"/>
      <c r="Q435" s="57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15.75" customHeight="1" x14ac:dyDescent="0.3">
      <c r="A436" s="56"/>
      <c r="B436" s="56"/>
      <c r="C436" s="56"/>
      <c r="D436" s="56"/>
      <c r="E436" s="14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7"/>
      <c r="Q436" s="57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15.75" customHeight="1" x14ac:dyDescent="0.3">
      <c r="A437" s="56"/>
      <c r="B437" s="56"/>
      <c r="C437" s="56"/>
      <c r="D437" s="56"/>
      <c r="E437" s="14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7"/>
      <c r="Q437" s="57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15.75" customHeight="1" x14ac:dyDescent="0.3">
      <c r="A438" s="56"/>
      <c r="B438" s="56"/>
      <c r="C438" s="56"/>
      <c r="D438" s="56"/>
      <c r="E438" s="14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7"/>
      <c r="Q438" s="57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15.75" customHeight="1" x14ac:dyDescent="0.3">
      <c r="A439" s="56"/>
      <c r="B439" s="56"/>
      <c r="C439" s="56"/>
      <c r="D439" s="56"/>
      <c r="E439" s="14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7"/>
      <c r="Q439" s="57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15.75" customHeight="1" x14ac:dyDescent="0.3">
      <c r="A440" s="56"/>
      <c r="B440" s="56"/>
      <c r="C440" s="56"/>
      <c r="D440" s="56"/>
      <c r="E440" s="14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7"/>
      <c r="Q440" s="57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15.75" customHeight="1" x14ac:dyDescent="0.3">
      <c r="A441" s="56"/>
      <c r="B441" s="56"/>
      <c r="C441" s="56"/>
      <c r="D441" s="56"/>
      <c r="E441" s="14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7"/>
      <c r="Q441" s="57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15.75" customHeight="1" x14ac:dyDescent="0.3">
      <c r="A442" s="56"/>
      <c r="B442" s="56"/>
      <c r="C442" s="56"/>
      <c r="D442" s="56"/>
      <c r="E442" s="14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7"/>
      <c r="Q442" s="57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15.75" customHeight="1" x14ac:dyDescent="0.3">
      <c r="A443" s="56"/>
      <c r="B443" s="56"/>
      <c r="C443" s="56"/>
      <c r="D443" s="56"/>
      <c r="E443" s="14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7"/>
      <c r="Q443" s="57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15.75" customHeight="1" x14ac:dyDescent="0.3">
      <c r="A444" s="56"/>
      <c r="B444" s="56"/>
      <c r="C444" s="56"/>
      <c r="D444" s="56"/>
      <c r="E444" s="14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7"/>
      <c r="Q444" s="57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15.75" customHeight="1" x14ac:dyDescent="0.3">
      <c r="A445" s="56"/>
      <c r="B445" s="56"/>
      <c r="C445" s="56"/>
      <c r="D445" s="56"/>
      <c r="E445" s="14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7"/>
      <c r="Q445" s="57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15.75" customHeight="1" x14ac:dyDescent="0.3">
      <c r="A446" s="56"/>
      <c r="B446" s="56"/>
      <c r="C446" s="56"/>
      <c r="D446" s="56"/>
      <c r="E446" s="14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7"/>
      <c r="Q446" s="57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15.75" customHeight="1" x14ac:dyDescent="0.3">
      <c r="A447" s="56"/>
      <c r="B447" s="56"/>
      <c r="C447" s="56"/>
      <c r="D447" s="56"/>
      <c r="E447" s="14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7"/>
      <c r="Q447" s="57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15.75" customHeight="1" x14ac:dyDescent="0.3">
      <c r="A448" s="56"/>
      <c r="B448" s="56"/>
      <c r="C448" s="56"/>
      <c r="D448" s="56"/>
      <c r="E448" s="14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7"/>
      <c r="Q448" s="57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15.75" customHeight="1" x14ac:dyDescent="0.3">
      <c r="A449" s="56"/>
      <c r="B449" s="56"/>
      <c r="C449" s="56"/>
      <c r="D449" s="56"/>
      <c r="E449" s="14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7"/>
      <c r="Q449" s="57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15.75" customHeight="1" x14ac:dyDescent="0.3">
      <c r="A450" s="56"/>
      <c r="B450" s="56"/>
      <c r="C450" s="56"/>
      <c r="D450" s="56"/>
      <c r="E450" s="14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7"/>
      <c r="Q450" s="57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15.75" customHeight="1" x14ac:dyDescent="0.3">
      <c r="A451" s="56"/>
      <c r="B451" s="56"/>
      <c r="C451" s="56"/>
      <c r="D451" s="56"/>
      <c r="E451" s="14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7"/>
      <c r="Q451" s="57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15.75" customHeight="1" x14ac:dyDescent="0.3">
      <c r="A452" s="56"/>
      <c r="B452" s="56"/>
      <c r="C452" s="56"/>
      <c r="D452" s="56"/>
      <c r="E452" s="14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7"/>
      <c r="Q452" s="57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15.75" customHeight="1" x14ac:dyDescent="0.3">
      <c r="A453" s="56"/>
      <c r="B453" s="56"/>
      <c r="C453" s="56"/>
      <c r="D453" s="56"/>
      <c r="E453" s="14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7"/>
      <c r="Q453" s="57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15.75" customHeight="1" x14ac:dyDescent="0.3">
      <c r="A454" s="56"/>
      <c r="B454" s="56"/>
      <c r="C454" s="56"/>
      <c r="D454" s="56"/>
      <c r="E454" s="14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7"/>
      <c r="Q454" s="57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15.75" customHeight="1" x14ac:dyDescent="0.3">
      <c r="A455" s="56"/>
      <c r="B455" s="56"/>
      <c r="C455" s="56"/>
      <c r="D455" s="56"/>
      <c r="E455" s="14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7"/>
      <c r="Q455" s="57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15.75" customHeight="1" x14ac:dyDescent="0.3">
      <c r="A456" s="56"/>
      <c r="B456" s="56"/>
      <c r="C456" s="56"/>
      <c r="D456" s="56"/>
      <c r="E456" s="14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7"/>
      <c r="Q456" s="57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15.75" customHeight="1" x14ac:dyDescent="0.3">
      <c r="A457" s="56"/>
      <c r="B457" s="56"/>
      <c r="C457" s="56"/>
      <c r="D457" s="56"/>
      <c r="E457" s="14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7"/>
      <c r="Q457" s="57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15.75" customHeight="1" x14ac:dyDescent="0.3">
      <c r="A458" s="56"/>
      <c r="B458" s="56"/>
      <c r="C458" s="56"/>
      <c r="D458" s="56"/>
      <c r="E458" s="14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7"/>
      <c r="Q458" s="57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15.75" customHeight="1" x14ac:dyDescent="0.3">
      <c r="A459" s="56"/>
      <c r="B459" s="56"/>
      <c r="C459" s="56"/>
      <c r="D459" s="56"/>
      <c r="E459" s="14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7"/>
      <c r="Q459" s="57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15.75" customHeight="1" x14ac:dyDescent="0.3">
      <c r="A460" s="56"/>
      <c r="B460" s="56"/>
      <c r="C460" s="56"/>
      <c r="D460" s="56"/>
      <c r="E460" s="14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7"/>
      <c r="Q460" s="57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15.75" customHeight="1" x14ac:dyDescent="0.3">
      <c r="A461" s="56"/>
      <c r="B461" s="56"/>
      <c r="C461" s="56"/>
      <c r="D461" s="56"/>
      <c r="E461" s="14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7"/>
      <c r="Q461" s="57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15.75" customHeight="1" x14ac:dyDescent="0.3">
      <c r="A462" s="56"/>
      <c r="B462" s="56"/>
      <c r="C462" s="56"/>
      <c r="D462" s="56"/>
      <c r="E462" s="14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7"/>
      <c r="Q462" s="57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15.75" customHeight="1" x14ac:dyDescent="0.3">
      <c r="A463" s="56"/>
      <c r="B463" s="56"/>
      <c r="C463" s="56"/>
      <c r="D463" s="56"/>
      <c r="E463" s="14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7"/>
      <c r="Q463" s="57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15.75" customHeight="1" x14ac:dyDescent="0.3">
      <c r="A464" s="56"/>
      <c r="B464" s="56"/>
      <c r="C464" s="56"/>
      <c r="D464" s="56"/>
      <c r="E464" s="14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7"/>
      <c r="Q464" s="57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15.75" customHeight="1" x14ac:dyDescent="0.3">
      <c r="A465" s="56"/>
      <c r="B465" s="56"/>
      <c r="C465" s="56"/>
      <c r="D465" s="56"/>
      <c r="E465" s="14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7"/>
      <c r="Q465" s="57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15.75" customHeight="1" x14ac:dyDescent="0.3">
      <c r="A466" s="56"/>
      <c r="B466" s="56"/>
      <c r="C466" s="56"/>
      <c r="D466" s="56"/>
      <c r="E466" s="14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7"/>
      <c r="Q466" s="57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15.75" customHeight="1" x14ac:dyDescent="0.3">
      <c r="A467" s="56"/>
      <c r="B467" s="56"/>
      <c r="C467" s="56"/>
      <c r="D467" s="56"/>
      <c r="E467" s="14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7"/>
      <c r="Q467" s="57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15.75" customHeight="1" x14ac:dyDescent="0.3">
      <c r="A468" s="56"/>
      <c r="B468" s="56"/>
      <c r="C468" s="56"/>
      <c r="D468" s="56"/>
      <c r="E468" s="14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7"/>
      <c r="Q468" s="57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15.75" customHeight="1" x14ac:dyDescent="0.3">
      <c r="A469" s="56"/>
      <c r="B469" s="56"/>
      <c r="C469" s="56"/>
      <c r="D469" s="56"/>
      <c r="E469" s="14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7"/>
      <c r="Q469" s="57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15.75" customHeight="1" x14ac:dyDescent="0.3">
      <c r="A470" s="56"/>
      <c r="B470" s="56"/>
      <c r="C470" s="56"/>
      <c r="D470" s="56"/>
      <c r="E470" s="14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7"/>
      <c r="Q470" s="57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15.75" customHeight="1" x14ac:dyDescent="0.3">
      <c r="A471" s="56"/>
      <c r="B471" s="56"/>
      <c r="C471" s="56"/>
      <c r="D471" s="56"/>
      <c r="E471" s="14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7"/>
      <c r="Q471" s="57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15.75" customHeight="1" x14ac:dyDescent="0.3">
      <c r="A472" s="56"/>
      <c r="B472" s="56"/>
      <c r="C472" s="56"/>
      <c r="D472" s="56"/>
      <c r="E472" s="14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7"/>
      <c r="Q472" s="57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15.75" customHeight="1" x14ac:dyDescent="0.3">
      <c r="A473" s="56"/>
      <c r="B473" s="56"/>
      <c r="C473" s="56"/>
      <c r="D473" s="56"/>
      <c r="E473" s="14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7"/>
      <c r="Q473" s="57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15.75" customHeight="1" x14ac:dyDescent="0.3">
      <c r="A474" s="56"/>
      <c r="B474" s="56"/>
      <c r="C474" s="56"/>
      <c r="D474" s="56"/>
      <c r="E474" s="14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7"/>
      <c r="Q474" s="57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15.75" customHeight="1" x14ac:dyDescent="0.3">
      <c r="A475" s="56"/>
      <c r="B475" s="56"/>
      <c r="C475" s="56"/>
      <c r="D475" s="56"/>
      <c r="E475" s="14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7"/>
      <c r="Q475" s="57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15.75" customHeight="1" x14ac:dyDescent="0.3">
      <c r="A476" s="56"/>
      <c r="B476" s="56"/>
      <c r="C476" s="56"/>
      <c r="D476" s="56"/>
      <c r="E476" s="14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7"/>
      <c r="Q476" s="57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15.75" customHeight="1" x14ac:dyDescent="0.3">
      <c r="A477" s="56"/>
      <c r="B477" s="56"/>
      <c r="C477" s="56"/>
      <c r="D477" s="56"/>
      <c r="E477" s="14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7"/>
      <c r="Q477" s="57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15.75" customHeight="1" x14ac:dyDescent="0.3">
      <c r="A478" s="56"/>
      <c r="B478" s="56"/>
      <c r="C478" s="56"/>
      <c r="D478" s="56"/>
      <c r="E478" s="14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7"/>
      <c r="Q478" s="57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15.75" customHeight="1" x14ac:dyDescent="0.3">
      <c r="A479" s="56"/>
      <c r="B479" s="56"/>
      <c r="C479" s="56"/>
      <c r="D479" s="56"/>
      <c r="E479" s="14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7"/>
      <c r="Q479" s="57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15.75" customHeight="1" x14ac:dyDescent="0.3">
      <c r="A480" s="56"/>
      <c r="B480" s="56"/>
      <c r="C480" s="56"/>
      <c r="D480" s="56"/>
      <c r="E480" s="14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7"/>
      <c r="Q480" s="57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15.75" customHeight="1" x14ac:dyDescent="0.3">
      <c r="A481" s="56"/>
      <c r="B481" s="56"/>
      <c r="C481" s="56"/>
      <c r="D481" s="56"/>
      <c r="E481" s="14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7"/>
      <c r="Q481" s="57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15.75" customHeight="1" x14ac:dyDescent="0.3">
      <c r="A482" s="56"/>
      <c r="B482" s="56"/>
      <c r="C482" s="56"/>
      <c r="D482" s="56"/>
      <c r="E482" s="14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7"/>
      <c r="Q482" s="57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15.75" customHeight="1" x14ac:dyDescent="0.3">
      <c r="A483" s="56"/>
      <c r="B483" s="56"/>
      <c r="C483" s="56"/>
      <c r="D483" s="56"/>
      <c r="E483" s="14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7"/>
      <c r="Q483" s="57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15.75" customHeight="1" x14ac:dyDescent="0.3">
      <c r="A484" s="56"/>
      <c r="B484" s="56"/>
      <c r="C484" s="56"/>
      <c r="D484" s="56"/>
      <c r="E484" s="14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7"/>
      <c r="Q484" s="57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15.75" customHeight="1" x14ac:dyDescent="0.3">
      <c r="A485" s="56"/>
      <c r="B485" s="56"/>
      <c r="C485" s="56"/>
      <c r="D485" s="56"/>
      <c r="E485" s="14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7"/>
      <c r="Q485" s="57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15.75" customHeight="1" x14ac:dyDescent="0.3">
      <c r="A486" s="56"/>
      <c r="B486" s="56"/>
      <c r="C486" s="56"/>
      <c r="D486" s="56"/>
      <c r="E486" s="14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7"/>
      <c r="Q486" s="57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15.75" customHeight="1" x14ac:dyDescent="0.3">
      <c r="A487" s="56"/>
      <c r="B487" s="56"/>
      <c r="C487" s="56"/>
      <c r="D487" s="56"/>
      <c r="E487" s="14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7"/>
      <c r="Q487" s="57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15.75" customHeight="1" x14ac:dyDescent="0.3">
      <c r="A488" s="56"/>
      <c r="B488" s="56"/>
      <c r="C488" s="56"/>
      <c r="D488" s="56"/>
      <c r="E488" s="14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7"/>
      <c r="Q488" s="57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15.75" customHeight="1" x14ac:dyDescent="0.3">
      <c r="A489" s="56"/>
      <c r="B489" s="56"/>
      <c r="C489" s="56"/>
      <c r="D489" s="56"/>
      <c r="E489" s="14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7"/>
      <c r="Q489" s="57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15.75" customHeight="1" x14ac:dyDescent="0.3">
      <c r="A490" s="56"/>
      <c r="B490" s="56"/>
      <c r="C490" s="56"/>
      <c r="D490" s="56"/>
      <c r="E490" s="14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7"/>
      <c r="Q490" s="57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15.75" customHeight="1" x14ac:dyDescent="0.3">
      <c r="A491" s="56"/>
      <c r="B491" s="56"/>
      <c r="C491" s="56"/>
      <c r="D491" s="56"/>
      <c r="E491" s="14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7"/>
      <c r="Q491" s="57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15.75" customHeight="1" x14ac:dyDescent="0.3">
      <c r="A492" s="56"/>
      <c r="B492" s="56"/>
      <c r="C492" s="56"/>
      <c r="D492" s="56"/>
      <c r="E492" s="14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7"/>
      <c r="Q492" s="57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15.75" customHeight="1" x14ac:dyDescent="0.3">
      <c r="A493" s="56"/>
      <c r="B493" s="56"/>
      <c r="C493" s="56"/>
      <c r="D493" s="56"/>
      <c r="E493" s="14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7"/>
      <c r="Q493" s="57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15.75" customHeight="1" x14ac:dyDescent="0.3">
      <c r="A494" s="56"/>
      <c r="B494" s="56"/>
      <c r="C494" s="56"/>
      <c r="D494" s="56"/>
      <c r="E494" s="14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7"/>
      <c r="Q494" s="57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15.75" customHeight="1" x14ac:dyDescent="0.3">
      <c r="A495" s="56"/>
      <c r="B495" s="56"/>
      <c r="C495" s="56"/>
      <c r="D495" s="56"/>
      <c r="E495" s="14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7"/>
      <c r="Q495" s="57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15.75" customHeight="1" x14ac:dyDescent="0.3">
      <c r="A496" s="56"/>
      <c r="B496" s="56"/>
      <c r="C496" s="56"/>
      <c r="D496" s="56"/>
      <c r="E496" s="14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7"/>
      <c r="Q496" s="57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15.75" customHeight="1" x14ac:dyDescent="0.3">
      <c r="A497" s="56"/>
      <c r="B497" s="56"/>
      <c r="C497" s="56"/>
      <c r="D497" s="56"/>
      <c r="E497" s="14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7"/>
      <c r="Q497" s="57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15.75" customHeight="1" x14ac:dyDescent="0.3">
      <c r="A498" s="56"/>
      <c r="B498" s="56"/>
      <c r="C498" s="56"/>
      <c r="D498" s="56"/>
      <c r="E498" s="14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7"/>
      <c r="Q498" s="57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15.75" customHeight="1" x14ac:dyDescent="0.3">
      <c r="A499" s="56"/>
      <c r="B499" s="56"/>
      <c r="C499" s="56"/>
      <c r="D499" s="56"/>
      <c r="E499" s="14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7"/>
      <c r="Q499" s="57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15.75" customHeight="1" x14ac:dyDescent="0.3">
      <c r="A500" s="56"/>
      <c r="B500" s="56"/>
      <c r="C500" s="56"/>
      <c r="D500" s="56"/>
      <c r="E500" s="14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7"/>
      <c r="Q500" s="57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15.75" customHeight="1" x14ac:dyDescent="0.3">
      <c r="A501" s="56"/>
      <c r="B501" s="56"/>
      <c r="C501" s="56"/>
      <c r="D501" s="56"/>
      <c r="E501" s="14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7"/>
      <c r="Q501" s="57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15.75" customHeight="1" x14ac:dyDescent="0.3">
      <c r="A502" s="56"/>
      <c r="B502" s="56"/>
      <c r="C502" s="56"/>
      <c r="D502" s="56"/>
      <c r="E502" s="14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7"/>
      <c r="Q502" s="57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15.75" customHeight="1" x14ac:dyDescent="0.3">
      <c r="A503" s="56"/>
      <c r="B503" s="56"/>
      <c r="C503" s="56"/>
      <c r="D503" s="56"/>
      <c r="E503" s="14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7"/>
      <c r="Q503" s="57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15.75" customHeight="1" x14ac:dyDescent="0.3">
      <c r="A504" s="56"/>
      <c r="B504" s="56"/>
      <c r="C504" s="56"/>
      <c r="D504" s="56"/>
      <c r="E504" s="14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7"/>
      <c r="Q504" s="57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15.75" customHeight="1" x14ac:dyDescent="0.3">
      <c r="A505" s="56"/>
      <c r="B505" s="56"/>
      <c r="C505" s="56"/>
      <c r="D505" s="56"/>
      <c r="E505" s="14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7"/>
      <c r="Q505" s="57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15.75" customHeight="1" x14ac:dyDescent="0.3">
      <c r="A506" s="56"/>
      <c r="B506" s="56"/>
      <c r="C506" s="56"/>
      <c r="D506" s="56"/>
      <c r="E506" s="14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7"/>
      <c r="Q506" s="57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15.75" customHeight="1" x14ac:dyDescent="0.3">
      <c r="A507" s="56"/>
      <c r="B507" s="56"/>
      <c r="C507" s="56"/>
      <c r="D507" s="56"/>
      <c r="E507" s="14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7"/>
      <c r="Q507" s="57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15.75" customHeight="1" x14ac:dyDescent="0.3">
      <c r="A508" s="56"/>
      <c r="B508" s="56"/>
      <c r="C508" s="56"/>
      <c r="D508" s="56"/>
      <c r="E508" s="14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7"/>
      <c r="Q508" s="57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15.75" customHeight="1" x14ac:dyDescent="0.3">
      <c r="A509" s="56"/>
      <c r="B509" s="56"/>
      <c r="C509" s="56"/>
      <c r="D509" s="56"/>
      <c r="E509" s="14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7"/>
      <c r="Q509" s="57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15.75" customHeight="1" x14ac:dyDescent="0.3">
      <c r="A510" s="56"/>
      <c r="B510" s="56"/>
      <c r="C510" s="56"/>
      <c r="D510" s="56"/>
      <c r="E510" s="14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7"/>
      <c r="Q510" s="57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15.75" customHeight="1" x14ac:dyDescent="0.3">
      <c r="A511" s="56"/>
      <c r="B511" s="56"/>
      <c r="C511" s="56"/>
      <c r="D511" s="56"/>
      <c r="E511" s="14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7"/>
      <c r="Q511" s="57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15.75" customHeight="1" x14ac:dyDescent="0.3">
      <c r="A512" s="56"/>
      <c r="B512" s="56"/>
      <c r="C512" s="56"/>
      <c r="D512" s="56"/>
      <c r="E512" s="14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7"/>
      <c r="Q512" s="57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15.75" customHeight="1" x14ac:dyDescent="0.3">
      <c r="A513" s="56"/>
      <c r="B513" s="56"/>
      <c r="C513" s="56"/>
      <c r="D513" s="56"/>
      <c r="E513" s="14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7"/>
      <c r="Q513" s="57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15.75" customHeight="1" x14ac:dyDescent="0.3">
      <c r="A514" s="56"/>
      <c r="B514" s="56"/>
      <c r="C514" s="56"/>
      <c r="D514" s="56"/>
      <c r="E514" s="14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7"/>
      <c r="Q514" s="57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15.75" customHeight="1" x14ac:dyDescent="0.3">
      <c r="A515" s="56"/>
      <c r="B515" s="56"/>
      <c r="C515" s="56"/>
      <c r="D515" s="56"/>
      <c r="E515" s="14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7"/>
      <c r="Q515" s="57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15.75" customHeight="1" x14ac:dyDescent="0.3">
      <c r="A516" s="56"/>
      <c r="B516" s="56"/>
      <c r="C516" s="56"/>
      <c r="D516" s="56"/>
      <c r="E516" s="14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7"/>
      <c r="Q516" s="57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15.75" customHeight="1" x14ac:dyDescent="0.3">
      <c r="A517" s="56"/>
      <c r="B517" s="56"/>
      <c r="C517" s="56"/>
      <c r="D517" s="56"/>
      <c r="E517" s="14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7"/>
      <c r="Q517" s="57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15.75" customHeight="1" x14ac:dyDescent="0.3">
      <c r="A518" s="56"/>
      <c r="B518" s="56"/>
      <c r="C518" s="56"/>
      <c r="D518" s="56"/>
      <c r="E518" s="14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7"/>
      <c r="Q518" s="57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15.75" customHeight="1" x14ac:dyDescent="0.3">
      <c r="A519" s="56"/>
      <c r="B519" s="56"/>
      <c r="C519" s="56"/>
      <c r="D519" s="56"/>
      <c r="E519" s="14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7"/>
      <c r="Q519" s="57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15.75" customHeight="1" x14ac:dyDescent="0.3">
      <c r="A520" s="56"/>
      <c r="B520" s="56"/>
      <c r="C520" s="56"/>
      <c r="D520" s="56"/>
      <c r="E520" s="14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7"/>
      <c r="Q520" s="57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15.75" customHeight="1" x14ac:dyDescent="0.3">
      <c r="A521" s="56"/>
      <c r="B521" s="56"/>
      <c r="C521" s="56"/>
      <c r="D521" s="56"/>
      <c r="E521" s="14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7"/>
      <c r="Q521" s="57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5.75" customHeight="1" x14ac:dyDescent="0.3">
      <c r="A522" s="56"/>
      <c r="B522" s="56"/>
      <c r="C522" s="56"/>
      <c r="D522" s="56"/>
      <c r="E522" s="14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7"/>
      <c r="Q522" s="57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15.75" customHeight="1" x14ac:dyDescent="0.3">
      <c r="A523" s="56"/>
      <c r="B523" s="56"/>
      <c r="C523" s="56"/>
      <c r="D523" s="56"/>
      <c r="E523" s="14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7"/>
      <c r="Q523" s="57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15.75" customHeight="1" x14ac:dyDescent="0.3">
      <c r="A524" s="56"/>
      <c r="B524" s="56"/>
      <c r="C524" s="56"/>
      <c r="D524" s="56"/>
      <c r="E524" s="14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7"/>
      <c r="Q524" s="57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15.75" customHeight="1" x14ac:dyDescent="0.3">
      <c r="A525" s="56"/>
      <c r="B525" s="56"/>
      <c r="C525" s="56"/>
      <c r="D525" s="56"/>
      <c r="E525" s="14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7"/>
      <c r="Q525" s="57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15.75" customHeight="1" x14ac:dyDescent="0.3">
      <c r="A526" s="56"/>
      <c r="B526" s="56"/>
      <c r="C526" s="56"/>
      <c r="D526" s="56"/>
      <c r="E526" s="14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7"/>
      <c r="Q526" s="57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15.75" customHeight="1" x14ac:dyDescent="0.3">
      <c r="A527" s="56"/>
      <c r="B527" s="56"/>
      <c r="C527" s="56"/>
      <c r="D527" s="56"/>
      <c r="E527" s="14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7"/>
      <c r="Q527" s="57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15.75" customHeight="1" x14ac:dyDescent="0.3">
      <c r="A528" s="56"/>
      <c r="B528" s="56"/>
      <c r="C528" s="56"/>
      <c r="D528" s="56"/>
      <c r="E528" s="14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7"/>
      <c r="Q528" s="57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15.75" customHeight="1" x14ac:dyDescent="0.3">
      <c r="A529" s="56"/>
      <c r="B529" s="56"/>
      <c r="C529" s="56"/>
      <c r="D529" s="56"/>
      <c r="E529" s="14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7"/>
      <c r="Q529" s="57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15.75" customHeight="1" x14ac:dyDescent="0.3">
      <c r="A530" s="56"/>
      <c r="B530" s="56"/>
      <c r="C530" s="56"/>
      <c r="D530" s="56"/>
      <c r="E530" s="14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7"/>
      <c r="Q530" s="57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15.75" customHeight="1" x14ac:dyDescent="0.3">
      <c r="A531" s="56"/>
      <c r="B531" s="56"/>
      <c r="C531" s="56"/>
      <c r="D531" s="56"/>
      <c r="E531" s="14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7"/>
      <c r="Q531" s="57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15.75" customHeight="1" x14ac:dyDescent="0.3">
      <c r="A532" s="56"/>
      <c r="B532" s="56"/>
      <c r="C532" s="56"/>
      <c r="D532" s="56"/>
      <c r="E532" s="14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7"/>
      <c r="Q532" s="57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15.75" customHeight="1" x14ac:dyDescent="0.3">
      <c r="A533" s="56"/>
      <c r="B533" s="56"/>
      <c r="C533" s="56"/>
      <c r="D533" s="56"/>
      <c r="E533" s="14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7"/>
      <c r="Q533" s="57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15.75" customHeight="1" x14ac:dyDescent="0.3">
      <c r="A534" s="56"/>
      <c r="B534" s="56"/>
      <c r="C534" s="56"/>
      <c r="D534" s="56"/>
      <c r="E534" s="14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7"/>
      <c r="Q534" s="57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15.75" customHeight="1" x14ac:dyDescent="0.3">
      <c r="A535" s="56"/>
      <c r="B535" s="56"/>
      <c r="C535" s="56"/>
      <c r="D535" s="56"/>
      <c r="E535" s="14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7"/>
      <c r="Q535" s="57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15.75" customHeight="1" x14ac:dyDescent="0.3">
      <c r="A536" s="56"/>
      <c r="B536" s="56"/>
      <c r="C536" s="56"/>
      <c r="D536" s="56"/>
      <c r="E536" s="14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7"/>
      <c r="Q536" s="57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15.75" customHeight="1" x14ac:dyDescent="0.3">
      <c r="A537" s="56"/>
      <c r="B537" s="56"/>
      <c r="C537" s="56"/>
      <c r="D537" s="56"/>
      <c r="E537" s="14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7"/>
      <c r="Q537" s="57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15.75" customHeight="1" x14ac:dyDescent="0.3">
      <c r="A538" s="56"/>
      <c r="B538" s="56"/>
      <c r="C538" s="56"/>
      <c r="D538" s="56"/>
      <c r="E538" s="14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7"/>
      <c r="Q538" s="57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15.75" customHeight="1" x14ac:dyDescent="0.3">
      <c r="A539" s="56"/>
      <c r="B539" s="56"/>
      <c r="C539" s="56"/>
      <c r="D539" s="56"/>
      <c r="E539" s="14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7"/>
      <c r="Q539" s="57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15.75" customHeight="1" x14ac:dyDescent="0.3">
      <c r="A540" s="56"/>
      <c r="B540" s="56"/>
      <c r="C540" s="56"/>
      <c r="D540" s="56"/>
      <c r="E540" s="14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7"/>
      <c r="Q540" s="57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15.75" customHeight="1" x14ac:dyDescent="0.3">
      <c r="A541" s="56"/>
      <c r="B541" s="56"/>
      <c r="C541" s="56"/>
      <c r="D541" s="56"/>
      <c r="E541" s="14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7"/>
      <c r="Q541" s="57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15.75" customHeight="1" x14ac:dyDescent="0.3">
      <c r="A542" s="56"/>
      <c r="B542" s="56"/>
      <c r="C542" s="56"/>
      <c r="D542" s="56"/>
      <c r="E542" s="14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7"/>
      <c r="Q542" s="57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15.75" customHeight="1" x14ac:dyDescent="0.3">
      <c r="A543" s="56"/>
      <c r="B543" s="56"/>
      <c r="C543" s="56"/>
      <c r="D543" s="56"/>
      <c r="E543" s="14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7"/>
      <c r="Q543" s="57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15.75" customHeight="1" x14ac:dyDescent="0.3">
      <c r="A544" s="56"/>
      <c r="B544" s="56"/>
      <c r="C544" s="56"/>
      <c r="D544" s="56"/>
      <c r="E544" s="14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7"/>
      <c r="Q544" s="57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15.75" customHeight="1" x14ac:dyDescent="0.3">
      <c r="A545" s="56"/>
      <c r="B545" s="56"/>
      <c r="C545" s="56"/>
      <c r="D545" s="56"/>
      <c r="E545" s="14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7"/>
      <c r="Q545" s="57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15.75" customHeight="1" x14ac:dyDescent="0.3">
      <c r="A546" s="56"/>
      <c r="B546" s="56"/>
      <c r="C546" s="56"/>
      <c r="D546" s="56"/>
      <c r="E546" s="14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7"/>
      <c r="Q546" s="57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15.75" customHeight="1" x14ac:dyDescent="0.3">
      <c r="A547" s="56"/>
      <c r="B547" s="56"/>
      <c r="C547" s="56"/>
      <c r="D547" s="56"/>
      <c r="E547" s="14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7"/>
      <c r="Q547" s="57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15.75" customHeight="1" x14ac:dyDescent="0.3">
      <c r="A548" s="56"/>
      <c r="B548" s="56"/>
      <c r="C548" s="56"/>
      <c r="D548" s="56"/>
      <c r="E548" s="14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7"/>
      <c r="Q548" s="57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15.75" customHeight="1" x14ac:dyDescent="0.3">
      <c r="A549" s="56"/>
      <c r="B549" s="56"/>
      <c r="C549" s="56"/>
      <c r="D549" s="56"/>
      <c r="E549" s="14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7"/>
      <c r="Q549" s="57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15.75" customHeight="1" x14ac:dyDescent="0.3">
      <c r="A550" s="56"/>
      <c r="B550" s="56"/>
      <c r="C550" s="56"/>
      <c r="D550" s="56"/>
      <c r="E550" s="14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7"/>
      <c r="Q550" s="57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15.75" customHeight="1" x14ac:dyDescent="0.3">
      <c r="A551" s="56"/>
      <c r="B551" s="56"/>
      <c r="C551" s="56"/>
      <c r="D551" s="56"/>
      <c r="E551" s="14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7"/>
      <c r="Q551" s="57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15.75" customHeight="1" x14ac:dyDescent="0.3">
      <c r="A552" s="56"/>
      <c r="B552" s="56"/>
      <c r="C552" s="56"/>
      <c r="D552" s="56"/>
      <c r="E552" s="14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7"/>
      <c r="Q552" s="57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15.75" customHeight="1" x14ac:dyDescent="0.3">
      <c r="A553" s="56"/>
      <c r="B553" s="56"/>
      <c r="C553" s="56"/>
      <c r="D553" s="56"/>
      <c r="E553" s="14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7"/>
      <c r="Q553" s="57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15.75" customHeight="1" x14ac:dyDescent="0.3">
      <c r="A554" s="56"/>
      <c r="B554" s="56"/>
      <c r="C554" s="56"/>
      <c r="D554" s="56"/>
      <c r="E554" s="14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7"/>
      <c r="Q554" s="57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15.75" customHeight="1" x14ac:dyDescent="0.3">
      <c r="A555" s="56"/>
      <c r="B555" s="56"/>
      <c r="C555" s="56"/>
      <c r="D555" s="56"/>
      <c r="E555" s="14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7"/>
      <c r="Q555" s="57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15.75" customHeight="1" x14ac:dyDescent="0.3">
      <c r="A556" s="56"/>
      <c r="B556" s="56"/>
      <c r="C556" s="56"/>
      <c r="D556" s="56"/>
      <c r="E556" s="14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7"/>
      <c r="Q556" s="57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15.75" customHeight="1" x14ac:dyDescent="0.3">
      <c r="A557" s="56"/>
      <c r="B557" s="56"/>
      <c r="C557" s="56"/>
      <c r="D557" s="56"/>
      <c r="E557" s="14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7"/>
      <c r="Q557" s="57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15.75" customHeight="1" x14ac:dyDescent="0.3">
      <c r="A558" s="56"/>
      <c r="B558" s="56"/>
      <c r="C558" s="56"/>
      <c r="D558" s="56"/>
      <c r="E558" s="14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7"/>
      <c r="Q558" s="57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15.75" customHeight="1" x14ac:dyDescent="0.3">
      <c r="A559" s="56"/>
      <c r="B559" s="56"/>
      <c r="C559" s="56"/>
      <c r="D559" s="56"/>
      <c r="E559" s="14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7"/>
      <c r="Q559" s="57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15.75" customHeight="1" x14ac:dyDescent="0.3">
      <c r="A560" s="56"/>
      <c r="B560" s="56"/>
      <c r="C560" s="56"/>
      <c r="D560" s="56"/>
      <c r="E560" s="14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7"/>
      <c r="Q560" s="57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15.75" customHeight="1" x14ac:dyDescent="0.3">
      <c r="A561" s="56"/>
      <c r="B561" s="56"/>
      <c r="C561" s="56"/>
      <c r="D561" s="56"/>
      <c r="E561" s="14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7"/>
      <c r="Q561" s="57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15.75" customHeight="1" x14ac:dyDescent="0.3">
      <c r="A562" s="56"/>
      <c r="B562" s="56"/>
      <c r="C562" s="56"/>
      <c r="D562" s="56"/>
      <c r="E562" s="14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7"/>
      <c r="Q562" s="57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15.75" customHeight="1" x14ac:dyDescent="0.3">
      <c r="A563" s="56"/>
      <c r="B563" s="56"/>
      <c r="C563" s="56"/>
      <c r="D563" s="56"/>
      <c r="E563" s="14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7"/>
      <c r="Q563" s="57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15.75" customHeight="1" x14ac:dyDescent="0.3">
      <c r="A564" s="56"/>
      <c r="B564" s="56"/>
      <c r="C564" s="56"/>
      <c r="D564" s="56"/>
      <c r="E564" s="14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7"/>
      <c r="Q564" s="57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15.75" customHeight="1" x14ac:dyDescent="0.3">
      <c r="A565" s="56"/>
      <c r="B565" s="56"/>
      <c r="C565" s="56"/>
      <c r="D565" s="56"/>
      <c r="E565" s="14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7"/>
      <c r="Q565" s="57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15.75" customHeight="1" x14ac:dyDescent="0.3">
      <c r="A566" s="56"/>
      <c r="B566" s="56"/>
      <c r="C566" s="56"/>
      <c r="D566" s="56"/>
      <c r="E566" s="14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7"/>
      <c r="Q566" s="57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15.75" customHeight="1" x14ac:dyDescent="0.3">
      <c r="A567" s="56"/>
      <c r="B567" s="56"/>
      <c r="C567" s="56"/>
      <c r="D567" s="56"/>
      <c r="E567" s="14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7"/>
      <c r="Q567" s="57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15.75" customHeight="1" x14ac:dyDescent="0.3">
      <c r="A568" s="56"/>
      <c r="B568" s="56"/>
      <c r="C568" s="56"/>
      <c r="D568" s="56"/>
      <c r="E568" s="14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7"/>
      <c r="Q568" s="57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15.75" customHeight="1" x14ac:dyDescent="0.3">
      <c r="A569" s="56"/>
      <c r="B569" s="56"/>
      <c r="C569" s="56"/>
      <c r="D569" s="56"/>
      <c r="E569" s="14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7"/>
      <c r="Q569" s="57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15.75" customHeight="1" x14ac:dyDescent="0.3">
      <c r="A570" s="56"/>
      <c r="B570" s="56"/>
      <c r="C570" s="56"/>
      <c r="D570" s="56"/>
      <c r="E570" s="14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7"/>
      <c r="Q570" s="57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15.75" customHeight="1" x14ac:dyDescent="0.3">
      <c r="A571" s="56"/>
      <c r="B571" s="56"/>
      <c r="C571" s="56"/>
      <c r="D571" s="56"/>
      <c r="E571" s="14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7"/>
      <c r="Q571" s="57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15.75" customHeight="1" x14ac:dyDescent="0.3">
      <c r="A572" s="56"/>
      <c r="B572" s="56"/>
      <c r="C572" s="56"/>
      <c r="D572" s="56"/>
      <c r="E572" s="14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7"/>
      <c r="Q572" s="57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15.75" customHeight="1" x14ac:dyDescent="0.3">
      <c r="A573" s="56"/>
      <c r="B573" s="56"/>
      <c r="C573" s="56"/>
      <c r="D573" s="56"/>
      <c r="E573" s="14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7"/>
      <c r="Q573" s="57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15.75" customHeight="1" x14ac:dyDescent="0.3">
      <c r="A574" s="56"/>
      <c r="B574" s="56"/>
      <c r="C574" s="56"/>
      <c r="D574" s="56"/>
      <c r="E574" s="14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7"/>
      <c r="Q574" s="57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15.75" customHeight="1" x14ac:dyDescent="0.3">
      <c r="A575" s="56"/>
      <c r="B575" s="56"/>
      <c r="C575" s="56"/>
      <c r="D575" s="56"/>
      <c r="E575" s="14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7"/>
      <c r="Q575" s="57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15.75" customHeight="1" x14ac:dyDescent="0.3">
      <c r="A576" s="56"/>
      <c r="B576" s="56"/>
      <c r="C576" s="56"/>
      <c r="D576" s="56"/>
      <c r="E576" s="14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7"/>
      <c r="Q576" s="57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15.75" customHeight="1" x14ac:dyDescent="0.3">
      <c r="A577" s="56"/>
      <c r="B577" s="56"/>
      <c r="C577" s="56"/>
      <c r="D577" s="56"/>
      <c r="E577" s="14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7"/>
      <c r="Q577" s="57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15.75" customHeight="1" x14ac:dyDescent="0.3">
      <c r="A578" s="56"/>
      <c r="B578" s="56"/>
      <c r="C578" s="56"/>
      <c r="D578" s="56"/>
      <c r="E578" s="14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7"/>
      <c r="Q578" s="57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15.75" customHeight="1" x14ac:dyDescent="0.3">
      <c r="A579" s="56"/>
      <c r="B579" s="56"/>
      <c r="C579" s="56"/>
      <c r="D579" s="56"/>
      <c r="E579" s="14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7"/>
      <c r="Q579" s="57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15.75" customHeight="1" x14ac:dyDescent="0.3">
      <c r="A580" s="56"/>
      <c r="B580" s="56"/>
      <c r="C580" s="56"/>
      <c r="D580" s="56"/>
      <c r="E580" s="14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7"/>
      <c r="Q580" s="57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15.75" customHeight="1" x14ac:dyDescent="0.3">
      <c r="A581" s="56"/>
      <c r="B581" s="56"/>
      <c r="C581" s="56"/>
      <c r="D581" s="56"/>
      <c r="E581" s="14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7"/>
      <c r="Q581" s="57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15.75" customHeight="1" x14ac:dyDescent="0.3">
      <c r="A582" s="56"/>
      <c r="B582" s="56"/>
      <c r="C582" s="56"/>
      <c r="D582" s="56"/>
      <c r="E582" s="14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7"/>
      <c r="Q582" s="57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15.75" customHeight="1" x14ac:dyDescent="0.3">
      <c r="A583" s="56"/>
      <c r="B583" s="56"/>
      <c r="C583" s="56"/>
      <c r="D583" s="56"/>
      <c r="E583" s="14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7"/>
      <c r="Q583" s="57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15.75" customHeight="1" x14ac:dyDescent="0.3">
      <c r="A584" s="56"/>
      <c r="B584" s="56"/>
      <c r="C584" s="56"/>
      <c r="D584" s="56"/>
      <c r="E584" s="14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7"/>
      <c r="Q584" s="57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15.75" customHeight="1" x14ac:dyDescent="0.3">
      <c r="A585" s="56"/>
      <c r="B585" s="56"/>
      <c r="C585" s="56"/>
      <c r="D585" s="56"/>
      <c r="E585" s="14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7"/>
      <c r="Q585" s="57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15.75" customHeight="1" x14ac:dyDescent="0.3">
      <c r="A586" s="56"/>
      <c r="B586" s="56"/>
      <c r="C586" s="56"/>
      <c r="D586" s="56"/>
      <c r="E586" s="14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7"/>
      <c r="Q586" s="57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15.75" customHeight="1" x14ac:dyDescent="0.3">
      <c r="A587" s="56"/>
      <c r="B587" s="56"/>
      <c r="C587" s="56"/>
      <c r="D587" s="56"/>
      <c r="E587" s="14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7"/>
      <c r="Q587" s="57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15.75" customHeight="1" x14ac:dyDescent="0.3">
      <c r="A588" s="56"/>
      <c r="B588" s="56"/>
      <c r="C588" s="56"/>
      <c r="D588" s="56"/>
      <c r="E588" s="14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7"/>
      <c r="Q588" s="57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15.75" customHeight="1" x14ac:dyDescent="0.3">
      <c r="A589" s="56"/>
      <c r="B589" s="56"/>
      <c r="C589" s="56"/>
      <c r="D589" s="56"/>
      <c r="E589" s="14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7"/>
      <c r="Q589" s="57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15.75" customHeight="1" x14ac:dyDescent="0.3">
      <c r="A590" s="56"/>
      <c r="B590" s="56"/>
      <c r="C590" s="56"/>
      <c r="D590" s="56"/>
      <c r="E590" s="14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7"/>
      <c r="Q590" s="57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15.75" customHeight="1" x14ac:dyDescent="0.3">
      <c r="A591" s="56"/>
      <c r="B591" s="56"/>
      <c r="C591" s="56"/>
      <c r="D591" s="56"/>
      <c r="E591" s="14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7"/>
      <c r="Q591" s="57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15.75" customHeight="1" x14ac:dyDescent="0.3">
      <c r="A592" s="56"/>
      <c r="B592" s="56"/>
      <c r="C592" s="56"/>
      <c r="D592" s="56"/>
      <c r="E592" s="14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7"/>
      <c r="Q592" s="57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15.75" customHeight="1" x14ac:dyDescent="0.3">
      <c r="A593" s="56"/>
      <c r="B593" s="56"/>
      <c r="C593" s="56"/>
      <c r="D593" s="56"/>
      <c r="E593" s="14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7"/>
      <c r="Q593" s="57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15.75" customHeight="1" x14ac:dyDescent="0.3">
      <c r="A594" s="56"/>
      <c r="B594" s="56"/>
      <c r="C594" s="56"/>
      <c r="D594" s="56"/>
      <c r="E594" s="14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7"/>
      <c r="Q594" s="57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15.75" customHeight="1" x14ac:dyDescent="0.3">
      <c r="A595" s="56"/>
      <c r="B595" s="56"/>
      <c r="C595" s="56"/>
      <c r="D595" s="56"/>
      <c r="E595" s="14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7"/>
      <c r="Q595" s="57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15.75" customHeight="1" x14ac:dyDescent="0.3">
      <c r="A596" s="56"/>
      <c r="B596" s="56"/>
      <c r="C596" s="56"/>
      <c r="D596" s="56"/>
      <c r="E596" s="14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7"/>
      <c r="Q596" s="57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15.75" customHeight="1" x14ac:dyDescent="0.3">
      <c r="A597" s="56"/>
      <c r="B597" s="56"/>
      <c r="C597" s="56"/>
      <c r="D597" s="56"/>
      <c r="E597" s="14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7"/>
      <c r="Q597" s="57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15.75" customHeight="1" x14ac:dyDescent="0.3">
      <c r="A598" s="56"/>
      <c r="B598" s="56"/>
      <c r="C598" s="56"/>
      <c r="D598" s="56"/>
      <c r="E598" s="14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7"/>
      <c r="Q598" s="57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15.75" customHeight="1" x14ac:dyDescent="0.3">
      <c r="A599" s="56"/>
      <c r="B599" s="56"/>
      <c r="C599" s="56"/>
      <c r="D599" s="56"/>
      <c r="E599" s="14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7"/>
      <c r="Q599" s="57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15.75" customHeight="1" x14ac:dyDescent="0.3">
      <c r="A600" s="56"/>
      <c r="B600" s="56"/>
      <c r="C600" s="56"/>
      <c r="D600" s="56"/>
      <c r="E600" s="14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7"/>
      <c r="Q600" s="57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15.75" customHeight="1" x14ac:dyDescent="0.3">
      <c r="A601" s="56"/>
      <c r="B601" s="56"/>
      <c r="C601" s="56"/>
      <c r="D601" s="56"/>
      <c r="E601" s="14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7"/>
      <c r="Q601" s="57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15.75" customHeight="1" x14ac:dyDescent="0.3">
      <c r="A602" s="56"/>
      <c r="B602" s="56"/>
      <c r="C602" s="56"/>
      <c r="D602" s="56"/>
      <c r="E602" s="14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7"/>
      <c r="Q602" s="57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15.75" customHeight="1" x14ac:dyDescent="0.3">
      <c r="A603" s="56"/>
      <c r="B603" s="56"/>
      <c r="C603" s="56"/>
      <c r="D603" s="56"/>
      <c r="E603" s="14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7"/>
      <c r="Q603" s="57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15.75" customHeight="1" x14ac:dyDescent="0.3">
      <c r="A604" s="56"/>
      <c r="B604" s="56"/>
      <c r="C604" s="56"/>
      <c r="D604" s="56"/>
      <c r="E604" s="14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7"/>
      <c r="Q604" s="57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15.75" customHeight="1" x14ac:dyDescent="0.3">
      <c r="A605" s="56"/>
      <c r="B605" s="56"/>
      <c r="C605" s="56"/>
      <c r="D605" s="56"/>
      <c r="E605" s="14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7"/>
      <c r="Q605" s="57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15.75" customHeight="1" x14ac:dyDescent="0.3">
      <c r="A606" s="56"/>
      <c r="B606" s="56"/>
      <c r="C606" s="56"/>
      <c r="D606" s="56"/>
      <c r="E606" s="14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7"/>
      <c r="Q606" s="57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15.75" customHeight="1" x14ac:dyDescent="0.3">
      <c r="A607" s="56"/>
      <c r="B607" s="56"/>
      <c r="C607" s="56"/>
      <c r="D607" s="56"/>
      <c r="E607" s="14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7"/>
      <c r="Q607" s="57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15.75" customHeight="1" x14ac:dyDescent="0.3">
      <c r="A608" s="56"/>
      <c r="B608" s="56"/>
      <c r="C608" s="56"/>
      <c r="D608" s="56"/>
      <c r="E608" s="14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7"/>
      <c r="Q608" s="57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15.75" customHeight="1" x14ac:dyDescent="0.3">
      <c r="A609" s="56"/>
      <c r="B609" s="56"/>
      <c r="C609" s="56"/>
      <c r="D609" s="56"/>
      <c r="E609" s="14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7"/>
      <c r="Q609" s="57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15.75" customHeight="1" x14ac:dyDescent="0.3">
      <c r="A610" s="56"/>
      <c r="B610" s="56"/>
      <c r="C610" s="56"/>
      <c r="D610" s="56"/>
      <c r="E610" s="14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7"/>
      <c r="Q610" s="57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15.75" customHeight="1" x14ac:dyDescent="0.3">
      <c r="A611" s="56"/>
      <c r="B611" s="56"/>
      <c r="C611" s="56"/>
      <c r="D611" s="56"/>
      <c r="E611" s="14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7"/>
      <c r="Q611" s="57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15.75" customHeight="1" x14ac:dyDescent="0.3">
      <c r="A612" s="56"/>
      <c r="B612" s="56"/>
      <c r="C612" s="56"/>
      <c r="D612" s="56"/>
      <c r="E612" s="14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7"/>
      <c r="Q612" s="57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15.75" customHeight="1" x14ac:dyDescent="0.3">
      <c r="A613" s="56"/>
      <c r="B613" s="56"/>
      <c r="C613" s="56"/>
      <c r="D613" s="56"/>
      <c r="E613" s="14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7"/>
      <c r="Q613" s="57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15.75" customHeight="1" x14ac:dyDescent="0.3">
      <c r="A614" s="56"/>
      <c r="B614" s="56"/>
      <c r="C614" s="56"/>
      <c r="D614" s="56"/>
      <c r="E614" s="14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7"/>
      <c r="Q614" s="57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15.75" customHeight="1" x14ac:dyDescent="0.3">
      <c r="A615" s="56"/>
      <c r="B615" s="56"/>
      <c r="C615" s="56"/>
      <c r="D615" s="56"/>
      <c r="E615" s="14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7"/>
      <c r="Q615" s="57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15.75" customHeight="1" x14ac:dyDescent="0.3">
      <c r="A616" s="56"/>
      <c r="B616" s="56"/>
      <c r="C616" s="56"/>
      <c r="D616" s="56"/>
      <c r="E616" s="14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7"/>
      <c r="Q616" s="57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15.75" customHeight="1" x14ac:dyDescent="0.3">
      <c r="A617" s="56"/>
      <c r="B617" s="56"/>
      <c r="C617" s="56"/>
      <c r="D617" s="56"/>
      <c r="E617" s="14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7"/>
      <c r="Q617" s="57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15.75" customHeight="1" x14ac:dyDescent="0.3">
      <c r="A618" s="56"/>
      <c r="B618" s="56"/>
      <c r="C618" s="56"/>
      <c r="D618" s="56"/>
      <c r="E618" s="14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7"/>
      <c r="Q618" s="57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15.75" customHeight="1" x14ac:dyDescent="0.3">
      <c r="A619" s="56"/>
      <c r="B619" s="56"/>
      <c r="C619" s="56"/>
      <c r="D619" s="56"/>
      <c r="E619" s="14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7"/>
      <c r="Q619" s="57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15.75" customHeight="1" x14ac:dyDescent="0.3">
      <c r="A620" s="56"/>
      <c r="B620" s="56"/>
      <c r="C620" s="56"/>
      <c r="D620" s="56"/>
      <c r="E620" s="14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7"/>
      <c r="Q620" s="57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15.75" customHeight="1" x14ac:dyDescent="0.3">
      <c r="A621" s="56"/>
      <c r="B621" s="56"/>
      <c r="C621" s="56"/>
      <c r="D621" s="56"/>
      <c r="E621" s="14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7"/>
      <c r="Q621" s="57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15.75" customHeight="1" x14ac:dyDescent="0.3">
      <c r="A622" s="56"/>
      <c r="B622" s="56"/>
      <c r="C622" s="56"/>
      <c r="D622" s="56"/>
      <c r="E622" s="14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7"/>
      <c r="Q622" s="57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15.75" customHeight="1" x14ac:dyDescent="0.3">
      <c r="A623" s="56"/>
      <c r="B623" s="56"/>
      <c r="C623" s="56"/>
      <c r="D623" s="56"/>
      <c r="E623" s="14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7"/>
      <c r="Q623" s="57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15.75" customHeight="1" x14ac:dyDescent="0.3">
      <c r="A624" s="56"/>
      <c r="B624" s="56"/>
      <c r="C624" s="56"/>
      <c r="D624" s="56"/>
      <c r="E624" s="14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7"/>
      <c r="Q624" s="57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15.75" customHeight="1" x14ac:dyDescent="0.3">
      <c r="A625" s="56"/>
      <c r="B625" s="56"/>
      <c r="C625" s="56"/>
      <c r="D625" s="56"/>
      <c r="E625" s="14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7"/>
      <c r="Q625" s="57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15.75" customHeight="1" x14ac:dyDescent="0.3">
      <c r="A626" s="56"/>
      <c r="B626" s="56"/>
      <c r="C626" s="56"/>
      <c r="D626" s="56"/>
      <c r="E626" s="14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7"/>
      <c r="Q626" s="57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15.75" customHeight="1" x14ac:dyDescent="0.3">
      <c r="A627" s="56"/>
      <c r="B627" s="56"/>
      <c r="C627" s="56"/>
      <c r="D627" s="56"/>
      <c r="E627" s="14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7"/>
      <c r="Q627" s="57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15.75" customHeight="1" x14ac:dyDescent="0.3">
      <c r="A628" s="56"/>
      <c r="B628" s="56"/>
      <c r="C628" s="56"/>
      <c r="D628" s="56"/>
      <c r="E628" s="14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7"/>
      <c r="Q628" s="57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15.75" customHeight="1" x14ac:dyDescent="0.3">
      <c r="A629" s="56"/>
      <c r="B629" s="56"/>
      <c r="C629" s="56"/>
      <c r="D629" s="56"/>
      <c r="E629" s="14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7"/>
      <c r="Q629" s="57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15.75" customHeight="1" x14ac:dyDescent="0.3">
      <c r="A630" s="56"/>
      <c r="B630" s="56"/>
      <c r="C630" s="56"/>
      <c r="D630" s="56"/>
      <c r="E630" s="14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7"/>
      <c r="Q630" s="57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15.75" customHeight="1" x14ac:dyDescent="0.3">
      <c r="A631" s="56"/>
      <c r="B631" s="56"/>
      <c r="C631" s="56"/>
      <c r="D631" s="56"/>
      <c r="E631" s="14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7"/>
      <c r="Q631" s="57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15.75" customHeight="1" x14ac:dyDescent="0.3">
      <c r="A632" s="56"/>
      <c r="B632" s="56"/>
      <c r="C632" s="56"/>
      <c r="D632" s="56"/>
      <c r="E632" s="14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7"/>
      <c r="Q632" s="57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15.75" customHeight="1" x14ac:dyDescent="0.3">
      <c r="A633" s="56"/>
      <c r="B633" s="56"/>
      <c r="C633" s="56"/>
      <c r="D633" s="56"/>
      <c r="E633" s="14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7"/>
      <c r="Q633" s="57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15.75" customHeight="1" x14ac:dyDescent="0.3">
      <c r="A634" s="56"/>
      <c r="B634" s="56"/>
      <c r="C634" s="56"/>
      <c r="D634" s="56"/>
      <c r="E634" s="14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7"/>
      <c r="Q634" s="57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15.75" customHeight="1" x14ac:dyDescent="0.3">
      <c r="A635" s="56"/>
      <c r="B635" s="56"/>
      <c r="C635" s="56"/>
      <c r="D635" s="56"/>
      <c r="E635" s="14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7"/>
      <c r="Q635" s="57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15.75" customHeight="1" x14ac:dyDescent="0.3">
      <c r="A636" s="56"/>
      <c r="B636" s="56"/>
      <c r="C636" s="56"/>
      <c r="D636" s="56"/>
      <c r="E636" s="14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7"/>
      <c r="Q636" s="57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15.75" customHeight="1" x14ac:dyDescent="0.3">
      <c r="A637" s="56"/>
      <c r="B637" s="56"/>
      <c r="C637" s="56"/>
      <c r="D637" s="56"/>
      <c r="E637" s="14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7"/>
      <c r="Q637" s="57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15.75" customHeight="1" x14ac:dyDescent="0.3">
      <c r="A638" s="56"/>
      <c r="B638" s="56"/>
      <c r="C638" s="56"/>
      <c r="D638" s="56"/>
      <c r="E638" s="14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7"/>
      <c r="Q638" s="57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15.75" customHeight="1" x14ac:dyDescent="0.3">
      <c r="A639" s="56"/>
      <c r="B639" s="56"/>
      <c r="C639" s="56"/>
      <c r="D639" s="56"/>
      <c r="E639" s="14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7"/>
      <c r="Q639" s="57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15.75" customHeight="1" x14ac:dyDescent="0.3">
      <c r="A640" s="56"/>
      <c r="B640" s="56"/>
      <c r="C640" s="56"/>
      <c r="D640" s="56"/>
      <c r="E640" s="14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7"/>
      <c r="Q640" s="57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15.75" customHeight="1" x14ac:dyDescent="0.3">
      <c r="A641" s="56"/>
      <c r="B641" s="56"/>
      <c r="C641" s="56"/>
      <c r="D641" s="56"/>
      <c r="E641" s="14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7"/>
      <c r="Q641" s="57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15.75" customHeight="1" x14ac:dyDescent="0.3">
      <c r="A642" s="56"/>
      <c r="B642" s="56"/>
      <c r="C642" s="56"/>
      <c r="D642" s="56"/>
      <c r="E642" s="14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7"/>
      <c r="Q642" s="57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15.75" customHeight="1" x14ac:dyDescent="0.3">
      <c r="A643" s="56"/>
      <c r="B643" s="56"/>
      <c r="C643" s="56"/>
      <c r="D643" s="56"/>
      <c r="E643" s="14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7"/>
      <c r="Q643" s="57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15.75" customHeight="1" x14ac:dyDescent="0.3">
      <c r="A644" s="56"/>
      <c r="B644" s="56"/>
      <c r="C644" s="56"/>
      <c r="D644" s="56"/>
      <c r="E644" s="14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7"/>
      <c r="Q644" s="57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15.75" customHeight="1" x14ac:dyDescent="0.3">
      <c r="A645" s="56"/>
      <c r="B645" s="56"/>
      <c r="C645" s="56"/>
      <c r="D645" s="56"/>
      <c r="E645" s="14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7"/>
      <c r="Q645" s="57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15.75" customHeight="1" x14ac:dyDescent="0.3">
      <c r="A646" s="56"/>
      <c r="B646" s="56"/>
      <c r="C646" s="56"/>
      <c r="D646" s="56"/>
      <c r="E646" s="14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7"/>
      <c r="Q646" s="57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15.75" customHeight="1" x14ac:dyDescent="0.3">
      <c r="A647" s="56"/>
      <c r="B647" s="56"/>
      <c r="C647" s="56"/>
      <c r="D647" s="56"/>
      <c r="E647" s="14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7"/>
      <c r="Q647" s="57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15.75" customHeight="1" x14ac:dyDescent="0.3">
      <c r="A648" s="56"/>
      <c r="B648" s="56"/>
      <c r="C648" s="56"/>
      <c r="D648" s="56"/>
      <c r="E648" s="14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7"/>
      <c r="Q648" s="57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15.75" customHeight="1" x14ac:dyDescent="0.3">
      <c r="A649" s="56"/>
      <c r="B649" s="56"/>
      <c r="C649" s="56"/>
      <c r="D649" s="56"/>
      <c r="E649" s="14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7"/>
      <c r="Q649" s="57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15.75" customHeight="1" x14ac:dyDescent="0.3">
      <c r="A650" s="56"/>
      <c r="B650" s="56"/>
      <c r="C650" s="56"/>
      <c r="D650" s="56"/>
      <c r="E650" s="14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7"/>
      <c r="Q650" s="57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15.75" customHeight="1" x14ac:dyDescent="0.3">
      <c r="A651" s="56"/>
      <c r="B651" s="56"/>
      <c r="C651" s="56"/>
      <c r="D651" s="56"/>
      <c r="E651" s="14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7"/>
      <c r="Q651" s="57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15.75" customHeight="1" x14ac:dyDescent="0.3">
      <c r="A652" s="56"/>
      <c r="B652" s="56"/>
      <c r="C652" s="56"/>
      <c r="D652" s="56"/>
      <c r="E652" s="14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7"/>
      <c r="Q652" s="57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15.75" customHeight="1" x14ac:dyDescent="0.3">
      <c r="A653" s="56"/>
      <c r="B653" s="56"/>
      <c r="C653" s="56"/>
      <c r="D653" s="56"/>
      <c r="E653" s="14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7"/>
      <c r="Q653" s="57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15.75" customHeight="1" x14ac:dyDescent="0.3">
      <c r="A654" s="56"/>
      <c r="B654" s="56"/>
      <c r="C654" s="56"/>
      <c r="D654" s="56"/>
      <c r="E654" s="14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7"/>
      <c r="Q654" s="57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15.75" customHeight="1" x14ac:dyDescent="0.3">
      <c r="A655" s="56"/>
      <c r="B655" s="56"/>
      <c r="C655" s="56"/>
      <c r="D655" s="56"/>
      <c r="E655" s="14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7"/>
      <c r="Q655" s="57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15.75" customHeight="1" x14ac:dyDescent="0.3">
      <c r="A656" s="56"/>
      <c r="B656" s="56"/>
      <c r="C656" s="56"/>
      <c r="D656" s="56"/>
      <c r="E656" s="14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7"/>
      <c r="Q656" s="57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15.75" customHeight="1" x14ac:dyDescent="0.3">
      <c r="A657" s="56"/>
      <c r="B657" s="56"/>
      <c r="C657" s="56"/>
      <c r="D657" s="56"/>
      <c r="E657" s="14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7"/>
      <c r="Q657" s="57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15.75" customHeight="1" x14ac:dyDescent="0.3">
      <c r="A658" s="56"/>
      <c r="B658" s="56"/>
      <c r="C658" s="56"/>
      <c r="D658" s="56"/>
      <c r="E658" s="14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7"/>
      <c r="Q658" s="57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15.75" customHeight="1" x14ac:dyDescent="0.3">
      <c r="A659" s="56"/>
      <c r="B659" s="56"/>
      <c r="C659" s="56"/>
      <c r="D659" s="56"/>
      <c r="E659" s="14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7"/>
      <c r="Q659" s="57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15.75" customHeight="1" x14ac:dyDescent="0.3">
      <c r="A660" s="56"/>
      <c r="B660" s="56"/>
      <c r="C660" s="56"/>
      <c r="D660" s="56"/>
      <c r="E660" s="14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7"/>
      <c r="Q660" s="57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15.75" customHeight="1" x14ac:dyDescent="0.3">
      <c r="A661" s="56"/>
      <c r="B661" s="56"/>
      <c r="C661" s="56"/>
      <c r="D661" s="56"/>
      <c r="E661" s="14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7"/>
      <c r="Q661" s="57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15.75" customHeight="1" x14ac:dyDescent="0.3">
      <c r="A662" s="56"/>
      <c r="B662" s="56"/>
      <c r="C662" s="56"/>
      <c r="D662" s="56"/>
      <c r="E662" s="14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7"/>
      <c r="Q662" s="57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15.75" customHeight="1" x14ac:dyDescent="0.3">
      <c r="A663" s="56"/>
      <c r="B663" s="56"/>
      <c r="C663" s="56"/>
      <c r="D663" s="56"/>
      <c r="E663" s="14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7"/>
      <c r="Q663" s="57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15.75" customHeight="1" x14ac:dyDescent="0.3">
      <c r="A664" s="56"/>
      <c r="B664" s="56"/>
      <c r="C664" s="56"/>
      <c r="D664" s="56"/>
      <c r="E664" s="14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7"/>
      <c r="Q664" s="57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15.75" customHeight="1" x14ac:dyDescent="0.3">
      <c r="A665" s="56"/>
      <c r="B665" s="56"/>
      <c r="C665" s="56"/>
      <c r="D665" s="56"/>
      <c r="E665" s="14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7"/>
      <c r="Q665" s="57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15.75" customHeight="1" x14ac:dyDescent="0.3">
      <c r="A666" s="56"/>
      <c r="B666" s="56"/>
      <c r="C666" s="56"/>
      <c r="D666" s="56"/>
      <c r="E666" s="14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7"/>
      <c r="Q666" s="57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15.75" customHeight="1" x14ac:dyDescent="0.3">
      <c r="A667" s="56"/>
      <c r="B667" s="56"/>
      <c r="C667" s="56"/>
      <c r="D667" s="56"/>
      <c r="E667" s="14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7"/>
      <c r="Q667" s="57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15.75" customHeight="1" x14ac:dyDescent="0.3">
      <c r="A668" s="56"/>
      <c r="B668" s="56"/>
      <c r="C668" s="56"/>
      <c r="D668" s="56"/>
      <c r="E668" s="14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7"/>
      <c r="Q668" s="57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15.75" customHeight="1" x14ac:dyDescent="0.3">
      <c r="A669" s="56"/>
      <c r="B669" s="56"/>
      <c r="C669" s="56"/>
      <c r="D669" s="56"/>
      <c r="E669" s="14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7"/>
      <c r="Q669" s="57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15.75" customHeight="1" x14ac:dyDescent="0.3">
      <c r="A670" s="56"/>
      <c r="B670" s="56"/>
      <c r="C670" s="56"/>
      <c r="D670" s="56"/>
      <c r="E670" s="14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7"/>
      <c r="Q670" s="57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15.75" customHeight="1" x14ac:dyDescent="0.3">
      <c r="A671" s="56"/>
      <c r="B671" s="56"/>
      <c r="C671" s="56"/>
      <c r="D671" s="56"/>
      <c r="E671" s="14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7"/>
      <c r="Q671" s="57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15.75" customHeight="1" x14ac:dyDescent="0.3">
      <c r="A672" s="56"/>
      <c r="B672" s="56"/>
      <c r="C672" s="56"/>
      <c r="D672" s="56"/>
      <c r="E672" s="14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7"/>
      <c r="Q672" s="57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15.75" customHeight="1" x14ac:dyDescent="0.3">
      <c r="A673" s="56"/>
      <c r="B673" s="56"/>
      <c r="C673" s="56"/>
      <c r="D673" s="56"/>
      <c r="E673" s="14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7"/>
      <c r="Q673" s="57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15.75" customHeight="1" x14ac:dyDescent="0.3">
      <c r="A674" s="56"/>
      <c r="B674" s="56"/>
      <c r="C674" s="56"/>
      <c r="D674" s="56"/>
      <c r="E674" s="14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7"/>
      <c r="Q674" s="57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15.75" customHeight="1" x14ac:dyDescent="0.3">
      <c r="A675" s="56"/>
      <c r="B675" s="56"/>
      <c r="C675" s="56"/>
      <c r="D675" s="56"/>
      <c r="E675" s="14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7"/>
      <c r="Q675" s="57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15.75" customHeight="1" x14ac:dyDescent="0.3">
      <c r="A676" s="56"/>
      <c r="B676" s="56"/>
      <c r="C676" s="56"/>
      <c r="D676" s="56"/>
      <c r="E676" s="14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7"/>
      <c r="Q676" s="57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15.75" customHeight="1" x14ac:dyDescent="0.3">
      <c r="A677" s="56"/>
      <c r="B677" s="56"/>
      <c r="C677" s="56"/>
      <c r="D677" s="56"/>
      <c r="E677" s="14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7"/>
      <c r="Q677" s="57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15.75" customHeight="1" x14ac:dyDescent="0.3">
      <c r="A678" s="56"/>
      <c r="B678" s="56"/>
      <c r="C678" s="56"/>
      <c r="D678" s="56"/>
      <c r="E678" s="14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7"/>
      <c r="Q678" s="57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15.75" customHeight="1" x14ac:dyDescent="0.3">
      <c r="A679" s="56"/>
      <c r="B679" s="56"/>
      <c r="C679" s="56"/>
      <c r="D679" s="56"/>
      <c r="E679" s="14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7"/>
      <c r="Q679" s="57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15.75" customHeight="1" x14ac:dyDescent="0.3">
      <c r="A680" s="56"/>
      <c r="B680" s="56"/>
      <c r="C680" s="56"/>
      <c r="D680" s="56"/>
      <c r="E680" s="14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7"/>
      <c r="Q680" s="57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15.75" customHeight="1" x14ac:dyDescent="0.3">
      <c r="A681" s="56"/>
      <c r="B681" s="56"/>
      <c r="C681" s="56"/>
      <c r="D681" s="56"/>
      <c r="E681" s="14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7"/>
      <c r="Q681" s="57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15.75" customHeight="1" x14ac:dyDescent="0.3">
      <c r="A682" s="56"/>
      <c r="B682" s="56"/>
      <c r="C682" s="56"/>
      <c r="D682" s="56"/>
      <c r="E682" s="14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7"/>
      <c r="Q682" s="57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15.75" customHeight="1" x14ac:dyDescent="0.3">
      <c r="A683" s="56"/>
      <c r="B683" s="56"/>
      <c r="C683" s="56"/>
      <c r="D683" s="56"/>
      <c r="E683" s="14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7"/>
      <c r="Q683" s="57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15.75" customHeight="1" x14ac:dyDescent="0.3">
      <c r="A684" s="56"/>
      <c r="B684" s="56"/>
      <c r="C684" s="56"/>
      <c r="D684" s="56"/>
      <c r="E684" s="14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7"/>
      <c r="Q684" s="57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15.75" customHeight="1" x14ac:dyDescent="0.3">
      <c r="A685" s="56"/>
      <c r="B685" s="56"/>
      <c r="C685" s="56"/>
      <c r="D685" s="56"/>
      <c r="E685" s="14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7"/>
      <c r="Q685" s="57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15.75" customHeight="1" x14ac:dyDescent="0.3">
      <c r="A686" s="56"/>
      <c r="B686" s="56"/>
      <c r="C686" s="56"/>
      <c r="D686" s="56"/>
      <c r="E686" s="14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7"/>
      <c r="Q686" s="57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15.75" customHeight="1" x14ac:dyDescent="0.3">
      <c r="A687" s="56"/>
      <c r="B687" s="56"/>
      <c r="C687" s="56"/>
      <c r="D687" s="56"/>
      <c r="E687" s="14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7"/>
      <c r="Q687" s="57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15.75" customHeight="1" x14ac:dyDescent="0.3">
      <c r="A688" s="56"/>
      <c r="B688" s="56"/>
      <c r="C688" s="56"/>
      <c r="D688" s="56"/>
      <c r="E688" s="14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7"/>
      <c r="Q688" s="57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15.75" customHeight="1" x14ac:dyDescent="0.3">
      <c r="A689" s="56"/>
      <c r="B689" s="56"/>
      <c r="C689" s="56"/>
      <c r="D689" s="56"/>
      <c r="E689" s="14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7"/>
      <c r="Q689" s="57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15.75" customHeight="1" x14ac:dyDescent="0.3">
      <c r="A690" s="56"/>
      <c r="B690" s="56"/>
      <c r="C690" s="56"/>
      <c r="D690" s="56"/>
      <c r="E690" s="14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7"/>
      <c r="Q690" s="57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15.75" customHeight="1" x14ac:dyDescent="0.3">
      <c r="A691" s="56"/>
      <c r="B691" s="56"/>
      <c r="C691" s="56"/>
      <c r="D691" s="56"/>
      <c r="E691" s="14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7"/>
      <c r="Q691" s="57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15.75" customHeight="1" x14ac:dyDescent="0.3">
      <c r="A692" s="56"/>
      <c r="B692" s="56"/>
      <c r="C692" s="56"/>
      <c r="D692" s="56"/>
      <c r="E692" s="14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7"/>
      <c r="Q692" s="57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15.75" customHeight="1" x14ac:dyDescent="0.3">
      <c r="A693" s="56"/>
      <c r="B693" s="56"/>
      <c r="C693" s="56"/>
      <c r="D693" s="56"/>
      <c r="E693" s="14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7"/>
      <c r="Q693" s="57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15.75" customHeight="1" x14ac:dyDescent="0.3">
      <c r="A694" s="56"/>
      <c r="B694" s="56"/>
      <c r="C694" s="56"/>
      <c r="D694" s="56"/>
      <c r="E694" s="14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7"/>
      <c r="Q694" s="57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15.75" customHeight="1" x14ac:dyDescent="0.3">
      <c r="A695" s="56"/>
      <c r="B695" s="56"/>
      <c r="C695" s="56"/>
      <c r="D695" s="56"/>
      <c r="E695" s="14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7"/>
      <c r="Q695" s="57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15.75" customHeight="1" x14ac:dyDescent="0.3">
      <c r="A696" s="56"/>
      <c r="B696" s="56"/>
      <c r="C696" s="56"/>
      <c r="D696" s="56"/>
      <c r="E696" s="14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7"/>
      <c r="Q696" s="57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15.75" customHeight="1" x14ac:dyDescent="0.3">
      <c r="A697" s="56"/>
      <c r="B697" s="56"/>
      <c r="C697" s="56"/>
      <c r="D697" s="56"/>
      <c r="E697" s="14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7"/>
      <c r="Q697" s="57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15.75" customHeight="1" x14ac:dyDescent="0.3">
      <c r="A698" s="56"/>
      <c r="B698" s="56"/>
      <c r="C698" s="56"/>
      <c r="D698" s="56"/>
      <c r="E698" s="14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7"/>
      <c r="Q698" s="57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15.75" customHeight="1" x14ac:dyDescent="0.3">
      <c r="A699" s="56"/>
      <c r="B699" s="56"/>
      <c r="C699" s="56"/>
      <c r="D699" s="56"/>
      <c r="E699" s="14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7"/>
      <c r="Q699" s="57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15.75" customHeight="1" x14ac:dyDescent="0.3">
      <c r="A700" s="56"/>
      <c r="B700" s="56"/>
      <c r="C700" s="56"/>
      <c r="D700" s="56"/>
      <c r="E700" s="14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7"/>
      <c r="Q700" s="57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15.75" customHeight="1" x14ac:dyDescent="0.3">
      <c r="A701" s="56"/>
      <c r="B701" s="56"/>
      <c r="C701" s="56"/>
      <c r="D701" s="56"/>
      <c r="E701" s="14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7"/>
      <c r="Q701" s="57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15.75" customHeight="1" x14ac:dyDescent="0.3">
      <c r="A702" s="56"/>
      <c r="B702" s="56"/>
      <c r="C702" s="56"/>
      <c r="D702" s="56"/>
      <c r="E702" s="14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7"/>
      <c r="Q702" s="57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15.75" customHeight="1" x14ac:dyDescent="0.3">
      <c r="A703" s="56"/>
      <c r="B703" s="56"/>
      <c r="C703" s="56"/>
      <c r="D703" s="56"/>
      <c r="E703" s="14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7"/>
      <c r="Q703" s="57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15.75" customHeight="1" x14ac:dyDescent="0.3">
      <c r="A704" s="56"/>
      <c r="B704" s="56"/>
      <c r="C704" s="56"/>
      <c r="D704" s="56"/>
      <c r="E704" s="14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7"/>
      <c r="Q704" s="57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15.75" customHeight="1" x14ac:dyDescent="0.3">
      <c r="A705" s="56"/>
      <c r="B705" s="56"/>
      <c r="C705" s="56"/>
      <c r="D705" s="56"/>
      <c r="E705" s="14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7"/>
      <c r="Q705" s="57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15.75" customHeight="1" x14ac:dyDescent="0.3">
      <c r="A706" s="56"/>
      <c r="B706" s="56"/>
      <c r="C706" s="56"/>
      <c r="D706" s="56"/>
      <c r="E706" s="14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7"/>
      <c r="Q706" s="57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15.75" customHeight="1" x14ac:dyDescent="0.3">
      <c r="A707" s="56"/>
      <c r="B707" s="56"/>
      <c r="C707" s="56"/>
      <c r="D707" s="56"/>
      <c r="E707" s="14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7"/>
      <c r="Q707" s="57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15.75" customHeight="1" x14ac:dyDescent="0.3">
      <c r="A708" s="56"/>
      <c r="B708" s="56"/>
      <c r="C708" s="56"/>
      <c r="D708" s="56"/>
      <c r="E708" s="14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7"/>
      <c r="Q708" s="57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15.75" customHeight="1" x14ac:dyDescent="0.3">
      <c r="A709" s="56"/>
      <c r="B709" s="56"/>
      <c r="C709" s="56"/>
      <c r="D709" s="56"/>
      <c r="E709" s="14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7"/>
      <c r="Q709" s="57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15.75" customHeight="1" x14ac:dyDescent="0.3">
      <c r="A710" s="56"/>
      <c r="B710" s="56"/>
      <c r="C710" s="56"/>
      <c r="D710" s="56"/>
      <c r="E710" s="14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7"/>
      <c r="Q710" s="57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15.75" customHeight="1" x14ac:dyDescent="0.3">
      <c r="A711" s="56"/>
      <c r="B711" s="56"/>
      <c r="C711" s="56"/>
      <c r="D711" s="56"/>
      <c r="E711" s="14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7"/>
      <c r="Q711" s="57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15.75" customHeight="1" x14ac:dyDescent="0.3">
      <c r="A712" s="56"/>
      <c r="B712" s="56"/>
      <c r="C712" s="56"/>
      <c r="D712" s="56"/>
      <c r="E712" s="14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7"/>
      <c r="Q712" s="57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15.75" customHeight="1" x14ac:dyDescent="0.3">
      <c r="A713" s="56"/>
      <c r="B713" s="56"/>
      <c r="C713" s="56"/>
      <c r="D713" s="56"/>
      <c r="E713" s="14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7"/>
      <c r="Q713" s="57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15.75" customHeight="1" x14ac:dyDescent="0.3">
      <c r="A714" s="56"/>
      <c r="B714" s="56"/>
      <c r="C714" s="56"/>
      <c r="D714" s="56"/>
      <c r="E714" s="14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7"/>
      <c r="Q714" s="57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15.75" customHeight="1" x14ac:dyDescent="0.3">
      <c r="A715" s="56"/>
      <c r="B715" s="56"/>
      <c r="C715" s="56"/>
      <c r="D715" s="56"/>
      <c r="E715" s="14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7"/>
      <c r="Q715" s="57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15.75" customHeight="1" x14ac:dyDescent="0.3">
      <c r="A716" s="56"/>
      <c r="B716" s="56"/>
      <c r="C716" s="56"/>
      <c r="D716" s="56"/>
      <c r="E716" s="14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7"/>
      <c r="Q716" s="57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15.75" customHeight="1" x14ac:dyDescent="0.3">
      <c r="A717" s="56"/>
      <c r="B717" s="56"/>
      <c r="C717" s="56"/>
      <c r="D717" s="56"/>
      <c r="E717" s="14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7"/>
      <c r="Q717" s="57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15.75" customHeight="1" x14ac:dyDescent="0.3">
      <c r="A718" s="56"/>
      <c r="B718" s="56"/>
      <c r="C718" s="56"/>
      <c r="D718" s="56"/>
      <c r="E718" s="14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7"/>
      <c r="Q718" s="57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15.75" customHeight="1" x14ac:dyDescent="0.3">
      <c r="A719" s="56"/>
      <c r="B719" s="56"/>
      <c r="C719" s="56"/>
      <c r="D719" s="56"/>
      <c r="E719" s="14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7"/>
      <c r="Q719" s="57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15.75" customHeight="1" x14ac:dyDescent="0.3">
      <c r="A720" s="56"/>
      <c r="B720" s="56"/>
      <c r="C720" s="56"/>
      <c r="D720" s="56"/>
      <c r="E720" s="14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7"/>
      <c r="Q720" s="57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15.75" customHeight="1" x14ac:dyDescent="0.3">
      <c r="A721" s="56"/>
      <c r="B721" s="56"/>
      <c r="C721" s="56"/>
      <c r="D721" s="56"/>
      <c r="E721" s="14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7"/>
      <c r="Q721" s="57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15.75" customHeight="1" x14ac:dyDescent="0.3">
      <c r="A722" s="56"/>
      <c r="B722" s="56"/>
      <c r="C722" s="56"/>
      <c r="D722" s="56"/>
      <c r="E722" s="14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7"/>
      <c r="Q722" s="57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15.75" customHeight="1" x14ac:dyDescent="0.3">
      <c r="A723" s="56"/>
      <c r="B723" s="56"/>
      <c r="C723" s="56"/>
      <c r="D723" s="56"/>
      <c r="E723" s="14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7"/>
      <c r="Q723" s="57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15.75" customHeight="1" x14ac:dyDescent="0.3">
      <c r="A724" s="56"/>
      <c r="B724" s="56"/>
      <c r="C724" s="56"/>
      <c r="D724" s="56"/>
      <c r="E724" s="14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7"/>
      <c r="Q724" s="57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15.75" customHeight="1" x14ac:dyDescent="0.3">
      <c r="A725" s="56"/>
      <c r="B725" s="56"/>
      <c r="C725" s="56"/>
      <c r="D725" s="56"/>
      <c r="E725" s="14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7"/>
      <c r="Q725" s="57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15.75" customHeight="1" x14ac:dyDescent="0.3">
      <c r="A726" s="56"/>
      <c r="B726" s="56"/>
      <c r="C726" s="56"/>
      <c r="D726" s="56"/>
      <c r="E726" s="14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7"/>
      <c r="Q726" s="57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15.75" customHeight="1" x14ac:dyDescent="0.3">
      <c r="A727" s="56"/>
      <c r="B727" s="56"/>
      <c r="C727" s="56"/>
      <c r="D727" s="56"/>
      <c r="E727" s="14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7"/>
      <c r="Q727" s="57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15.75" customHeight="1" x14ac:dyDescent="0.3">
      <c r="A728" s="56"/>
      <c r="B728" s="56"/>
      <c r="C728" s="56"/>
      <c r="D728" s="56"/>
      <c r="E728" s="14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7"/>
      <c r="Q728" s="57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15.75" customHeight="1" x14ac:dyDescent="0.3">
      <c r="A729" s="56"/>
      <c r="B729" s="56"/>
      <c r="C729" s="56"/>
      <c r="D729" s="56"/>
      <c r="E729" s="14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7"/>
      <c r="Q729" s="57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15.75" customHeight="1" x14ac:dyDescent="0.3">
      <c r="A730" s="56"/>
      <c r="B730" s="56"/>
      <c r="C730" s="56"/>
      <c r="D730" s="56"/>
      <c r="E730" s="14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7"/>
      <c r="Q730" s="57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15.75" customHeight="1" x14ac:dyDescent="0.3">
      <c r="A731" s="56"/>
      <c r="B731" s="56"/>
      <c r="C731" s="56"/>
      <c r="D731" s="56"/>
      <c r="E731" s="14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7"/>
      <c r="Q731" s="57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15.75" customHeight="1" x14ac:dyDescent="0.3">
      <c r="A732" s="56"/>
      <c r="B732" s="56"/>
      <c r="C732" s="56"/>
      <c r="D732" s="56"/>
      <c r="E732" s="14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7"/>
      <c r="Q732" s="57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15.75" customHeight="1" x14ac:dyDescent="0.3">
      <c r="A733" s="56"/>
      <c r="B733" s="56"/>
      <c r="C733" s="56"/>
      <c r="D733" s="56"/>
      <c r="E733" s="14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7"/>
      <c r="Q733" s="57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15.75" customHeight="1" x14ac:dyDescent="0.3">
      <c r="A734" s="56"/>
      <c r="B734" s="56"/>
      <c r="C734" s="56"/>
      <c r="D734" s="56"/>
      <c r="E734" s="14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7"/>
      <c r="Q734" s="57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15.75" customHeight="1" x14ac:dyDescent="0.3">
      <c r="A735" s="56"/>
      <c r="B735" s="56"/>
      <c r="C735" s="56"/>
      <c r="D735" s="56"/>
      <c r="E735" s="14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7"/>
      <c r="Q735" s="57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15.75" customHeight="1" x14ac:dyDescent="0.3">
      <c r="A736" s="56"/>
      <c r="B736" s="56"/>
      <c r="C736" s="56"/>
      <c r="D736" s="56"/>
      <c r="E736" s="14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7"/>
      <c r="Q736" s="57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15.75" customHeight="1" x14ac:dyDescent="0.3">
      <c r="A737" s="56"/>
      <c r="B737" s="56"/>
      <c r="C737" s="56"/>
      <c r="D737" s="56"/>
      <c r="E737" s="14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7"/>
      <c r="Q737" s="57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15.75" customHeight="1" x14ac:dyDescent="0.3">
      <c r="A738" s="56"/>
      <c r="B738" s="56"/>
      <c r="C738" s="56"/>
      <c r="D738" s="56"/>
      <c r="E738" s="14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7"/>
      <c r="Q738" s="57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15.75" customHeight="1" x14ac:dyDescent="0.3">
      <c r="A739" s="56"/>
      <c r="B739" s="56"/>
      <c r="C739" s="56"/>
      <c r="D739" s="56"/>
      <c r="E739" s="14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7"/>
      <c r="Q739" s="57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15.75" customHeight="1" x14ac:dyDescent="0.3">
      <c r="A740" s="56"/>
      <c r="B740" s="56"/>
      <c r="C740" s="56"/>
      <c r="D740" s="56"/>
      <c r="E740" s="14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7"/>
      <c r="Q740" s="57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15.75" customHeight="1" x14ac:dyDescent="0.3">
      <c r="A741" s="56"/>
      <c r="B741" s="56"/>
      <c r="C741" s="56"/>
      <c r="D741" s="56"/>
      <c r="E741" s="14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7"/>
      <c r="Q741" s="57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15.75" customHeight="1" x14ac:dyDescent="0.3">
      <c r="A742" s="56"/>
      <c r="B742" s="56"/>
      <c r="C742" s="56"/>
      <c r="D742" s="56"/>
      <c r="E742" s="14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7"/>
      <c r="Q742" s="57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15.75" customHeight="1" x14ac:dyDescent="0.3">
      <c r="A743" s="56"/>
      <c r="B743" s="56"/>
      <c r="C743" s="56"/>
      <c r="D743" s="56"/>
      <c r="E743" s="14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7"/>
      <c r="Q743" s="57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15.75" customHeight="1" x14ac:dyDescent="0.3">
      <c r="A744" s="56"/>
      <c r="B744" s="56"/>
      <c r="C744" s="56"/>
      <c r="D744" s="56"/>
      <c r="E744" s="14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7"/>
      <c r="Q744" s="57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15.75" customHeight="1" x14ac:dyDescent="0.3">
      <c r="A745" s="56"/>
      <c r="B745" s="56"/>
      <c r="C745" s="56"/>
      <c r="D745" s="56"/>
      <c r="E745" s="14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7"/>
      <c r="Q745" s="57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15.75" customHeight="1" x14ac:dyDescent="0.3">
      <c r="A746" s="56"/>
      <c r="B746" s="56"/>
      <c r="C746" s="56"/>
      <c r="D746" s="56"/>
      <c r="E746" s="14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7"/>
      <c r="Q746" s="57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15.75" customHeight="1" x14ac:dyDescent="0.3">
      <c r="A747" s="56"/>
      <c r="B747" s="56"/>
      <c r="C747" s="56"/>
      <c r="D747" s="56"/>
      <c r="E747" s="14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7"/>
      <c r="Q747" s="57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15.75" customHeight="1" x14ac:dyDescent="0.3">
      <c r="A748" s="56"/>
      <c r="B748" s="56"/>
      <c r="C748" s="56"/>
      <c r="D748" s="56"/>
      <c r="E748" s="14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7"/>
      <c r="Q748" s="57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15.75" customHeight="1" x14ac:dyDescent="0.3">
      <c r="A749" s="56"/>
      <c r="B749" s="56"/>
      <c r="C749" s="56"/>
      <c r="D749" s="56"/>
      <c r="E749" s="14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7"/>
      <c r="Q749" s="57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15.75" customHeight="1" x14ac:dyDescent="0.3">
      <c r="A750" s="56"/>
      <c r="B750" s="56"/>
      <c r="C750" s="56"/>
      <c r="D750" s="56"/>
      <c r="E750" s="14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7"/>
      <c r="Q750" s="57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15.75" customHeight="1" x14ac:dyDescent="0.3">
      <c r="A751" s="56"/>
      <c r="B751" s="56"/>
      <c r="C751" s="56"/>
      <c r="D751" s="56"/>
      <c r="E751" s="14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7"/>
      <c r="Q751" s="57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15.75" customHeight="1" x14ac:dyDescent="0.3">
      <c r="A752" s="56"/>
      <c r="B752" s="56"/>
      <c r="C752" s="56"/>
      <c r="D752" s="56"/>
      <c r="E752" s="14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7"/>
      <c r="Q752" s="57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15.75" customHeight="1" x14ac:dyDescent="0.3">
      <c r="A753" s="56"/>
      <c r="B753" s="56"/>
      <c r="C753" s="56"/>
      <c r="D753" s="56"/>
      <c r="E753" s="14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7"/>
      <c r="Q753" s="57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15.75" customHeight="1" x14ac:dyDescent="0.3">
      <c r="A754" s="56"/>
      <c r="B754" s="56"/>
      <c r="C754" s="56"/>
      <c r="D754" s="56"/>
      <c r="E754" s="14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7"/>
      <c r="Q754" s="57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15.75" customHeight="1" x14ac:dyDescent="0.3">
      <c r="A755" s="56"/>
      <c r="B755" s="56"/>
      <c r="C755" s="56"/>
      <c r="D755" s="56"/>
      <c r="E755" s="14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7"/>
      <c r="Q755" s="57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15.75" customHeight="1" x14ac:dyDescent="0.3">
      <c r="A756" s="56"/>
      <c r="B756" s="56"/>
      <c r="C756" s="56"/>
      <c r="D756" s="56"/>
      <c r="E756" s="14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7"/>
      <c r="Q756" s="57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15.75" customHeight="1" x14ac:dyDescent="0.3">
      <c r="A757" s="56"/>
      <c r="B757" s="56"/>
      <c r="C757" s="56"/>
      <c r="D757" s="56"/>
      <c r="E757" s="14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7"/>
      <c r="Q757" s="57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15.75" customHeight="1" x14ac:dyDescent="0.3">
      <c r="A758" s="56"/>
      <c r="B758" s="56"/>
      <c r="C758" s="56"/>
      <c r="D758" s="56"/>
      <c r="E758" s="14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7"/>
      <c r="Q758" s="57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15.75" customHeight="1" x14ac:dyDescent="0.3">
      <c r="A759" s="56"/>
      <c r="B759" s="56"/>
      <c r="C759" s="56"/>
      <c r="D759" s="56"/>
      <c r="E759" s="14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7"/>
      <c r="Q759" s="57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15.75" customHeight="1" x14ac:dyDescent="0.3">
      <c r="A760" s="56"/>
      <c r="B760" s="56"/>
      <c r="C760" s="56"/>
      <c r="D760" s="56"/>
      <c r="E760" s="14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7"/>
      <c r="Q760" s="57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15.75" customHeight="1" x14ac:dyDescent="0.3">
      <c r="A761" s="56"/>
      <c r="B761" s="56"/>
      <c r="C761" s="56"/>
      <c r="D761" s="56"/>
      <c r="E761" s="14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7"/>
      <c r="Q761" s="57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15.75" customHeight="1" x14ac:dyDescent="0.3">
      <c r="A762" s="56"/>
      <c r="B762" s="56"/>
      <c r="C762" s="56"/>
      <c r="D762" s="56"/>
      <c r="E762" s="14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7"/>
      <c r="Q762" s="57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15.75" customHeight="1" x14ac:dyDescent="0.3">
      <c r="A763" s="56"/>
      <c r="B763" s="56"/>
      <c r="C763" s="56"/>
      <c r="D763" s="56"/>
      <c r="E763" s="14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7"/>
      <c r="Q763" s="57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15.75" customHeight="1" x14ac:dyDescent="0.3">
      <c r="A764" s="56"/>
      <c r="B764" s="56"/>
      <c r="C764" s="56"/>
      <c r="D764" s="56"/>
      <c r="E764" s="14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7"/>
      <c r="Q764" s="57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15.75" customHeight="1" x14ac:dyDescent="0.3">
      <c r="A765" s="56"/>
      <c r="B765" s="56"/>
      <c r="C765" s="56"/>
      <c r="D765" s="56"/>
      <c r="E765" s="14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7"/>
      <c r="Q765" s="57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15.75" customHeight="1" x14ac:dyDescent="0.3">
      <c r="A766" s="56"/>
      <c r="B766" s="56"/>
      <c r="C766" s="56"/>
      <c r="D766" s="56"/>
      <c r="E766" s="14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7"/>
      <c r="Q766" s="57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15.75" customHeight="1" x14ac:dyDescent="0.3">
      <c r="A767" s="56"/>
      <c r="B767" s="56"/>
      <c r="C767" s="56"/>
      <c r="D767" s="56"/>
      <c r="E767" s="14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7"/>
      <c r="Q767" s="57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15.75" customHeight="1" x14ac:dyDescent="0.3">
      <c r="A768" s="56"/>
      <c r="B768" s="56"/>
      <c r="C768" s="56"/>
      <c r="D768" s="56"/>
      <c r="E768" s="14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7"/>
      <c r="Q768" s="57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15.75" customHeight="1" x14ac:dyDescent="0.3">
      <c r="A769" s="56"/>
      <c r="B769" s="56"/>
      <c r="C769" s="56"/>
      <c r="D769" s="56"/>
      <c r="E769" s="14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7"/>
      <c r="Q769" s="57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15.75" customHeight="1" x14ac:dyDescent="0.3">
      <c r="A770" s="56"/>
      <c r="B770" s="56"/>
      <c r="C770" s="56"/>
      <c r="D770" s="56"/>
      <c r="E770" s="14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7"/>
      <c r="Q770" s="57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15.75" customHeight="1" x14ac:dyDescent="0.3">
      <c r="A771" s="56"/>
      <c r="B771" s="56"/>
      <c r="C771" s="56"/>
      <c r="D771" s="56"/>
      <c r="E771" s="14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7"/>
      <c r="Q771" s="57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15.75" customHeight="1" x14ac:dyDescent="0.3">
      <c r="A772" s="56"/>
      <c r="B772" s="56"/>
      <c r="C772" s="56"/>
      <c r="D772" s="56"/>
      <c r="E772" s="14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7"/>
      <c r="Q772" s="57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15.75" customHeight="1" x14ac:dyDescent="0.3">
      <c r="A773" s="56"/>
      <c r="B773" s="56"/>
      <c r="C773" s="56"/>
      <c r="D773" s="56"/>
      <c r="E773" s="14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7"/>
      <c r="Q773" s="57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15.75" customHeight="1" x14ac:dyDescent="0.3">
      <c r="A774" s="56"/>
      <c r="B774" s="56"/>
      <c r="C774" s="56"/>
      <c r="D774" s="56"/>
      <c r="E774" s="14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7"/>
      <c r="Q774" s="57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15.75" customHeight="1" x14ac:dyDescent="0.3">
      <c r="A775" s="56"/>
      <c r="B775" s="56"/>
      <c r="C775" s="56"/>
      <c r="D775" s="56"/>
      <c r="E775" s="14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7"/>
      <c r="Q775" s="57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15.75" customHeight="1" x14ac:dyDescent="0.3">
      <c r="A776" s="56"/>
      <c r="B776" s="56"/>
      <c r="C776" s="56"/>
      <c r="D776" s="56"/>
      <c r="E776" s="14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7"/>
      <c r="Q776" s="57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15.75" customHeight="1" x14ac:dyDescent="0.3">
      <c r="A777" s="56"/>
      <c r="B777" s="56"/>
      <c r="C777" s="56"/>
      <c r="D777" s="56"/>
      <c r="E777" s="14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7"/>
      <c r="Q777" s="57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15.75" customHeight="1" x14ac:dyDescent="0.3">
      <c r="A778" s="56"/>
      <c r="B778" s="56"/>
      <c r="C778" s="56"/>
      <c r="D778" s="56"/>
      <c r="E778" s="14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7"/>
      <c r="Q778" s="57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15.75" customHeight="1" x14ac:dyDescent="0.3">
      <c r="A779" s="56"/>
      <c r="B779" s="56"/>
      <c r="C779" s="56"/>
      <c r="D779" s="56"/>
      <c r="E779" s="14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7"/>
      <c r="Q779" s="57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15.75" customHeight="1" x14ac:dyDescent="0.3">
      <c r="A780" s="56"/>
      <c r="B780" s="56"/>
      <c r="C780" s="56"/>
      <c r="D780" s="56"/>
      <c r="E780" s="14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7"/>
      <c r="Q780" s="57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15.75" customHeight="1" x14ac:dyDescent="0.3">
      <c r="A781" s="56"/>
      <c r="B781" s="56"/>
      <c r="C781" s="56"/>
      <c r="D781" s="56"/>
      <c r="E781" s="14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7"/>
      <c r="Q781" s="57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15.75" customHeight="1" x14ac:dyDescent="0.3">
      <c r="A782" s="56"/>
      <c r="B782" s="56"/>
      <c r="C782" s="56"/>
      <c r="D782" s="56"/>
      <c r="E782" s="14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7"/>
      <c r="Q782" s="57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15.75" customHeight="1" x14ac:dyDescent="0.3">
      <c r="A783" s="56"/>
      <c r="B783" s="56"/>
      <c r="C783" s="56"/>
      <c r="D783" s="56"/>
      <c r="E783" s="14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7"/>
      <c r="Q783" s="57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15.75" customHeight="1" x14ac:dyDescent="0.3">
      <c r="A784" s="56"/>
      <c r="B784" s="56"/>
      <c r="C784" s="56"/>
      <c r="D784" s="56"/>
      <c r="E784" s="14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7"/>
      <c r="Q784" s="57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15.75" customHeight="1" x14ac:dyDescent="0.3">
      <c r="A785" s="56"/>
      <c r="B785" s="56"/>
      <c r="C785" s="56"/>
      <c r="D785" s="56"/>
      <c r="E785" s="14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7"/>
      <c r="Q785" s="57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15.75" customHeight="1" x14ac:dyDescent="0.3">
      <c r="A786" s="56"/>
      <c r="B786" s="56"/>
      <c r="C786" s="56"/>
      <c r="D786" s="56"/>
      <c r="E786" s="14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7"/>
      <c r="Q786" s="57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15.75" customHeight="1" x14ac:dyDescent="0.3">
      <c r="A787" s="56"/>
      <c r="B787" s="56"/>
      <c r="C787" s="56"/>
      <c r="D787" s="56"/>
      <c r="E787" s="14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7"/>
      <c r="Q787" s="57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15.75" customHeight="1" x14ac:dyDescent="0.3">
      <c r="A788" s="56"/>
      <c r="B788" s="56"/>
      <c r="C788" s="56"/>
      <c r="D788" s="56"/>
      <c r="E788" s="14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7"/>
      <c r="Q788" s="57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15.75" customHeight="1" x14ac:dyDescent="0.3">
      <c r="A789" s="56"/>
      <c r="B789" s="56"/>
      <c r="C789" s="56"/>
      <c r="D789" s="56"/>
      <c r="E789" s="14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7"/>
      <c r="Q789" s="57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15.75" customHeight="1" x14ac:dyDescent="0.3">
      <c r="A790" s="56"/>
      <c r="B790" s="56"/>
      <c r="C790" s="56"/>
      <c r="D790" s="56"/>
      <c r="E790" s="14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7"/>
      <c r="Q790" s="57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15.75" customHeight="1" x14ac:dyDescent="0.3">
      <c r="A791" s="56"/>
      <c r="B791" s="56"/>
      <c r="C791" s="56"/>
      <c r="D791" s="56"/>
      <c r="E791" s="14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7"/>
      <c r="Q791" s="57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15.75" customHeight="1" x14ac:dyDescent="0.3">
      <c r="A792" s="56"/>
      <c r="B792" s="56"/>
      <c r="C792" s="56"/>
      <c r="D792" s="56"/>
      <c r="E792" s="14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7"/>
      <c r="Q792" s="57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15.75" customHeight="1" x14ac:dyDescent="0.3">
      <c r="A793" s="56"/>
      <c r="B793" s="56"/>
      <c r="C793" s="56"/>
      <c r="D793" s="56"/>
      <c r="E793" s="14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7"/>
      <c r="Q793" s="57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15.75" customHeight="1" x14ac:dyDescent="0.3">
      <c r="A794" s="56"/>
      <c r="B794" s="56"/>
      <c r="C794" s="56"/>
      <c r="D794" s="56"/>
      <c r="E794" s="14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7"/>
      <c r="Q794" s="57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15.75" customHeight="1" x14ac:dyDescent="0.3">
      <c r="A795" s="56"/>
      <c r="B795" s="56"/>
      <c r="C795" s="56"/>
      <c r="D795" s="56"/>
      <c r="E795" s="14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7"/>
      <c r="Q795" s="57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15.75" customHeight="1" x14ac:dyDescent="0.3">
      <c r="A796" s="56"/>
      <c r="B796" s="56"/>
      <c r="C796" s="56"/>
      <c r="D796" s="56"/>
      <c r="E796" s="14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7"/>
      <c r="Q796" s="57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15.75" customHeight="1" x14ac:dyDescent="0.3">
      <c r="A797" s="56"/>
      <c r="B797" s="56"/>
      <c r="C797" s="56"/>
      <c r="D797" s="56"/>
      <c r="E797" s="14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7"/>
      <c r="Q797" s="57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15.75" customHeight="1" x14ac:dyDescent="0.3">
      <c r="A798" s="56"/>
      <c r="B798" s="56"/>
      <c r="C798" s="56"/>
      <c r="D798" s="56"/>
      <c r="E798" s="14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7"/>
      <c r="Q798" s="57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15.75" customHeight="1" x14ac:dyDescent="0.3">
      <c r="A799" s="56"/>
      <c r="B799" s="56"/>
      <c r="C799" s="56"/>
      <c r="D799" s="56"/>
      <c r="E799" s="14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7"/>
      <c r="Q799" s="57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15.75" customHeight="1" x14ac:dyDescent="0.3">
      <c r="A800" s="56"/>
      <c r="B800" s="56"/>
      <c r="C800" s="56"/>
      <c r="D800" s="56"/>
      <c r="E800" s="14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7"/>
      <c r="Q800" s="57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15.75" customHeight="1" x14ac:dyDescent="0.3">
      <c r="A801" s="56"/>
      <c r="B801" s="56"/>
      <c r="C801" s="56"/>
      <c r="D801" s="56"/>
      <c r="E801" s="14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7"/>
      <c r="Q801" s="57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15.75" customHeight="1" x14ac:dyDescent="0.3">
      <c r="A802" s="56"/>
      <c r="B802" s="56"/>
      <c r="C802" s="56"/>
      <c r="D802" s="56"/>
      <c r="E802" s="14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7"/>
      <c r="Q802" s="57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15.75" customHeight="1" x14ac:dyDescent="0.3">
      <c r="A803" s="56"/>
      <c r="B803" s="56"/>
      <c r="C803" s="56"/>
      <c r="D803" s="56"/>
      <c r="E803" s="14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7"/>
      <c r="Q803" s="57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15.75" customHeight="1" x14ac:dyDescent="0.3">
      <c r="A804" s="56"/>
      <c r="B804" s="56"/>
      <c r="C804" s="56"/>
      <c r="D804" s="56"/>
      <c r="E804" s="14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7"/>
      <c r="Q804" s="57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15.75" customHeight="1" x14ac:dyDescent="0.3">
      <c r="A805" s="56"/>
      <c r="B805" s="56"/>
      <c r="C805" s="56"/>
      <c r="D805" s="56"/>
      <c r="E805" s="14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7"/>
      <c r="Q805" s="57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15.75" customHeight="1" x14ac:dyDescent="0.3">
      <c r="A806" s="56"/>
      <c r="B806" s="56"/>
      <c r="C806" s="56"/>
      <c r="D806" s="56"/>
      <c r="E806" s="14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7"/>
      <c r="Q806" s="57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15.75" customHeight="1" x14ac:dyDescent="0.3">
      <c r="A807" s="56"/>
      <c r="B807" s="56"/>
      <c r="C807" s="56"/>
      <c r="D807" s="56"/>
      <c r="E807" s="14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7"/>
      <c r="Q807" s="57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15.75" customHeight="1" x14ac:dyDescent="0.3">
      <c r="A808" s="56"/>
      <c r="B808" s="56"/>
      <c r="C808" s="56"/>
      <c r="D808" s="56"/>
      <c r="E808" s="14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7"/>
      <c r="Q808" s="57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15.75" customHeight="1" x14ac:dyDescent="0.3">
      <c r="A809" s="56"/>
      <c r="B809" s="56"/>
      <c r="C809" s="56"/>
      <c r="D809" s="56"/>
      <c r="E809" s="14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7"/>
      <c r="Q809" s="57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15.75" customHeight="1" x14ac:dyDescent="0.3">
      <c r="A810" s="56"/>
      <c r="B810" s="56"/>
      <c r="C810" s="56"/>
      <c r="D810" s="56"/>
      <c r="E810" s="14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7"/>
      <c r="Q810" s="57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15.75" customHeight="1" x14ac:dyDescent="0.3">
      <c r="A811" s="56"/>
      <c r="B811" s="56"/>
      <c r="C811" s="56"/>
      <c r="D811" s="56"/>
      <c r="E811" s="14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7"/>
      <c r="Q811" s="57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15.75" customHeight="1" x14ac:dyDescent="0.3">
      <c r="A812" s="56"/>
      <c r="B812" s="56"/>
      <c r="C812" s="56"/>
      <c r="D812" s="56"/>
      <c r="E812" s="14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7"/>
      <c r="Q812" s="57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15.75" customHeight="1" x14ac:dyDescent="0.3">
      <c r="A813" s="56"/>
      <c r="B813" s="56"/>
      <c r="C813" s="56"/>
      <c r="D813" s="56"/>
      <c r="E813" s="14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7"/>
      <c r="Q813" s="57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15.75" customHeight="1" x14ac:dyDescent="0.3">
      <c r="A814" s="56"/>
      <c r="B814" s="56"/>
      <c r="C814" s="56"/>
      <c r="D814" s="56"/>
      <c r="E814" s="14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7"/>
      <c r="Q814" s="57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15.75" customHeight="1" x14ac:dyDescent="0.3">
      <c r="A815" s="56"/>
      <c r="B815" s="56"/>
      <c r="C815" s="56"/>
      <c r="D815" s="56"/>
      <c r="E815" s="14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7"/>
      <c r="Q815" s="57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15.75" customHeight="1" x14ac:dyDescent="0.3">
      <c r="A816" s="56"/>
      <c r="B816" s="56"/>
      <c r="C816" s="56"/>
      <c r="D816" s="56"/>
      <c r="E816" s="14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7"/>
      <c r="Q816" s="57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15.75" customHeight="1" x14ac:dyDescent="0.3">
      <c r="A817" s="56"/>
      <c r="B817" s="56"/>
      <c r="C817" s="56"/>
      <c r="D817" s="56"/>
      <c r="E817" s="14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7"/>
      <c r="Q817" s="57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15.75" customHeight="1" x14ac:dyDescent="0.3">
      <c r="A818" s="56"/>
      <c r="B818" s="56"/>
      <c r="C818" s="56"/>
      <c r="D818" s="56"/>
      <c r="E818" s="14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7"/>
      <c r="Q818" s="57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15.75" customHeight="1" x14ac:dyDescent="0.3">
      <c r="A819" s="56"/>
      <c r="B819" s="56"/>
      <c r="C819" s="56"/>
      <c r="D819" s="56"/>
      <c r="E819" s="14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7"/>
      <c r="Q819" s="57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15.75" customHeight="1" x14ac:dyDescent="0.3">
      <c r="A820" s="56"/>
      <c r="B820" s="56"/>
      <c r="C820" s="56"/>
      <c r="D820" s="56"/>
      <c r="E820" s="14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7"/>
      <c r="Q820" s="57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15.75" customHeight="1" x14ac:dyDescent="0.3">
      <c r="A821" s="56"/>
      <c r="B821" s="56"/>
      <c r="C821" s="56"/>
      <c r="D821" s="56"/>
      <c r="E821" s="14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7"/>
      <c r="Q821" s="57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15.75" customHeight="1" x14ac:dyDescent="0.3">
      <c r="A822" s="56"/>
      <c r="B822" s="56"/>
      <c r="C822" s="56"/>
      <c r="D822" s="56"/>
      <c r="E822" s="14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7"/>
      <c r="Q822" s="57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15.75" customHeight="1" x14ac:dyDescent="0.3">
      <c r="A823" s="56"/>
      <c r="B823" s="56"/>
      <c r="C823" s="56"/>
      <c r="D823" s="56"/>
      <c r="E823" s="14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7"/>
      <c r="Q823" s="57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15.75" customHeight="1" x14ac:dyDescent="0.3">
      <c r="A824" s="56"/>
      <c r="B824" s="56"/>
      <c r="C824" s="56"/>
      <c r="D824" s="56"/>
      <c r="E824" s="14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7"/>
      <c r="Q824" s="57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15.75" customHeight="1" x14ac:dyDescent="0.3">
      <c r="A825" s="56"/>
      <c r="B825" s="56"/>
      <c r="C825" s="56"/>
      <c r="D825" s="56"/>
      <c r="E825" s="14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7"/>
      <c r="Q825" s="57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15.75" customHeight="1" x14ac:dyDescent="0.3">
      <c r="A826" s="56"/>
      <c r="B826" s="56"/>
      <c r="C826" s="56"/>
      <c r="D826" s="56"/>
      <c r="E826" s="14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7"/>
      <c r="Q826" s="57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15.75" customHeight="1" x14ac:dyDescent="0.3">
      <c r="A827" s="56"/>
      <c r="B827" s="56"/>
      <c r="C827" s="56"/>
      <c r="D827" s="56"/>
      <c r="E827" s="14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7"/>
      <c r="Q827" s="57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15.75" customHeight="1" x14ac:dyDescent="0.3">
      <c r="A828" s="56"/>
      <c r="B828" s="56"/>
      <c r="C828" s="56"/>
      <c r="D828" s="56"/>
      <c r="E828" s="14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7"/>
      <c r="Q828" s="57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15.75" customHeight="1" x14ac:dyDescent="0.3">
      <c r="A829" s="56"/>
      <c r="B829" s="56"/>
      <c r="C829" s="56"/>
      <c r="D829" s="56"/>
      <c r="E829" s="14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7"/>
      <c r="Q829" s="57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15.75" customHeight="1" x14ac:dyDescent="0.3">
      <c r="A830" s="56"/>
      <c r="B830" s="56"/>
      <c r="C830" s="56"/>
      <c r="D830" s="56"/>
      <c r="E830" s="14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7"/>
      <c r="Q830" s="57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15.75" customHeight="1" x14ac:dyDescent="0.3">
      <c r="A831" s="56"/>
      <c r="B831" s="56"/>
      <c r="C831" s="56"/>
      <c r="D831" s="56"/>
      <c r="E831" s="14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7"/>
      <c r="Q831" s="57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15.75" customHeight="1" x14ac:dyDescent="0.3">
      <c r="A832" s="56"/>
      <c r="B832" s="56"/>
      <c r="C832" s="56"/>
      <c r="D832" s="56"/>
      <c r="E832" s="14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7"/>
      <c r="Q832" s="57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15.75" customHeight="1" x14ac:dyDescent="0.3">
      <c r="A833" s="56"/>
      <c r="B833" s="56"/>
      <c r="C833" s="56"/>
      <c r="D833" s="56"/>
      <c r="E833" s="14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7"/>
      <c r="Q833" s="57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15.75" customHeight="1" x14ac:dyDescent="0.3">
      <c r="A834" s="56"/>
      <c r="B834" s="56"/>
      <c r="C834" s="56"/>
      <c r="D834" s="56"/>
      <c r="E834" s="14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7"/>
      <c r="Q834" s="57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15.75" customHeight="1" x14ac:dyDescent="0.3">
      <c r="A835" s="56"/>
      <c r="B835" s="56"/>
      <c r="C835" s="56"/>
      <c r="D835" s="56"/>
      <c r="E835" s="14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7"/>
      <c r="Q835" s="57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15.75" customHeight="1" x14ac:dyDescent="0.3">
      <c r="A836" s="56"/>
      <c r="B836" s="56"/>
      <c r="C836" s="56"/>
      <c r="D836" s="56"/>
      <c r="E836" s="14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7"/>
      <c r="Q836" s="57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15.75" customHeight="1" x14ac:dyDescent="0.3">
      <c r="A837" s="56"/>
      <c r="B837" s="56"/>
      <c r="C837" s="56"/>
      <c r="D837" s="56"/>
      <c r="E837" s="14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7"/>
      <c r="Q837" s="57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15.75" customHeight="1" x14ac:dyDescent="0.3">
      <c r="A838" s="56"/>
      <c r="B838" s="56"/>
      <c r="C838" s="56"/>
      <c r="D838" s="56"/>
      <c r="E838" s="14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7"/>
      <c r="Q838" s="57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15.75" customHeight="1" x14ac:dyDescent="0.3">
      <c r="A839" s="56"/>
      <c r="B839" s="56"/>
      <c r="C839" s="56"/>
      <c r="D839" s="56"/>
      <c r="E839" s="14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7"/>
      <c r="Q839" s="57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15.75" customHeight="1" x14ac:dyDescent="0.3">
      <c r="A840" s="56"/>
      <c r="B840" s="56"/>
      <c r="C840" s="56"/>
      <c r="D840" s="56"/>
      <c r="E840" s="14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7"/>
      <c r="Q840" s="57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15.75" customHeight="1" x14ac:dyDescent="0.3">
      <c r="A841" s="56"/>
      <c r="B841" s="56"/>
      <c r="C841" s="56"/>
      <c r="D841" s="56"/>
      <c r="E841" s="14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7"/>
      <c r="Q841" s="57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15.75" customHeight="1" x14ac:dyDescent="0.3">
      <c r="A842" s="56"/>
      <c r="B842" s="56"/>
      <c r="C842" s="56"/>
      <c r="D842" s="56"/>
      <c r="E842" s="14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7"/>
      <c r="Q842" s="57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15.75" customHeight="1" x14ac:dyDescent="0.3">
      <c r="A843" s="56"/>
      <c r="B843" s="56"/>
      <c r="C843" s="56"/>
      <c r="D843" s="56"/>
      <c r="E843" s="14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7"/>
      <c r="Q843" s="57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15.75" customHeight="1" x14ac:dyDescent="0.3">
      <c r="A844" s="56"/>
      <c r="B844" s="56"/>
      <c r="C844" s="56"/>
      <c r="D844" s="56"/>
      <c r="E844" s="14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7"/>
      <c r="Q844" s="57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15.75" customHeight="1" x14ac:dyDescent="0.3">
      <c r="A845" s="56"/>
      <c r="B845" s="56"/>
      <c r="C845" s="56"/>
      <c r="D845" s="56"/>
      <c r="E845" s="14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7"/>
      <c r="Q845" s="57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15.75" customHeight="1" x14ac:dyDescent="0.3">
      <c r="A846" s="56"/>
      <c r="B846" s="56"/>
      <c r="C846" s="56"/>
      <c r="D846" s="56"/>
      <c r="E846" s="14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7"/>
      <c r="Q846" s="57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15.75" customHeight="1" x14ac:dyDescent="0.3">
      <c r="A847" s="56"/>
      <c r="B847" s="56"/>
      <c r="C847" s="56"/>
      <c r="D847" s="56"/>
      <c r="E847" s="14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7"/>
      <c r="Q847" s="57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15.75" customHeight="1" x14ac:dyDescent="0.3">
      <c r="A848" s="56"/>
      <c r="B848" s="56"/>
      <c r="C848" s="56"/>
      <c r="D848" s="56"/>
      <c r="E848" s="14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7"/>
      <c r="Q848" s="57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15.75" customHeight="1" x14ac:dyDescent="0.3">
      <c r="A849" s="56"/>
      <c r="B849" s="56"/>
      <c r="C849" s="56"/>
      <c r="D849" s="56"/>
      <c r="E849" s="14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7"/>
      <c r="Q849" s="57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15.75" customHeight="1" x14ac:dyDescent="0.3">
      <c r="A850" s="56"/>
      <c r="B850" s="56"/>
      <c r="C850" s="56"/>
      <c r="D850" s="56"/>
      <c r="E850" s="14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7"/>
      <c r="Q850" s="57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15.75" customHeight="1" x14ac:dyDescent="0.3">
      <c r="A851" s="56"/>
      <c r="B851" s="56"/>
      <c r="C851" s="56"/>
      <c r="D851" s="56"/>
      <c r="E851" s="14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7"/>
      <c r="Q851" s="57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15.75" customHeight="1" x14ac:dyDescent="0.3">
      <c r="A852" s="56"/>
      <c r="B852" s="56"/>
      <c r="C852" s="56"/>
      <c r="D852" s="56"/>
      <c r="E852" s="14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7"/>
      <c r="Q852" s="57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15.75" customHeight="1" x14ac:dyDescent="0.3">
      <c r="A853" s="56"/>
      <c r="B853" s="56"/>
      <c r="C853" s="56"/>
      <c r="D853" s="56"/>
      <c r="E853" s="14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7"/>
      <c r="Q853" s="57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15.75" customHeight="1" x14ac:dyDescent="0.3">
      <c r="A854" s="56"/>
      <c r="B854" s="56"/>
      <c r="C854" s="56"/>
      <c r="D854" s="56"/>
      <c r="E854" s="14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7"/>
      <c r="Q854" s="57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15.75" customHeight="1" x14ac:dyDescent="0.3">
      <c r="A855" s="56"/>
      <c r="B855" s="56"/>
      <c r="C855" s="56"/>
      <c r="D855" s="56"/>
      <c r="E855" s="14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7"/>
      <c r="Q855" s="57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15.75" customHeight="1" x14ac:dyDescent="0.3">
      <c r="A856" s="56"/>
      <c r="B856" s="56"/>
      <c r="C856" s="56"/>
      <c r="D856" s="56"/>
      <c r="E856" s="14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7"/>
      <c r="Q856" s="57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15.75" customHeight="1" x14ac:dyDescent="0.3">
      <c r="A857" s="56"/>
      <c r="B857" s="56"/>
      <c r="C857" s="56"/>
      <c r="D857" s="56"/>
      <c r="E857" s="14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7"/>
      <c r="Q857" s="57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15.75" customHeight="1" x14ac:dyDescent="0.3">
      <c r="A858" s="56"/>
      <c r="B858" s="56"/>
      <c r="C858" s="56"/>
      <c r="D858" s="56"/>
      <c r="E858" s="14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7"/>
      <c r="Q858" s="57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15.75" customHeight="1" x14ac:dyDescent="0.3">
      <c r="A859" s="56"/>
      <c r="B859" s="56"/>
      <c r="C859" s="56"/>
      <c r="D859" s="56"/>
      <c r="E859" s="14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7"/>
      <c r="Q859" s="57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15.75" customHeight="1" x14ac:dyDescent="0.3">
      <c r="A860" s="56"/>
      <c r="B860" s="56"/>
      <c r="C860" s="56"/>
      <c r="D860" s="56"/>
      <c r="E860" s="14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7"/>
      <c r="Q860" s="57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15.75" customHeight="1" x14ac:dyDescent="0.3">
      <c r="A861" s="56"/>
      <c r="B861" s="56"/>
      <c r="C861" s="56"/>
      <c r="D861" s="56"/>
      <c r="E861" s="14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7"/>
      <c r="Q861" s="57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15.75" customHeight="1" x14ac:dyDescent="0.3">
      <c r="A862" s="56"/>
      <c r="B862" s="56"/>
      <c r="C862" s="56"/>
      <c r="D862" s="56"/>
      <c r="E862" s="14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7"/>
      <c r="Q862" s="57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15.75" customHeight="1" x14ac:dyDescent="0.3">
      <c r="A863" s="56"/>
      <c r="B863" s="56"/>
      <c r="C863" s="56"/>
      <c r="D863" s="56"/>
      <c r="E863" s="14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7"/>
      <c r="Q863" s="57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15.75" customHeight="1" x14ac:dyDescent="0.3">
      <c r="A864" s="56"/>
      <c r="B864" s="56"/>
      <c r="C864" s="56"/>
      <c r="D864" s="56"/>
      <c r="E864" s="14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7"/>
      <c r="Q864" s="57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15.75" customHeight="1" x14ac:dyDescent="0.3">
      <c r="A865" s="56"/>
      <c r="B865" s="56"/>
      <c r="C865" s="56"/>
      <c r="D865" s="56"/>
      <c r="E865" s="14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7"/>
      <c r="Q865" s="57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15.75" customHeight="1" x14ac:dyDescent="0.3">
      <c r="A866" s="56"/>
      <c r="B866" s="56"/>
      <c r="C866" s="56"/>
      <c r="D866" s="56"/>
      <c r="E866" s="14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7"/>
      <c r="Q866" s="57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15.75" customHeight="1" x14ac:dyDescent="0.3">
      <c r="A867" s="56"/>
      <c r="B867" s="56"/>
      <c r="C867" s="56"/>
      <c r="D867" s="56"/>
      <c r="E867" s="14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7"/>
      <c r="Q867" s="57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15.75" customHeight="1" x14ac:dyDescent="0.3">
      <c r="A868" s="56"/>
      <c r="B868" s="56"/>
      <c r="C868" s="56"/>
      <c r="D868" s="56"/>
      <c r="E868" s="14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7"/>
      <c r="Q868" s="57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15.75" customHeight="1" x14ac:dyDescent="0.3">
      <c r="A869" s="56"/>
      <c r="B869" s="56"/>
      <c r="C869" s="56"/>
      <c r="D869" s="56"/>
      <c r="E869" s="14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7"/>
      <c r="Q869" s="57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15.75" customHeight="1" x14ac:dyDescent="0.3">
      <c r="A870" s="56"/>
      <c r="B870" s="56"/>
      <c r="C870" s="56"/>
      <c r="D870" s="56"/>
      <c r="E870" s="14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7"/>
      <c r="Q870" s="57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15.75" customHeight="1" x14ac:dyDescent="0.3">
      <c r="A871" s="56"/>
      <c r="B871" s="56"/>
      <c r="C871" s="56"/>
      <c r="D871" s="56"/>
      <c r="E871" s="14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7"/>
      <c r="Q871" s="57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15.75" customHeight="1" x14ac:dyDescent="0.3">
      <c r="A872" s="56"/>
      <c r="B872" s="56"/>
      <c r="C872" s="56"/>
      <c r="D872" s="56"/>
      <c r="E872" s="14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7"/>
      <c r="Q872" s="57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15.75" customHeight="1" x14ac:dyDescent="0.3">
      <c r="A873" s="56"/>
      <c r="B873" s="56"/>
      <c r="C873" s="56"/>
      <c r="D873" s="56"/>
      <c r="E873" s="14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7"/>
      <c r="Q873" s="57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15.75" customHeight="1" x14ac:dyDescent="0.3">
      <c r="A874" s="56"/>
      <c r="B874" s="56"/>
      <c r="C874" s="56"/>
      <c r="D874" s="56"/>
      <c r="E874" s="14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7"/>
      <c r="Q874" s="57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15.75" customHeight="1" x14ac:dyDescent="0.3">
      <c r="A875" s="56"/>
      <c r="B875" s="56"/>
      <c r="C875" s="56"/>
      <c r="D875" s="56"/>
      <c r="E875" s="14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7"/>
      <c r="Q875" s="57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15.75" customHeight="1" x14ac:dyDescent="0.3">
      <c r="A876" s="56"/>
      <c r="B876" s="56"/>
      <c r="C876" s="56"/>
      <c r="D876" s="56"/>
      <c r="E876" s="14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7"/>
      <c r="Q876" s="57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15.75" customHeight="1" x14ac:dyDescent="0.3">
      <c r="A877" s="56"/>
      <c r="B877" s="56"/>
      <c r="C877" s="56"/>
      <c r="D877" s="56"/>
      <c r="E877" s="14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7"/>
      <c r="Q877" s="57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15.75" customHeight="1" x14ac:dyDescent="0.3">
      <c r="A878" s="56"/>
      <c r="B878" s="56"/>
      <c r="C878" s="56"/>
      <c r="D878" s="56"/>
      <c r="E878" s="14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7"/>
      <c r="Q878" s="57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15.75" customHeight="1" x14ac:dyDescent="0.3">
      <c r="A879" s="56"/>
      <c r="B879" s="56"/>
      <c r="C879" s="56"/>
      <c r="D879" s="56"/>
      <c r="E879" s="14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7"/>
      <c r="Q879" s="57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15.75" customHeight="1" x14ac:dyDescent="0.3">
      <c r="A880" s="56"/>
      <c r="B880" s="56"/>
      <c r="C880" s="56"/>
      <c r="D880" s="56"/>
      <c r="E880" s="14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7"/>
      <c r="Q880" s="57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15.75" customHeight="1" x14ac:dyDescent="0.3">
      <c r="A881" s="56"/>
      <c r="B881" s="56"/>
      <c r="C881" s="56"/>
      <c r="D881" s="56"/>
      <c r="E881" s="14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7"/>
      <c r="Q881" s="57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15.75" customHeight="1" x14ac:dyDescent="0.3">
      <c r="A882" s="56"/>
      <c r="B882" s="56"/>
      <c r="C882" s="56"/>
      <c r="D882" s="56"/>
      <c r="E882" s="14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7"/>
      <c r="Q882" s="57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15.75" customHeight="1" x14ac:dyDescent="0.3">
      <c r="A883" s="56"/>
      <c r="B883" s="56"/>
      <c r="C883" s="56"/>
      <c r="D883" s="56"/>
      <c r="E883" s="14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7"/>
      <c r="Q883" s="57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15.75" customHeight="1" x14ac:dyDescent="0.3">
      <c r="A884" s="56"/>
      <c r="B884" s="56"/>
      <c r="C884" s="56"/>
      <c r="D884" s="56"/>
      <c r="E884" s="14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7"/>
      <c r="Q884" s="57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15.75" customHeight="1" x14ac:dyDescent="0.3">
      <c r="A885" s="56"/>
      <c r="B885" s="56"/>
      <c r="C885" s="56"/>
      <c r="D885" s="56"/>
      <c r="E885" s="14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7"/>
      <c r="Q885" s="57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15.75" customHeight="1" x14ac:dyDescent="0.3">
      <c r="A886" s="56"/>
      <c r="B886" s="56"/>
      <c r="C886" s="56"/>
      <c r="D886" s="56"/>
      <c r="E886" s="14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7"/>
      <c r="Q886" s="57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15.75" customHeight="1" x14ac:dyDescent="0.3">
      <c r="A887" s="56"/>
      <c r="B887" s="56"/>
      <c r="C887" s="56"/>
      <c r="D887" s="56"/>
      <c r="E887" s="14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7"/>
      <c r="Q887" s="57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15.75" customHeight="1" x14ac:dyDescent="0.3">
      <c r="A888" s="56"/>
      <c r="B888" s="56"/>
      <c r="C888" s="56"/>
      <c r="D888" s="56"/>
      <c r="E888" s="14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7"/>
      <c r="Q888" s="57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15.75" customHeight="1" x14ac:dyDescent="0.3">
      <c r="A889" s="56"/>
      <c r="B889" s="56"/>
      <c r="C889" s="56"/>
      <c r="D889" s="56"/>
      <c r="E889" s="14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7"/>
      <c r="Q889" s="57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15.75" customHeight="1" x14ac:dyDescent="0.3">
      <c r="A890" s="56"/>
      <c r="B890" s="56"/>
      <c r="C890" s="56"/>
      <c r="D890" s="56"/>
      <c r="E890" s="14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7"/>
      <c r="Q890" s="57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15.75" customHeight="1" x14ac:dyDescent="0.3">
      <c r="A891" s="56"/>
      <c r="B891" s="56"/>
      <c r="C891" s="56"/>
      <c r="D891" s="56"/>
      <c r="E891" s="14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7"/>
      <c r="Q891" s="57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15.75" customHeight="1" x14ac:dyDescent="0.3">
      <c r="A892" s="56"/>
      <c r="B892" s="56"/>
      <c r="C892" s="56"/>
      <c r="D892" s="56"/>
      <c r="E892" s="14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7"/>
      <c r="Q892" s="57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15.75" customHeight="1" x14ac:dyDescent="0.3">
      <c r="A893" s="56"/>
      <c r="B893" s="56"/>
      <c r="C893" s="56"/>
      <c r="D893" s="56"/>
      <c r="E893" s="14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7"/>
      <c r="Q893" s="57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15.75" customHeight="1" x14ac:dyDescent="0.3">
      <c r="A894" s="56"/>
      <c r="B894" s="56"/>
      <c r="C894" s="56"/>
      <c r="D894" s="56"/>
      <c r="E894" s="14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7"/>
      <c r="Q894" s="57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15.75" customHeight="1" x14ac:dyDescent="0.3">
      <c r="A895" s="56"/>
      <c r="B895" s="56"/>
      <c r="C895" s="56"/>
      <c r="D895" s="56"/>
      <c r="E895" s="14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7"/>
      <c r="Q895" s="57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15.75" customHeight="1" x14ac:dyDescent="0.3">
      <c r="A896" s="56"/>
      <c r="B896" s="56"/>
      <c r="C896" s="56"/>
      <c r="D896" s="56"/>
      <c r="E896" s="14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7"/>
      <c r="Q896" s="57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15.75" customHeight="1" x14ac:dyDescent="0.3">
      <c r="A897" s="56"/>
      <c r="B897" s="56"/>
      <c r="C897" s="56"/>
      <c r="D897" s="56"/>
      <c r="E897" s="14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7"/>
      <c r="Q897" s="57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15.75" customHeight="1" x14ac:dyDescent="0.3">
      <c r="A898" s="56"/>
      <c r="B898" s="56"/>
      <c r="C898" s="56"/>
      <c r="D898" s="56"/>
      <c r="E898" s="14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7"/>
      <c r="Q898" s="57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15.75" customHeight="1" x14ac:dyDescent="0.3">
      <c r="A899" s="56"/>
      <c r="B899" s="56"/>
      <c r="C899" s="56"/>
      <c r="D899" s="56"/>
      <c r="E899" s="14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7"/>
      <c r="Q899" s="57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15.75" customHeight="1" x14ac:dyDescent="0.3">
      <c r="A900" s="56"/>
      <c r="B900" s="56"/>
      <c r="C900" s="56"/>
      <c r="D900" s="56"/>
      <c r="E900" s="14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7"/>
      <c r="Q900" s="57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15.75" customHeight="1" x14ac:dyDescent="0.3">
      <c r="A901" s="56"/>
      <c r="B901" s="56"/>
      <c r="C901" s="56"/>
      <c r="D901" s="56"/>
      <c r="E901" s="14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7"/>
      <c r="Q901" s="57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15.75" customHeight="1" x14ac:dyDescent="0.3">
      <c r="A902" s="56"/>
      <c r="B902" s="56"/>
      <c r="C902" s="56"/>
      <c r="D902" s="56"/>
      <c r="E902" s="14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7"/>
      <c r="Q902" s="57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15.75" customHeight="1" x14ac:dyDescent="0.3">
      <c r="A903" s="56"/>
      <c r="B903" s="56"/>
      <c r="C903" s="56"/>
      <c r="D903" s="56"/>
      <c r="E903" s="14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7"/>
      <c r="Q903" s="57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15.75" customHeight="1" x14ac:dyDescent="0.3">
      <c r="A904" s="56"/>
      <c r="B904" s="56"/>
      <c r="C904" s="56"/>
      <c r="D904" s="56"/>
      <c r="E904" s="14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7"/>
      <c r="Q904" s="57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15.75" customHeight="1" x14ac:dyDescent="0.3">
      <c r="A905" s="56"/>
      <c r="B905" s="56"/>
      <c r="C905" s="56"/>
      <c r="D905" s="56"/>
      <c r="E905" s="14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7"/>
      <c r="Q905" s="57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15.75" customHeight="1" x14ac:dyDescent="0.3">
      <c r="A906" s="56"/>
      <c r="B906" s="56"/>
      <c r="C906" s="56"/>
      <c r="D906" s="56"/>
      <c r="E906" s="14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7"/>
      <c r="Q906" s="57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15.75" customHeight="1" x14ac:dyDescent="0.3">
      <c r="A907" s="56"/>
      <c r="B907" s="56"/>
      <c r="C907" s="56"/>
      <c r="D907" s="56"/>
      <c r="E907" s="14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7"/>
      <c r="Q907" s="57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15.75" customHeight="1" x14ac:dyDescent="0.3">
      <c r="A908" s="56"/>
      <c r="B908" s="56"/>
      <c r="C908" s="56"/>
      <c r="D908" s="56"/>
      <c r="E908" s="14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7"/>
      <c r="Q908" s="57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15.75" customHeight="1" x14ac:dyDescent="0.3">
      <c r="A909" s="56"/>
      <c r="B909" s="56"/>
      <c r="C909" s="56"/>
      <c r="D909" s="56"/>
      <c r="E909" s="14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7"/>
      <c r="Q909" s="57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15.75" customHeight="1" x14ac:dyDescent="0.3">
      <c r="A910" s="56"/>
      <c r="B910" s="56"/>
      <c r="C910" s="56"/>
      <c r="D910" s="56"/>
      <c r="E910" s="14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7"/>
      <c r="Q910" s="57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15.75" customHeight="1" x14ac:dyDescent="0.3">
      <c r="A911" s="56"/>
      <c r="B911" s="56"/>
      <c r="C911" s="56"/>
      <c r="D911" s="56"/>
      <c r="E911" s="14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7"/>
      <c r="Q911" s="57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15.75" customHeight="1" x14ac:dyDescent="0.3">
      <c r="A912" s="56"/>
      <c r="B912" s="56"/>
      <c r="C912" s="56"/>
      <c r="D912" s="56"/>
      <c r="E912" s="14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7"/>
      <c r="Q912" s="57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15.75" customHeight="1" x14ac:dyDescent="0.3">
      <c r="A913" s="56"/>
      <c r="B913" s="56"/>
      <c r="C913" s="56"/>
      <c r="D913" s="56"/>
      <c r="E913" s="14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7"/>
      <c r="Q913" s="57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15.75" customHeight="1" x14ac:dyDescent="0.3">
      <c r="A914" s="56"/>
      <c r="B914" s="56"/>
      <c r="C914" s="56"/>
      <c r="D914" s="56"/>
      <c r="E914" s="14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7"/>
      <c r="Q914" s="57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15.75" customHeight="1" x14ac:dyDescent="0.3">
      <c r="A915" s="56"/>
      <c r="B915" s="56"/>
      <c r="C915" s="56"/>
      <c r="D915" s="56"/>
      <c r="E915" s="14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7"/>
      <c r="Q915" s="57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15.75" customHeight="1" x14ac:dyDescent="0.3">
      <c r="A916" s="56"/>
      <c r="B916" s="56"/>
      <c r="C916" s="56"/>
      <c r="D916" s="56"/>
      <c r="E916" s="14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7"/>
      <c r="Q916" s="57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15.75" customHeight="1" x14ac:dyDescent="0.3">
      <c r="A917" s="56"/>
      <c r="B917" s="56"/>
      <c r="C917" s="56"/>
      <c r="D917" s="56"/>
      <c r="E917" s="14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7"/>
      <c r="Q917" s="57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15.75" customHeight="1" x14ac:dyDescent="0.3">
      <c r="A918" s="56"/>
      <c r="B918" s="56"/>
      <c r="C918" s="56"/>
      <c r="D918" s="56"/>
      <c r="E918" s="14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7"/>
      <c r="Q918" s="57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15.75" customHeight="1" x14ac:dyDescent="0.3">
      <c r="A919" s="56"/>
      <c r="B919" s="56"/>
      <c r="C919" s="56"/>
      <c r="D919" s="56"/>
      <c r="E919" s="14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7"/>
      <c r="Q919" s="57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15.75" customHeight="1" x14ac:dyDescent="0.3">
      <c r="A920" s="56"/>
      <c r="B920" s="56"/>
      <c r="C920" s="56"/>
      <c r="D920" s="56"/>
      <c r="E920" s="14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7"/>
      <c r="Q920" s="57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15.75" customHeight="1" x14ac:dyDescent="0.3">
      <c r="A921" s="56"/>
      <c r="B921" s="56"/>
      <c r="C921" s="56"/>
      <c r="D921" s="56"/>
      <c r="E921" s="14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7"/>
      <c r="Q921" s="57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15.75" customHeight="1" x14ac:dyDescent="0.3">
      <c r="A922" s="56"/>
      <c r="B922" s="56"/>
      <c r="C922" s="56"/>
      <c r="D922" s="56"/>
      <c r="E922" s="14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7"/>
      <c r="Q922" s="57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15.75" customHeight="1" x14ac:dyDescent="0.3">
      <c r="A923" s="56"/>
      <c r="B923" s="56"/>
      <c r="C923" s="56"/>
      <c r="D923" s="56"/>
      <c r="E923" s="14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7"/>
      <c r="Q923" s="57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15.75" customHeight="1" x14ac:dyDescent="0.3">
      <c r="A924" s="56"/>
      <c r="B924" s="56"/>
      <c r="C924" s="56"/>
      <c r="D924" s="56"/>
      <c r="E924" s="14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7"/>
      <c r="Q924" s="57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15.75" customHeight="1" x14ac:dyDescent="0.3">
      <c r="A925" s="56"/>
      <c r="B925" s="56"/>
      <c r="C925" s="56"/>
      <c r="D925" s="56"/>
      <c r="E925" s="14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7"/>
      <c r="Q925" s="57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15.75" customHeight="1" x14ac:dyDescent="0.3">
      <c r="A926" s="56"/>
      <c r="B926" s="56"/>
      <c r="C926" s="56"/>
      <c r="D926" s="56"/>
      <c r="E926" s="14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7"/>
      <c r="Q926" s="57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15.75" customHeight="1" x14ac:dyDescent="0.3">
      <c r="A927" s="56"/>
      <c r="B927" s="56"/>
      <c r="C927" s="56"/>
      <c r="D927" s="56"/>
      <c r="E927" s="14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7"/>
      <c r="Q927" s="57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15.75" customHeight="1" x14ac:dyDescent="0.3">
      <c r="A928" s="56"/>
      <c r="B928" s="56"/>
      <c r="C928" s="56"/>
      <c r="D928" s="56"/>
      <c r="E928" s="14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7"/>
      <c r="Q928" s="57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15.75" customHeight="1" x14ac:dyDescent="0.3">
      <c r="A929" s="56"/>
      <c r="B929" s="56"/>
      <c r="C929" s="56"/>
      <c r="D929" s="56"/>
      <c r="E929" s="14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7"/>
      <c r="Q929" s="57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15.75" customHeight="1" x14ac:dyDescent="0.3">
      <c r="A930" s="56"/>
      <c r="B930" s="56"/>
      <c r="C930" s="56"/>
      <c r="D930" s="56"/>
      <c r="E930" s="14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7"/>
      <c r="Q930" s="57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15.75" customHeight="1" x14ac:dyDescent="0.3">
      <c r="A931" s="56"/>
      <c r="B931" s="56"/>
      <c r="C931" s="56"/>
      <c r="D931" s="56"/>
      <c r="E931" s="14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7"/>
      <c r="Q931" s="57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15.75" customHeight="1" x14ac:dyDescent="0.3">
      <c r="A932" s="56"/>
      <c r="B932" s="56"/>
      <c r="C932" s="56"/>
      <c r="D932" s="56"/>
      <c r="E932" s="14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7"/>
      <c r="Q932" s="57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15.75" customHeight="1" x14ac:dyDescent="0.3">
      <c r="A933" s="56"/>
      <c r="B933" s="56"/>
      <c r="C933" s="56"/>
      <c r="D933" s="56"/>
      <c r="E933" s="14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7"/>
      <c r="Q933" s="57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15.75" customHeight="1" x14ac:dyDescent="0.3">
      <c r="A934" s="56"/>
      <c r="B934" s="56"/>
      <c r="C934" s="56"/>
      <c r="D934" s="56"/>
      <c r="E934" s="14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7"/>
      <c r="Q934" s="57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15.75" customHeight="1" x14ac:dyDescent="0.3">
      <c r="A935" s="56"/>
      <c r="B935" s="56"/>
      <c r="C935" s="56"/>
      <c r="D935" s="56"/>
      <c r="E935" s="14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7"/>
      <c r="Q935" s="57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15.75" customHeight="1" x14ac:dyDescent="0.3">
      <c r="A936" s="56"/>
      <c r="B936" s="56"/>
      <c r="C936" s="56"/>
      <c r="D936" s="56"/>
      <c r="E936" s="14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7"/>
      <c r="Q936" s="57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15.75" customHeight="1" x14ac:dyDescent="0.3">
      <c r="A937" s="56"/>
      <c r="B937" s="56"/>
      <c r="C937" s="56"/>
      <c r="D937" s="56"/>
      <c r="E937" s="14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7"/>
      <c r="Q937" s="57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15.75" customHeight="1" x14ac:dyDescent="0.3">
      <c r="A938" s="56"/>
      <c r="B938" s="56"/>
      <c r="C938" s="56"/>
      <c r="D938" s="56"/>
      <c r="E938" s="14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7"/>
      <c r="Q938" s="57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15.75" customHeight="1" x14ac:dyDescent="0.3">
      <c r="A939" s="56"/>
      <c r="B939" s="56"/>
      <c r="C939" s="56"/>
      <c r="D939" s="56"/>
      <c r="E939" s="14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7"/>
      <c r="Q939" s="57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15.75" customHeight="1" x14ac:dyDescent="0.3">
      <c r="A940" s="56"/>
      <c r="B940" s="56"/>
      <c r="C940" s="56"/>
      <c r="D940" s="56"/>
      <c r="E940" s="14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7"/>
      <c r="Q940" s="57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15.75" customHeight="1" x14ac:dyDescent="0.3">
      <c r="A941" s="56"/>
      <c r="B941" s="56"/>
      <c r="C941" s="56"/>
      <c r="D941" s="56"/>
      <c r="E941" s="14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7"/>
      <c r="Q941" s="57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15.75" customHeight="1" x14ac:dyDescent="0.3">
      <c r="A942" s="56"/>
      <c r="B942" s="56"/>
      <c r="C942" s="56"/>
      <c r="D942" s="56"/>
      <c r="E942" s="14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7"/>
      <c r="Q942" s="57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15.75" customHeight="1" x14ac:dyDescent="0.3">
      <c r="A943" s="56"/>
      <c r="B943" s="56"/>
      <c r="C943" s="56"/>
      <c r="D943" s="56"/>
      <c r="E943" s="14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7"/>
      <c r="Q943" s="57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15.75" customHeight="1" x14ac:dyDescent="0.3">
      <c r="A944" s="56"/>
      <c r="B944" s="56"/>
      <c r="C944" s="56"/>
      <c r="D944" s="56"/>
      <c r="E944" s="14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7"/>
      <c r="Q944" s="57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15.75" customHeight="1" x14ac:dyDescent="0.3">
      <c r="A945" s="56"/>
      <c r="B945" s="56"/>
      <c r="C945" s="56"/>
      <c r="D945" s="56"/>
      <c r="E945" s="14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7"/>
      <c r="Q945" s="57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15.75" customHeight="1" x14ac:dyDescent="0.3">
      <c r="A946" s="56"/>
      <c r="B946" s="56"/>
      <c r="C946" s="56"/>
      <c r="D946" s="56"/>
      <c r="E946" s="14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7"/>
      <c r="Q946" s="57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15.75" customHeight="1" x14ac:dyDescent="0.3">
      <c r="A947" s="56"/>
      <c r="B947" s="56"/>
      <c r="C947" s="56"/>
      <c r="D947" s="56"/>
      <c r="E947" s="14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7"/>
      <c r="Q947" s="57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15.75" customHeight="1" x14ac:dyDescent="0.3">
      <c r="A948" s="56"/>
      <c r="B948" s="56"/>
      <c r="C948" s="56"/>
      <c r="D948" s="56"/>
      <c r="E948" s="14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7"/>
      <c r="Q948" s="57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15.75" customHeight="1" x14ac:dyDescent="0.3">
      <c r="A949" s="56"/>
      <c r="B949" s="56"/>
      <c r="C949" s="56"/>
      <c r="D949" s="56"/>
      <c r="E949" s="14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7"/>
      <c r="Q949" s="57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15.75" customHeight="1" x14ac:dyDescent="0.3">
      <c r="A950" s="56"/>
      <c r="B950" s="56"/>
      <c r="C950" s="56"/>
      <c r="D950" s="56"/>
      <c r="E950" s="14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7"/>
      <c r="Q950" s="57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15.75" customHeight="1" x14ac:dyDescent="0.3">
      <c r="A951" s="56"/>
      <c r="B951" s="56"/>
      <c r="C951" s="56"/>
      <c r="D951" s="56"/>
      <c r="E951" s="14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7"/>
      <c r="Q951" s="57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15.75" customHeight="1" x14ac:dyDescent="0.3">
      <c r="A952" s="56"/>
      <c r="B952" s="56"/>
      <c r="C952" s="56"/>
      <c r="D952" s="56"/>
      <c r="E952" s="14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7"/>
      <c r="Q952" s="57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15.75" customHeight="1" x14ac:dyDescent="0.3">
      <c r="A953" s="56"/>
      <c r="B953" s="56"/>
      <c r="C953" s="56"/>
      <c r="D953" s="56"/>
      <c r="E953" s="14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7"/>
      <c r="Q953" s="57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15.75" customHeight="1" x14ac:dyDescent="0.3">
      <c r="A954" s="56"/>
      <c r="B954" s="56"/>
      <c r="C954" s="56"/>
      <c r="D954" s="56"/>
      <c r="E954" s="14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7"/>
      <c r="Q954" s="57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15.75" customHeight="1" x14ac:dyDescent="0.3">
      <c r="A955" s="56"/>
      <c r="B955" s="56"/>
      <c r="C955" s="56"/>
      <c r="D955" s="56"/>
      <c r="E955" s="14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7"/>
      <c r="Q955" s="57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15.75" customHeight="1" x14ac:dyDescent="0.3">
      <c r="A956" s="56"/>
      <c r="B956" s="56"/>
      <c r="C956" s="56"/>
      <c r="D956" s="56"/>
      <c r="E956" s="14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7"/>
      <c r="Q956" s="57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15.75" customHeight="1" x14ac:dyDescent="0.3">
      <c r="A957" s="56"/>
      <c r="B957" s="56"/>
      <c r="C957" s="56"/>
      <c r="D957" s="56"/>
      <c r="E957" s="14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7"/>
      <c r="Q957" s="57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15.75" customHeight="1" x14ac:dyDescent="0.3">
      <c r="A958" s="56"/>
      <c r="B958" s="56"/>
      <c r="C958" s="56"/>
      <c r="D958" s="56"/>
      <c r="E958" s="14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7"/>
      <c r="Q958" s="57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15.75" customHeight="1" x14ac:dyDescent="0.3">
      <c r="A959" s="56"/>
      <c r="B959" s="56"/>
      <c r="C959" s="56"/>
      <c r="D959" s="56"/>
      <c r="E959" s="14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7"/>
      <c r="Q959" s="57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15.75" customHeight="1" x14ac:dyDescent="0.3">
      <c r="A960" s="56"/>
      <c r="B960" s="56"/>
      <c r="C960" s="56"/>
      <c r="D960" s="56"/>
      <c r="E960" s="14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7"/>
      <c r="Q960" s="57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15.75" customHeight="1" x14ac:dyDescent="0.3">
      <c r="A961" s="56"/>
      <c r="B961" s="56"/>
      <c r="C961" s="56"/>
      <c r="D961" s="56"/>
      <c r="E961" s="14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7"/>
      <c r="Q961" s="57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15.75" customHeight="1" x14ac:dyDescent="0.3">
      <c r="A962" s="56"/>
      <c r="B962" s="56"/>
      <c r="C962" s="56"/>
      <c r="D962" s="56"/>
      <c r="E962" s="14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7"/>
      <c r="Q962" s="57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15.75" customHeight="1" x14ac:dyDescent="0.3">
      <c r="A963" s="56"/>
      <c r="B963" s="56"/>
      <c r="C963" s="56"/>
      <c r="D963" s="56"/>
      <c r="E963" s="14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7"/>
      <c r="Q963" s="57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15.75" customHeight="1" x14ac:dyDescent="0.3">
      <c r="A964" s="56"/>
      <c r="B964" s="56"/>
      <c r="C964" s="56"/>
      <c r="D964" s="56"/>
      <c r="E964" s="14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7"/>
      <c r="Q964" s="57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15.75" customHeight="1" x14ac:dyDescent="0.3">
      <c r="A965" s="56"/>
      <c r="B965" s="56"/>
      <c r="C965" s="56"/>
      <c r="D965" s="56"/>
      <c r="E965" s="14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7"/>
      <c r="Q965" s="57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15.75" customHeight="1" x14ac:dyDescent="0.3">
      <c r="A966" s="56"/>
      <c r="B966" s="56"/>
      <c r="C966" s="56"/>
      <c r="D966" s="56"/>
      <c r="E966" s="14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7"/>
      <c r="Q966" s="57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15.75" customHeight="1" x14ac:dyDescent="0.3">
      <c r="A967" s="56"/>
      <c r="B967" s="56"/>
      <c r="C967" s="56"/>
      <c r="D967" s="56"/>
      <c r="E967" s="14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7"/>
      <c r="Q967" s="57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15.75" customHeight="1" x14ac:dyDescent="0.3">
      <c r="A968" s="56"/>
      <c r="B968" s="56"/>
      <c r="C968" s="56"/>
      <c r="D968" s="56"/>
      <c r="E968" s="14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7"/>
      <c r="Q968" s="57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15.75" customHeight="1" x14ac:dyDescent="0.3">
      <c r="A969" s="56"/>
      <c r="B969" s="56"/>
      <c r="C969" s="56"/>
      <c r="D969" s="56"/>
      <c r="E969" s="14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7"/>
      <c r="Q969" s="57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15.75" customHeight="1" x14ac:dyDescent="0.3">
      <c r="A970" s="56"/>
      <c r="B970" s="56"/>
      <c r="C970" s="56"/>
      <c r="D970" s="56"/>
      <c r="E970" s="14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7"/>
      <c r="Q970" s="57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15.75" customHeight="1" x14ac:dyDescent="0.3">
      <c r="A971" s="56"/>
      <c r="B971" s="56"/>
      <c r="C971" s="56"/>
      <c r="D971" s="56"/>
      <c r="E971" s="14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7"/>
      <c r="Q971" s="57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15.75" customHeight="1" x14ac:dyDescent="0.3">
      <c r="A972" s="56"/>
      <c r="B972" s="56"/>
      <c r="C972" s="56"/>
      <c r="D972" s="56"/>
      <c r="E972" s="14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7"/>
      <c r="Q972" s="57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15.75" customHeight="1" x14ac:dyDescent="0.3">
      <c r="A973" s="56"/>
      <c r="B973" s="56"/>
      <c r="C973" s="56"/>
      <c r="D973" s="56"/>
      <c r="E973" s="14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7"/>
      <c r="Q973" s="57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15.75" customHeight="1" x14ac:dyDescent="0.3">
      <c r="A974" s="56"/>
      <c r="B974" s="56"/>
      <c r="C974" s="56"/>
      <c r="D974" s="56"/>
      <c r="E974" s="14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7"/>
      <c r="Q974" s="57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15.75" customHeight="1" x14ac:dyDescent="0.3">
      <c r="A975" s="56"/>
      <c r="B975" s="56"/>
      <c r="C975" s="56"/>
      <c r="D975" s="56"/>
      <c r="E975" s="14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7"/>
      <c r="Q975" s="57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15.75" customHeight="1" x14ac:dyDescent="0.3">
      <c r="A976" s="56"/>
      <c r="B976" s="56"/>
      <c r="C976" s="56"/>
      <c r="D976" s="56"/>
      <c r="E976" s="14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7"/>
      <c r="Q976" s="57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15.75" customHeight="1" x14ac:dyDescent="0.3">
      <c r="A977" s="56"/>
      <c r="B977" s="56"/>
      <c r="C977" s="56"/>
      <c r="D977" s="56"/>
      <c r="E977" s="14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7"/>
      <c r="Q977" s="57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15.75" customHeight="1" x14ac:dyDescent="0.3">
      <c r="A978" s="56"/>
      <c r="B978" s="56"/>
      <c r="C978" s="56"/>
      <c r="D978" s="56"/>
      <c r="E978" s="14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7"/>
      <c r="Q978" s="57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15.75" customHeight="1" x14ac:dyDescent="0.3">
      <c r="A979" s="56"/>
      <c r="B979" s="56"/>
      <c r="C979" s="56"/>
      <c r="D979" s="56"/>
      <c r="E979" s="14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7"/>
      <c r="Q979" s="57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15.75" customHeight="1" x14ac:dyDescent="0.3">
      <c r="A980" s="56"/>
      <c r="B980" s="56"/>
      <c r="C980" s="56"/>
      <c r="D980" s="56"/>
      <c r="E980" s="14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7"/>
      <c r="Q980" s="57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15.75" customHeight="1" x14ac:dyDescent="0.3">
      <c r="A981" s="56"/>
      <c r="B981" s="56"/>
      <c r="C981" s="56"/>
      <c r="D981" s="56"/>
      <c r="E981" s="14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7"/>
      <c r="Q981" s="57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15.75" customHeight="1" x14ac:dyDescent="0.3">
      <c r="A982" s="56"/>
      <c r="B982" s="56"/>
      <c r="C982" s="56"/>
      <c r="D982" s="56"/>
      <c r="E982" s="14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7"/>
      <c r="Q982" s="57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15.75" customHeight="1" x14ac:dyDescent="0.3">
      <c r="A983" s="56"/>
      <c r="B983" s="56"/>
      <c r="C983" s="56"/>
      <c r="D983" s="56"/>
      <c r="E983" s="14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7"/>
      <c r="Q983" s="57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15.75" customHeight="1" x14ac:dyDescent="0.3">
      <c r="A984" s="56"/>
      <c r="B984" s="56"/>
      <c r="C984" s="56"/>
      <c r="D984" s="56"/>
      <c r="E984" s="14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7"/>
      <c r="Q984" s="57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15.75" customHeight="1" x14ac:dyDescent="0.3">
      <c r="A985" s="56"/>
      <c r="B985" s="56"/>
      <c r="C985" s="56"/>
      <c r="D985" s="56"/>
      <c r="E985" s="14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7"/>
      <c r="Q985" s="57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15.75" customHeight="1" x14ac:dyDescent="0.3">
      <c r="A986" s="56"/>
      <c r="B986" s="56"/>
      <c r="C986" s="56"/>
      <c r="D986" s="56"/>
      <c r="E986" s="14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7"/>
      <c r="Q986" s="57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15.75" customHeight="1" x14ac:dyDescent="0.3">
      <c r="A987" s="56"/>
      <c r="B987" s="56"/>
      <c r="C987" s="56"/>
      <c r="D987" s="56"/>
      <c r="E987" s="14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7"/>
      <c r="Q987" s="57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15.75" customHeight="1" x14ac:dyDescent="0.3">
      <c r="A988" s="56"/>
      <c r="B988" s="56"/>
      <c r="C988" s="56"/>
      <c r="D988" s="56"/>
      <c r="E988" s="14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7"/>
      <c r="Q988" s="57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15.75" customHeight="1" x14ac:dyDescent="0.3">
      <c r="A989" s="56"/>
      <c r="B989" s="56"/>
      <c r="C989" s="56"/>
      <c r="D989" s="56"/>
      <c r="E989" s="14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7"/>
      <c r="Q989" s="57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15.75" customHeight="1" x14ac:dyDescent="0.3">
      <c r="A990" s="56"/>
      <c r="B990" s="56"/>
      <c r="C990" s="56"/>
      <c r="D990" s="56"/>
      <c r="E990" s="14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7"/>
      <c r="Q990" s="57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15.75" customHeight="1" x14ac:dyDescent="0.3">
      <c r="A991" s="56"/>
      <c r="B991" s="56"/>
      <c r="C991" s="56"/>
      <c r="D991" s="56"/>
      <c r="E991" s="14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7"/>
      <c r="Q991" s="57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15.75" customHeight="1" x14ac:dyDescent="0.3">
      <c r="A992" s="56"/>
      <c r="B992" s="56"/>
      <c r="C992" s="56"/>
      <c r="D992" s="56"/>
      <c r="E992" s="14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7"/>
      <c r="Q992" s="57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15.75" customHeight="1" x14ac:dyDescent="0.3">
      <c r="A993" s="56"/>
      <c r="B993" s="56"/>
      <c r="C993" s="56"/>
      <c r="D993" s="56"/>
      <c r="E993" s="14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7"/>
      <c r="Q993" s="57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15.75" customHeight="1" x14ac:dyDescent="0.3">
      <c r="A994" s="56"/>
      <c r="B994" s="56"/>
      <c r="C994" s="56"/>
      <c r="D994" s="56"/>
      <c r="E994" s="14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7"/>
      <c r="Q994" s="57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15.75" customHeight="1" x14ac:dyDescent="0.3">
      <c r="A995" s="56"/>
      <c r="B995" s="56"/>
      <c r="C995" s="56"/>
      <c r="D995" s="56"/>
      <c r="E995" s="14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7"/>
      <c r="Q995" s="57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15.75" customHeight="1" x14ac:dyDescent="0.3">
      <c r="A996" s="56"/>
      <c r="B996" s="56"/>
      <c r="C996" s="56"/>
      <c r="D996" s="56"/>
      <c r="E996" s="14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7"/>
      <c r="Q996" s="57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15.75" customHeight="1" x14ac:dyDescent="0.3">
      <c r="A997" s="56"/>
      <c r="B997" s="56"/>
      <c r="C997" s="56"/>
      <c r="D997" s="56"/>
      <c r="E997" s="14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7"/>
      <c r="Q997" s="57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15.75" customHeight="1" x14ac:dyDescent="0.3">
      <c r="A998" s="56"/>
      <c r="B998" s="56"/>
      <c r="C998" s="56"/>
      <c r="D998" s="56"/>
      <c r="E998" s="14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7"/>
      <c r="Q998" s="57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15.75" customHeight="1" x14ac:dyDescent="0.3">
      <c r="A999" s="56"/>
      <c r="B999" s="56"/>
      <c r="C999" s="56"/>
      <c r="D999" s="56"/>
      <c r="E999" s="14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7"/>
      <c r="Q999" s="57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15.75" customHeight="1" x14ac:dyDescent="0.3">
      <c r="A1000" s="56"/>
      <c r="B1000" s="56"/>
      <c r="C1000" s="56"/>
      <c r="D1000" s="56"/>
      <c r="E1000" s="14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7"/>
      <c r="Q1000" s="57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autoFilter ref="A7:N116" xr:uid="{00000000-0009-0000-0000-000006000000}">
    <sortState xmlns:xlrd2="http://schemas.microsoft.com/office/spreadsheetml/2017/richdata2" ref="A7:N116">
      <sortCondition ref="B7:B116"/>
    </sortState>
  </autoFilter>
  <mergeCells count="4">
    <mergeCell ref="A1:N1"/>
    <mergeCell ref="A2:N2"/>
    <mergeCell ref="A3:N3"/>
    <mergeCell ref="G5:M5"/>
  </mergeCells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C6F2-5919-4394-A053-B6BED79743C6}">
  <sheetPr>
    <tabColor rgb="FFFF0000"/>
  </sheetPr>
  <dimension ref="A1:Z1000"/>
  <sheetViews>
    <sheetView workbookViewId="0">
      <pane xSplit="2" ySplit="1" topLeftCell="C46" activePane="bottomRight" state="frozen"/>
      <selection pane="topRight" activeCell="C1" sqref="C1"/>
      <selection pane="bottomLeft" activeCell="A2" sqref="A2"/>
      <selection pane="bottomRight" activeCell="F57" sqref="F57"/>
    </sheetView>
  </sheetViews>
  <sheetFormatPr baseColWidth="10" defaultColWidth="14.44140625" defaultRowHeight="15" customHeight="1" x14ac:dyDescent="0.3"/>
  <cols>
    <col min="1" max="1" width="11.44140625" customWidth="1"/>
    <col min="2" max="2" width="38.44140625" customWidth="1"/>
    <col min="3" max="4" width="9.109375" customWidth="1"/>
    <col min="5" max="5" width="8.33203125" customWidth="1"/>
    <col min="6" max="7" width="11.33203125" customWidth="1"/>
    <col min="8" max="8" width="14.33203125" customWidth="1"/>
    <col min="9" max="9" width="15.109375" customWidth="1"/>
    <col min="10" max="10" width="6" customWidth="1"/>
    <col min="11" max="11" width="11.6640625" customWidth="1"/>
    <col min="12" max="12" width="6" customWidth="1"/>
    <col min="13" max="14" width="15.6640625" customWidth="1"/>
    <col min="15" max="26" width="11.44140625" customWidth="1"/>
  </cols>
  <sheetData>
    <row r="1" spans="1:26" ht="15" customHeight="1" x14ac:dyDescent="0.3">
      <c r="A1" s="357" t="s">
        <v>115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56"/>
      <c r="P1" s="57"/>
      <c r="Q1" s="57"/>
      <c r="R1" s="56"/>
      <c r="S1" s="56"/>
      <c r="T1" s="56"/>
      <c r="U1" s="56"/>
      <c r="V1" s="56"/>
      <c r="W1" s="56"/>
      <c r="X1" s="56"/>
      <c r="Y1" s="56"/>
      <c r="Z1" s="56"/>
    </row>
    <row r="2" spans="1:26" ht="15" customHeight="1" x14ac:dyDescent="0.3">
      <c r="A2" s="357" t="s">
        <v>0</v>
      </c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56"/>
      <c r="P2" s="57"/>
      <c r="Q2" s="57"/>
      <c r="R2" s="56"/>
      <c r="S2" s="56"/>
      <c r="T2" s="56"/>
      <c r="U2" s="56"/>
      <c r="V2" s="56"/>
      <c r="W2" s="56"/>
      <c r="X2" s="56"/>
      <c r="Y2" s="56"/>
      <c r="Z2" s="56"/>
    </row>
    <row r="3" spans="1:26" ht="15" customHeight="1" x14ac:dyDescent="0.3">
      <c r="A3" s="357" t="s">
        <v>64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56"/>
      <c r="P3" s="57"/>
      <c r="Q3" s="57"/>
      <c r="R3" s="56"/>
      <c r="S3" s="56"/>
      <c r="T3" s="56"/>
      <c r="U3" s="56"/>
      <c r="V3" s="56"/>
      <c r="W3" s="56"/>
      <c r="X3" s="56"/>
      <c r="Y3" s="56"/>
      <c r="Z3" s="56"/>
    </row>
    <row r="4" spans="1:26" ht="15.75" customHeight="1" x14ac:dyDescent="0.3">
      <c r="A4" s="58"/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59"/>
      <c r="N4" s="59"/>
      <c r="O4" s="56"/>
      <c r="P4" s="57"/>
      <c r="Q4" s="57"/>
      <c r="R4" s="56"/>
      <c r="S4" s="56"/>
      <c r="T4" s="56"/>
      <c r="U4" s="56"/>
      <c r="V4" s="56"/>
      <c r="W4" s="56"/>
      <c r="X4" s="56"/>
      <c r="Y4" s="56"/>
      <c r="Z4" s="56"/>
    </row>
    <row r="5" spans="1:26" ht="18" x14ac:dyDescent="0.35">
      <c r="A5" s="56"/>
      <c r="B5" s="56"/>
      <c r="C5" s="56"/>
      <c r="D5" s="56"/>
      <c r="E5" s="14"/>
      <c r="G5" s="361" t="s">
        <v>228</v>
      </c>
      <c r="H5" s="362"/>
      <c r="I5" s="362"/>
      <c r="J5" s="362"/>
      <c r="K5" s="362"/>
      <c r="L5" s="362"/>
      <c r="M5" s="362"/>
      <c r="O5" s="56"/>
      <c r="P5" s="57"/>
      <c r="Q5" s="57"/>
      <c r="R5" s="56"/>
      <c r="S5" s="56"/>
      <c r="T5" s="56"/>
      <c r="U5" s="56"/>
      <c r="V5" s="56"/>
      <c r="W5" s="56"/>
      <c r="X5" s="56"/>
      <c r="Y5" s="56"/>
      <c r="Z5" s="56"/>
    </row>
    <row r="6" spans="1:26" ht="18" x14ac:dyDescent="0.35">
      <c r="A6" s="56"/>
      <c r="B6" s="56"/>
      <c r="C6" s="56"/>
      <c r="D6" s="56"/>
      <c r="E6" s="14"/>
      <c r="G6" s="61"/>
      <c r="H6" s="61"/>
      <c r="I6" s="61"/>
      <c r="J6" s="61"/>
      <c r="K6" s="61"/>
      <c r="L6" s="61"/>
      <c r="M6" s="61"/>
      <c r="O6" s="56"/>
      <c r="P6" s="57"/>
      <c r="Q6" s="57"/>
      <c r="R6" s="56"/>
      <c r="S6" s="56"/>
      <c r="T6" s="56"/>
      <c r="U6" s="56"/>
      <c r="V6" s="56"/>
      <c r="W6" s="56"/>
      <c r="X6" s="56"/>
      <c r="Y6" s="56"/>
      <c r="Z6" s="56"/>
    </row>
    <row r="7" spans="1:26" ht="66" customHeight="1" x14ac:dyDescent="0.3">
      <c r="A7" s="62" t="s">
        <v>117</v>
      </c>
      <c r="B7" s="63" t="s">
        <v>118</v>
      </c>
      <c r="C7" s="140" t="s">
        <v>217</v>
      </c>
      <c r="D7" s="140" t="s">
        <v>218</v>
      </c>
      <c r="E7" s="64" t="s">
        <v>121</v>
      </c>
      <c r="F7" s="65" t="s">
        <v>122</v>
      </c>
      <c r="G7" s="65" t="s">
        <v>123</v>
      </c>
      <c r="H7" s="66" t="s">
        <v>124</v>
      </c>
      <c r="I7" s="66" t="s">
        <v>125</v>
      </c>
      <c r="J7" s="67" t="s">
        <v>126</v>
      </c>
      <c r="K7" s="68" t="s">
        <v>127</v>
      </c>
      <c r="L7" s="69" t="s">
        <v>128</v>
      </c>
      <c r="M7" s="70" t="s">
        <v>129</v>
      </c>
      <c r="N7" s="71" t="s">
        <v>130</v>
      </c>
      <c r="O7" s="56"/>
      <c r="P7" s="57"/>
      <c r="Q7" s="57"/>
      <c r="R7" s="56"/>
      <c r="S7" s="56"/>
      <c r="T7" s="56"/>
      <c r="U7" s="56"/>
      <c r="V7" s="56"/>
      <c r="W7" s="56"/>
      <c r="X7" s="56"/>
      <c r="Y7" s="56"/>
      <c r="Z7" s="56"/>
    </row>
    <row r="8" spans="1:26" ht="15.6" x14ac:dyDescent="0.3">
      <c r="A8" s="72">
        <v>2220001</v>
      </c>
      <c r="B8" s="73" t="s">
        <v>12</v>
      </c>
      <c r="C8" s="73">
        <v>36.5</v>
      </c>
      <c r="D8" s="73">
        <v>36.5</v>
      </c>
      <c r="E8" s="74" t="s">
        <v>131</v>
      </c>
      <c r="F8" s="75">
        <v>22</v>
      </c>
      <c r="G8" s="75">
        <v>49</v>
      </c>
      <c r="H8" s="76">
        <v>432</v>
      </c>
      <c r="I8" s="77">
        <v>445</v>
      </c>
      <c r="J8" s="77"/>
      <c r="K8" s="78">
        <v>478</v>
      </c>
      <c r="L8" s="79"/>
      <c r="M8" s="79">
        <f>F8+H8-K8</f>
        <v>-24</v>
      </c>
      <c r="N8" s="75">
        <f>G8+I8-K8</f>
        <v>16</v>
      </c>
      <c r="O8" s="75"/>
      <c r="P8" s="57"/>
      <c r="Q8" s="57"/>
      <c r="R8" s="56"/>
      <c r="S8" s="56"/>
      <c r="T8" s="56"/>
      <c r="U8" s="56"/>
      <c r="V8" s="56"/>
      <c r="W8" s="56"/>
      <c r="X8" s="56"/>
      <c r="Y8" s="56"/>
      <c r="Z8" s="56"/>
    </row>
    <row r="9" spans="1:26" ht="15.6" x14ac:dyDescent="0.3">
      <c r="A9" s="72">
        <v>2220044</v>
      </c>
      <c r="B9" s="73" t="s">
        <v>132</v>
      </c>
      <c r="C9" s="73">
        <v>305</v>
      </c>
      <c r="D9" s="73">
        <v>305</v>
      </c>
      <c r="E9" s="74" t="s">
        <v>133</v>
      </c>
      <c r="F9" s="75">
        <v>76</v>
      </c>
      <c r="G9" s="75">
        <v>76</v>
      </c>
      <c r="H9" s="80">
        <v>730</v>
      </c>
      <c r="I9" s="81">
        <v>730</v>
      </c>
      <c r="J9" s="81"/>
      <c r="K9" s="82">
        <v>758</v>
      </c>
      <c r="L9" s="79"/>
      <c r="M9" s="79">
        <f t="shared" ref="M9:M72" si="0">F9+H9-K9</f>
        <v>48</v>
      </c>
      <c r="N9" s="75">
        <f t="shared" ref="N9:N72" si="1">G9+I9-K9</f>
        <v>48</v>
      </c>
      <c r="O9" s="56"/>
      <c r="P9" s="57"/>
      <c r="Q9" s="57"/>
      <c r="R9" s="56"/>
      <c r="S9" s="56"/>
      <c r="T9" s="56"/>
      <c r="U9" s="56"/>
      <c r="V9" s="56"/>
      <c r="W9" s="56"/>
      <c r="X9" s="56"/>
      <c r="Y9" s="56"/>
      <c r="Z9" s="56"/>
    </row>
    <row r="10" spans="1:26" ht="15.6" x14ac:dyDescent="0.3">
      <c r="A10" s="72">
        <v>2220002</v>
      </c>
      <c r="B10" s="73" t="s">
        <v>14</v>
      </c>
      <c r="C10" s="73">
        <v>57.3</v>
      </c>
      <c r="D10" s="73">
        <v>57.3</v>
      </c>
      <c r="E10" s="74" t="s">
        <v>131</v>
      </c>
      <c r="F10" s="75">
        <v>-194</v>
      </c>
      <c r="G10" s="75">
        <v>93</v>
      </c>
      <c r="H10" s="80">
        <v>796</v>
      </c>
      <c r="I10" s="81">
        <v>813</v>
      </c>
      <c r="J10" s="81"/>
      <c r="K10" s="78">
        <v>872</v>
      </c>
      <c r="L10" s="79"/>
      <c r="M10" s="79">
        <f t="shared" si="0"/>
        <v>-270</v>
      </c>
      <c r="N10" s="75">
        <f t="shared" si="1"/>
        <v>34</v>
      </c>
      <c r="O10" s="56"/>
      <c r="P10" s="57"/>
      <c r="Q10" s="57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5.6" x14ac:dyDescent="0.3">
      <c r="A11" s="72">
        <v>2220085</v>
      </c>
      <c r="B11" s="73" t="s">
        <v>134</v>
      </c>
      <c r="C11" s="73">
        <v>2725</v>
      </c>
      <c r="D11" s="73">
        <v>2725</v>
      </c>
      <c r="E11" s="74" t="s">
        <v>135</v>
      </c>
      <c r="F11" s="75">
        <v>1</v>
      </c>
      <c r="G11" s="75">
        <v>1</v>
      </c>
      <c r="H11" s="80">
        <v>0</v>
      </c>
      <c r="I11" s="81">
        <v>0</v>
      </c>
      <c r="J11" s="81"/>
      <c r="K11" s="82">
        <v>0</v>
      </c>
      <c r="L11" s="79"/>
      <c r="M11" s="79">
        <f t="shared" si="0"/>
        <v>1</v>
      </c>
      <c r="N11" s="75">
        <f t="shared" si="1"/>
        <v>1</v>
      </c>
      <c r="O11" s="56"/>
      <c r="P11" s="57"/>
      <c r="Q11" s="57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5.6" x14ac:dyDescent="0.3">
      <c r="A12" s="72">
        <v>2220003</v>
      </c>
      <c r="B12" s="73" t="s">
        <v>136</v>
      </c>
      <c r="C12" s="73">
        <v>29.2</v>
      </c>
      <c r="D12" s="73">
        <v>29.2</v>
      </c>
      <c r="E12" s="74" t="s">
        <v>137</v>
      </c>
      <c r="F12" s="75">
        <v>-6.4999999999999982</v>
      </c>
      <c r="G12" s="75">
        <v>4.100000000000005</v>
      </c>
      <c r="H12" s="80">
        <v>16</v>
      </c>
      <c r="I12" s="81">
        <v>17.55</v>
      </c>
      <c r="J12" s="81"/>
      <c r="K12" s="311">
        <v>20.85</v>
      </c>
      <c r="L12" s="79"/>
      <c r="M12" s="79">
        <f t="shared" si="0"/>
        <v>-11.35</v>
      </c>
      <c r="N12" s="75">
        <f t="shared" si="1"/>
        <v>0.80000000000000426</v>
      </c>
      <c r="O12" s="56"/>
      <c r="P12" s="57"/>
      <c r="Q12" s="57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5.6" x14ac:dyDescent="0.3">
      <c r="A13" s="72">
        <v>2220030</v>
      </c>
      <c r="B13" s="73" t="s">
        <v>138</v>
      </c>
      <c r="C13" s="73">
        <v>62.5</v>
      </c>
      <c r="D13" s="73">
        <v>62.5</v>
      </c>
      <c r="E13" s="74" t="s">
        <v>137</v>
      </c>
      <c r="F13" s="75">
        <v>15</v>
      </c>
      <c r="G13" s="75">
        <v>15</v>
      </c>
      <c r="H13" s="80">
        <v>10</v>
      </c>
      <c r="I13" s="81">
        <v>10</v>
      </c>
      <c r="J13" s="81"/>
      <c r="K13" s="311">
        <v>8</v>
      </c>
      <c r="L13" s="79"/>
      <c r="M13" s="79">
        <f t="shared" si="0"/>
        <v>17</v>
      </c>
      <c r="N13" s="75">
        <f t="shared" si="1"/>
        <v>17</v>
      </c>
      <c r="O13" s="56"/>
      <c r="P13" s="57"/>
      <c r="Q13" s="57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5.6" x14ac:dyDescent="0.3">
      <c r="A14" s="72">
        <v>2220138</v>
      </c>
      <c r="B14" s="73" t="s">
        <v>139</v>
      </c>
      <c r="C14" s="73">
        <v>1100</v>
      </c>
      <c r="D14" s="73">
        <v>1100</v>
      </c>
      <c r="E14" s="74" t="s">
        <v>135</v>
      </c>
      <c r="F14" s="75">
        <v>3</v>
      </c>
      <c r="G14" s="75">
        <v>3</v>
      </c>
      <c r="H14" s="80">
        <v>4</v>
      </c>
      <c r="I14" s="81">
        <v>4</v>
      </c>
      <c r="J14" s="81"/>
      <c r="K14" s="312">
        <v>4</v>
      </c>
      <c r="L14" s="79"/>
      <c r="M14" s="79">
        <f t="shared" si="0"/>
        <v>3</v>
      </c>
      <c r="N14" s="75">
        <f t="shared" si="1"/>
        <v>3</v>
      </c>
      <c r="O14" s="56"/>
      <c r="P14" s="57"/>
      <c r="Q14" s="57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5.6" x14ac:dyDescent="0.3">
      <c r="A15" s="72">
        <v>2220046</v>
      </c>
      <c r="B15" s="73" t="s">
        <v>140</v>
      </c>
      <c r="C15" s="73">
        <v>1250</v>
      </c>
      <c r="D15" s="73">
        <v>1250</v>
      </c>
      <c r="E15" s="74" t="s">
        <v>135</v>
      </c>
      <c r="F15" s="75">
        <v>0</v>
      </c>
      <c r="G15" s="75">
        <v>0</v>
      </c>
      <c r="H15" s="80">
        <v>0</v>
      </c>
      <c r="I15" s="81">
        <v>0</v>
      </c>
      <c r="J15" s="81"/>
      <c r="K15" s="83">
        <v>0</v>
      </c>
      <c r="L15" s="79"/>
      <c r="M15" s="79">
        <f t="shared" si="0"/>
        <v>0</v>
      </c>
      <c r="N15" s="75">
        <f t="shared" si="1"/>
        <v>0</v>
      </c>
      <c r="O15" s="56"/>
      <c r="P15" s="57"/>
      <c r="Q15" s="57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5.6" x14ac:dyDescent="0.3">
      <c r="A16" s="72">
        <v>2220134</v>
      </c>
      <c r="B16" s="73" t="s">
        <v>141</v>
      </c>
      <c r="C16" s="73">
        <v>1197.1199999999999</v>
      </c>
      <c r="D16" s="73">
        <v>1197.1199999999999</v>
      </c>
      <c r="E16" s="74" t="s">
        <v>133</v>
      </c>
      <c r="F16" s="75">
        <v>0</v>
      </c>
      <c r="G16" s="75">
        <v>0</v>
      </c>
      <c r="H16" s="80">
        <v>0</v>
      </c>
      <c r="I16" s="81">
        <v>0</v>
      </c>
      <c r="J16" s="81"/>
      <c r="K16" s="83">
        <v>0</v>
      </c>
      <c r="L16" s="79"/>
      <c r="M16" s="79">
        <f t="shared" si="0"/>
        <v>0</v>
      </c>
      <c r="N16" s="75">
        <f t="shared" si="1"/>
        <v>0</v>
      </c>
      <c r="O16" s="56"/>
      <c r="P16" s="57"/>
      <c r="Q16" s="57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5.6" x14ac:dyDescent="0.3">
      <c r="A17" s="72">
        <v>2220094</v>
      </c>
      <c r="B17" s="73" t="s">
        <v>142</v>
      </c>
      <c r="C17" s="73">
        <v>850</v>
      </c>
      <c r="D17" s="73">
        <v>850</v>
      </c>
      <c r="E17" s="74"/>
      <c r="F17" s="75">
        <v>0</v>
      </c>
      <c r="G17" s="75">
        <v>0</v>
      </c>
      <c r="H17" s="84">
        <v>0</v>
      </c>
      <c r="I17" s="85">
        <v>0</v>
      </c>
      <c r="J17" s="85"/>
      <c r="K17" s="86">
        <v>0</v>
      </c>
      <c r="L17" s="79"/>
      <c r="M17" s="79">
        <f t="shared" si="0"/>
        <v>0</v>
      </c>
      <c r="N17" s="75">
        <f t="shared" si="1"/>
        <v>0</v>
      </c>
      <c r="O17" s="56"/>
      <c r="P17" s="57"/>
      <c r="Q17" s="57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5.6" x14ac:dyDescent="0.3">
      <c r="A18" s="72">
        <v>2220004</v>
      </c>
      <c r="B18" s="73" t="s">
        <v>16</v>
      </c>
      <c r="C18" s="73">
        <v>39.1</v>
      </c>
      <c r="D18" s="73">
        <v>39.1</v>
      </c>
      <c r="E18" s="74" t="s">
        <v>137</v>
      </c>
      <c r="F18" s="75">
        <v>16.36</v>
      </c>
      <c r="G18" s="75">
        <v>9.2999999999999972</v>
      </c>
      <c r="H18" s="80">
        <v>92</v>
      </c>
      <c r="I18" s="81">
        <v>90.65</v>
      </c>
      <c r="J18" s="81"/>
      <c r="K18" s="311">
        <v>96.55</v>
      </c>
      <c r="L18" s="79"/>
      <c r="M18" s="79">
        <f t="shared" si="0"/>
        <v>11.810000000000002</v>
      </c>
      <c r="N18" s="75">
        <f t="shared" si="1"/>
        <v>3.4000000000000057</v>
      </c>
      <c r="O18" s="56"/>
      <c r="P18" s="57"/>
      <c r="Q18" s="57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5.6" x14ac:dyDescent="0.3">
      <c r="A19" s="72">
        <v>2220005</v>
      </c>
      <c r="B19" s="73" t="s">
        <v>62</v>
      </c>
      <c r="C19" s="73">
        <v>93.5</v>
      </c>
      <c r="D19" s="73">
        <v>93.5</v>
      </c>
      <c r="E19" s="74" t="s">
        <v>137</v>
      </c>
      <c r="F19" s="75">
        <v>5.1000000000000014</v>
      </c>
      <c r="G19" s="75">
        <v>5.0999999999999979</v>
      </c>
      <c r="H19" s="84">
        <v>20</v>
      </c>
      <c r="I19" s="85">
        <v>19.600000000000001</v>
      </c>
      <c r="J19" s="87"/>
      <c r="K19" s="313">
        <v>26.75</v>
      </c>
      <c r="L19" s="88"/>
      <c r="M19" s="79">
        <f t="shared" si="0"/>
        <v>-1.6499999999999986</v>
      </c>
      <c r="N19" s="75">
        <f t="shared" si="1"/>
        <v>-2.0500000000000007</v>
      </c>
      <c r="O19" s="56"/>
      <c r="P19" s="57"/>
      <c r="Q19" s="57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5.6" x14ac:dyDescent="0.3">
      <c r="A20" s="72">
        <v>2220006</v>
      </c>
      <c r="B20" s="73" t="s">
        <v>17</v>
      </c>
      <c r="C20" s="73">
        <v>36.5</v>
      </c>
      <c r="D20" s="73">
        <v>36.5</v>
      </c>
      <c r="E20" s="74" t="s">
        <v>137</v>
      </c>
      <c r="F20" s="75">
        <v>-0.84500000000000597</v>
      </c>
      <c r="G20" s="75">
        <v>5.9500000000000028</v>
      </c>
      <c r="H20" s="80">
        <v>60</v>
      </c>
      <c r="I20" s="76">
        <v>60.75</v>
      </c>
      <c r="J20" s="80"/>
      <c r="K20" s="311">
        <v>63.7</v>
      </c>
      <c r="L20" s="79"/>
      <c r="M20" s="79">
        <f t="shared" si="0"/>
        <v>-4.5450000000000088</v>
      </c>
      <c r="N20" s="75">
        <f t="shared" si="1"/>
        <v>3</v>
      </c>
      <c r="O20" s="56"/>
      <c r="P20" s="57"/>
      <c r="Q20" s="57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5.75" customHeight="1" x14ac:dyDescent="0.3">
      <c r="A21" s="72">
        <v>2220089</v>
      </c>
      <c r="B21" s="73" t="s">
        <v>143</v>
      </c>
      <c r="C21" s="73">
        <v>420</v>
      </c>
      <c r="D21" s="73">
        <v>420</v>
      </c>
      <c r="E21" s="74" t="s">
        <v>137</v>
      </c>
      <c r="F21" s="75">
        <v>0</v>
      </c>
      <c r="G21" s="75">
        <v>0</v>
      </c>
      <c r="H21" s="80">
        <v>0</v>
      </c>
      <c r="I21" s="77">
        <v>0</v>
      </c>
      <c r="J21" s="81"/>
      <c r="K21" s="311">
        <v>0</v>
      </c>
      <c r="L21" s="79"/>
      <c r="M21" s="79">
        <f t="shared" si="0"/>
        <v>0</v>
      </c>
      <c r="N21" s="75">
        <f t="shared" si="1"/>
        <v>0</v>
      </c>
      <c r="O21" s="56"/>
      <c r="P21" s="57"/>
      <c r="Q21" s="57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5.75" customHeight="1" x14ac:dyDescent="0.3">
      <c r="A22" s="72">
        <v>2220072</v>
      </c>
      <c r="B22" s="73" t="s">
        <v>144</v>
      </c>
      <c r="C22" s="73">
        <v>350</v>
      </c>
      <c r="D22" s="73">
        <v>350</v>
      </c>
      <c r="E22" s="74" t="s">
        <v>133</v>
      </c>
      <c r="F22" s="75">
        <v>1</v>
      </c>
      <c r="G22" s="75">
        <v>1</v>
      </c>
      <c r="H22" s="80">
        <v>0</v>
      </c>
      <c r="I22" s="76">
        <v>0</v>
      </c>
      <c r="J22" s="81"/>
      <c r="K22" s="311">
        <v>0</v>
      </c>
      <c r="L22" s="79"/>
      <c r="M22" s="79">
        <f t="shared" si="0"/>
        <v>1</v>
      </c>
      <c r="N22" s="75">
        <f t="shared" si="1"/>
        <v>1</v>
      </c>
      <c r="O22" s="56"/>
      <c r="P22" s="57"/>
      <c r="Q22" s="57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5.75" customHeight="1" x14ac:dyDescent="0.3">
      <c r="A23" s="72">
        <v>2220090</v>
      </c>
      <c r="B23" s="73" t="s">
        <v>145</v>
      </c>
      <c r="C23" s="73">
        <v>520</v>
      </c>
      <c r="D23" s="73">
        <v>520</v>
      </c>
      <c r="E23" s="74" t="s">
        <v>137</v>
      </c>
      <c r="F23" s="75">
        <v>0</v>
      </c>
      <c r="G23" s="75">
        <v>0</v>
      </c>
      <c r="H23" s="80">
        <v>0</v>
      </c>
      <c r="I23" s="81">
        <v>0</v>
      </c>
      <c r="J23" s="81"/>
      <c r="K23" s="83">
        <v>0</v>
      </c>
      <c r="L23" s="79"/>
      <c r="M23" s="79">
        <f t="shared" si="0"/>
        <v>0</v>
      </c>
      <c r="N23" s="75">
        <f t="shared" si="1"/>
        <v>0</v>
      </c>
      <c r="O23" s="56"/>
      <c r="P23" s="57"/>
      <c r="Q23" s="57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5.75" customHeight="1" x14ac:dyDescent="0.3">
      <c r="A24" s="72">
        <v>2220007</v>
      </c>
      <c r="B24" s="73" t="s">
        <v>37</v>
      </c>
      <c r="C24" s="73">
        <v>85.5</v>
      </c>
      <c r="D24" s="73">
        <v>85.5</v>
      </c>
      <c r="E24" s="74" t="s">
        <v>137</v>
      </c>
      <c r="F24" s="75">
        <v>-4.5500000000000007</v>
      </c>
      <c r="G24" s="75">
        <v>2.8000000000000007</v>
      </c>
      <c r="H24" s="80">
        <v>24</v>
      </c>
      <c r="I24" s="81">
        <v>24.25</v>
      </c>
      <c r="J24" s="81"/>
      <c r="K24" s="311">
        <v>25.85</v>
      </c>
      <c r="L24" s="79"/>
      <c r="M24" s="79">
        <f t="shared" si="0"/>
        <v>-6.4000000000000021</v>
      </c>
      <c r="N24" s="75">
        <f t="shared" si="1"/>
        <v>1.1999999999999993</v>
      </c>
      <c r="O24" s="56"/>
      <c r="P24" s="57"/>
      <c r="Q24" s="57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30" x14ac:dyDescent="0.3">
      <c r="A25" s="72">
        <v>2220050</v>
      </c>
      <c r="B25" s="73" t="s">
        <v>146</v>
      </c>
      <c r="C25" s="73">
        <v>1392</v>
      </c>
      <c r="D25" s="73">
        <v>1392</v>
      </c>
      <c r="E25" s="74" t="s">
        <v>135</v>
      </c>
      <c r="F25" s="75">
        <v>16</v>
      </c>
      <c r="G25" s="75">
        <v>16</v>
      </c>
      <c r="H25" s="89">
        <v>12</v>
      </c>
      <c r="I25" s="90">
        <v>12</v>
      </c>
      <c r="J25" s="81"/>
      <c r="K25" s="311">
        <v>8</v>
      </c>
      <c r="L25" s="79"/>
      <c r="M25" s="79">
        <f t="shared" si="0"/>
        <v>20</v>
      </c>
      <c r="N25" s="75">
        <f t="shared" si="1"/>
        <v>20</v>
      </c>
      <c r="O25" s="56"/>
      <c r="P25" s="57"/>
      <c r="Q25" s="57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5.75" customHeight="1" x14ac:dyDescent="0.3">
      <c r="A26" s="72">
        <v>2220042</v>
      </c>
      <c r="B26" s="73" t="s">
        <v>147</v>
      </c>
      <c r="C26" s="73">
        <v>215</v>
      </c>
      <c r="D26" s="73">
        <v>215</v>
      </c>
      <c r="E26" s="74" t="s">
        <v>137</v>
      </c>
      <c r="F26" s="75">
        <v>-30.399999999999977</v>
      </c>
      <c r="G26" s="75">
        <v>128.19999999999982</v>
      </c>
      <c r="H26" s="80">
        <v>1000</v>
      </c>
      <c r="I26" s="81">
        <v>1115</v>
      </c>
      <c r="J26" s="81"/>
      <c r="K26" s="311">
        <v>1243.75</v>
      </c>
      <c r="L26" s="79"/>
      <c r="M26" s="79">
        <f t="shared" si="0"/>
        <v>-274.14999999999998</v>
      </c>
      <c r="N26" s="75">
        <f t="shared" si="1"/>
        <v>-0.5500000000001819</v>
      </c>
      <c r="O26" s="56"/>
      <c r="P26" s="57"/>
      <c r="Q26" s="57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5.75" customHeight="1" x14ac:dyDescent="0.3">
      <c r="A27" s="72">
        <v>2220068</v>
      </c>
      <c r="B27" s="73" t="s">
        <v>148</v>
      </c>
      <c r="C27" s="73">
        <v>519.67999999999995</v>
      </c>
      <c r="D27" s="73">
        <v>519.67999999999995</v>
      </c>
      <c r="E27" s="74" t="s">
        <v>133</v>
      </c>
      <c r="F27" s="75">
        <v>5</v>
      </c>
      <c r="G27" s="75">
        <v>5</v>
      </c>
      <c r="H27" s="80">
        <v>0</v>
      </c>
      <c r="I27" s="81">
        <v>0</v>
      </c>
      <c r="J27" s="81"/>
      <c r="K27" s="83">
        <v>0</v>
      </c>
      <c r="L27" s="79"/>
      <c r="M27" s="79">
        <f t="shared" si="0"/>
        <v>5</v>
      </c>
      <c r="N27" s="75">
        <f t="shared" si="1"/>
        <v>5</v>
      </c>
      <c r="O27" s="56"/>
      <c r="P27" s="57"/>
      <c r="Q27" s="57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5.75" customHeight="1" x14ac:dyDescent="0.3">
      <c r="A28" s="72">
        <v>2220008</v>
      </c>
      <c r="B28" s="73" t="s">
        <v>18</v>
      </c>
      <c r="C28" s="73">
        <v>40</v>
      </c>
      <c r="D28" s="73">
        <v>40</v>
      </c>
      <c r="E28" s="74" t="s">
        <v>137</v>
      </c>
      <c r="F28" s="75">
        <v>-2.0499999999999901</v>
      </c>
      <c r="G28" s="75">
        <v>6.8500000000000014</v>
      </c>
      <c r="H28" s="80">
        <v>60</v>
      </c>
      <c r="I28" s="81">
        <v>61.6</v>
      </c>
      <c r="J28" s="81"/>
      <c r="K28" s="311">
        <v>64.95</v>
      </c>
      <c r="L28" s="79"/>
      <c r="M28" s="79">
        <f t="shared" si="0"/>
        <v>-6.9999999999999929</v>
      </c>
      <c r="N28" s="75">
        <f t="shared" si="1"/>
        <v>3.5</v>
      </c>
      <c r="O28" s="56"/>
      <c r="P28" s="57"/>
      <c r="Q28" s="57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30" x14ac:dyDescent="0.3">
      <c r="A29" s="72">
        <v>2220066</v>
      </c>
      <c r="B29" s="73" t="s">
        <v>149</v>
      </c>
      <c r="C29" s="73">
        <v>510</v>
      </c>
      <c r="D29" s="73">
        <v>510</v>
      </c>
      <c r="E29" s="74" t="s">
        <v>133</v>
      </c>
      <c r="F29" s="75">
        <v>0</v>
      </c>
      <c r="G29" s="75">
        <v>0</v>
      </c>
      <c r="H29" s="80">
        <v>0</v>
      </c>
      <c r="I29" s="81">
        <v>0</v>
      </c>
      <c r="J29" s="81"/>
      <c r="K29" s="311">
        <v>0</v>
      </c>
      <c r="L29" s="79"/>
      <c r="M29" s="79">
        <f t="shared" si="0"/>
        <v>0</v>
      </c>
      <c r="N29" s="75">
        <f t="shared" si="1"/>
        <v>0</v>
      </c>
      <c r="O29" s="56"/>
      <c r="P29" s="57"/>
      <c r="Q29" s="57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5.75" customHeight="1" x14ac:dyDescent="0.3">
      <c r="A30" s="72">
        <v>2220009</v>
      </c>
      <c r="B30" s="73" t="s">
        <v>19</v>
      </c>
      <c r="C30" s="73">
        <v>41.5</v>
      </c>
      <c r="D30" s="73">
        <v>41.5</v>
      </c>
      <c r="E30" s="74" t="s">
        <v>137</v>
      </c>
      <c r="F30" s="75">
        <v>-5.1500000000000039</v>
      </c>
      <c r="G30" s="75">
        <v>1.1500000000000004</v>
      </c>
      <c r="H30" s="80">
        <v>10</v>
      </c>
      <c r="I30" s="81">
        <v>10.9</v>
      </c>
      <c r="J30" s="81"/>
      <c r="K30" s="311">
        <v>11.855</v>
      </c>
      <c r="L30" s="79"/>
      <c r="M30" s="79">
        <f t="shared" si="0"/>
        <v>-7.0050000000000043</v>
      </c>
      <c r="N30" s="75">
        <f t="shared" si="1"/>
        <v>0.19500000000000028</v>
      </c>
      <c r="O30" s="56"/>
      <c r="P30" s="57"/>
      <c r="Q30" s="57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5.75" customHeight="1" x14ac:dyDescent="0.3">
      <c r="A31" s="72">
        <v>2220010</v>
      </c>
      <c r="B31" s="73" t="s">
        <v>72</v>
      </c>
      <c r="C31" s="73">
        <v>20.7</v>
      </c>
      <c r="D31" s="73">
        <v>20.7</v>
      </c>
      <c r="E31" s="74" t="s">
        <v>131</v>
      </c>
      <c r="F31" s="75">
        <v>25</v>
      </c>
      <c r="G31" s="75">
        <v>17</v>
      </c>
      <c r="H31" s="80">
        <v>112</v>
      </c>
      <c r="I31" s="81">
        <v>109</v>
      </c>
      <c r="J31" s="81"/>
      <c r="K31" s="311">
        <v>117</v>
      </c>
      <c r="L31" s="79"/>
      <c r="M31" s="79">
        <f t="shared" si="0"/>
        <v>20</v>
      </c>
      <c r="N31" s="75">
        <f t="shared" si="1"/>
        <v>9</v>
      </c>
      <c r="O31" s="56"/>
      <c r="P31" s="57"/>
      <c r="Q31" s="57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5.75" customHeight="1" x14ac:dyDescent="0.3">
      <c r="A32" s="72">
        <v>2220011</v>
      </c>
      <c r="B32" s="73" t="s">
        <v>21</v>
      </c>
      <c r="C32" s="73">
        <v>46.9</v>
      </c>
      <c r="D32" s="73">
        <v>46.9</v>
      </c>
      <c r="E32" s="74" t="s">
        <v>133</v>
      </c>
      <c r="F32" s="75">
        <v>20</v>
      </c>
      <c r="G32" s="75">
        <v>11</v>
      </c>
      <c r="H32" s="80">
        <v>104</v>
      </c>
      <c r="I32" s="81">
        <v>104</v>
      </c>
      <c r="J32" s="81"/>
      <c r="K32" s="311">
        <v>112</v>
      </c>
      <c r="L32" s="79"/>
      <c r="M32" s="79">
        <f t="shared" si="0"/>
        <v>12</v>
      </c>
      <c r="N32" s="75">
        <f t="shared" si="1"/>
        <v>3</v>
      </c>
      <c r="O32" s="56"/>
      <c r="P32" s="57"/>
      <c r="Q32" s="57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5.75" customHeight="1" x14ac:dyDescent="0.3">
      <c r="A33" s="72">
        <v>2220070</v>
      </c>
      <c r="B33" s="73" t="s">
        <v>150</v>
      </c>
      <c r="C33" s="73">
        <v>54</v>
      </c>
      <c r="D33" s="73">
        <v>54</v>
      </c>
      <c r="E33" s="74" t="s">
        <v>133</v>
      </c>
      <c r="F33" s="75">
        <v>0</v>
      </c>
      <c r="G33" s="75">
        <v>0</v>
      </c>
      <c r="H33" s="80">
        <v>0</v>
      </c>
      <c r="I33" s="81">
        <v>0</v>
      </c>
      <c r="J33" s="81"/>
      <c r="K33" s="83">
        <v>0</v>
      </c>
      <c r="L33" s="79"/>
      <c r="M33" s="79">
        <f t="shared" si="0"/>
        <v>0</v>
      </c>
      <c r="N33" s="75">
        <f t="shared" si="1"/>
        <v>0</v>
      </c>
      <c r="O33" s="56"/>
      <c r="P33" s="57"/>
      <c r="Q33" s="57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5.75" customHeight="1" x14ac:dyDescent="0.3">
      <c r="A34" s="91">
        <v>2220139</v>
      </c>
      <c r="B34" s="73" t="s">
        <v>46</v>
      </c>
      <c r="C34" s="73">
        <v>890</v>
      </c>
      <c r="D34" s="73">
        <v>890</v>
      </c>
      <c r="E34" s="74" t="s">
        <v>135</v>
      </c>
      <c r="F34" s="75">
        <v>8</v>
      </c>
      <c r="G34" s="75">
        <v>8</v>
      </c>
      <c r="H34" s="84">
        <v>28</v>
      </c>
      <c r="I34" s="85">
        <v>28</v>
      </c>
      <c r="J34" s="85"/>
      <c r="K34" s="313">
        <v>23</v>
      </c>
      <c r="L34" s="88"/>
      <c r="M34" s="79">
        <f t="shared" si="0"/>
        <v>13</v>
      </c>
      <c r="N34" s="75">
        <f t="shared" si="1"/>
        <v>13</v>
      </c>
      <c r="O34" s="56"/>
      <c r="P34" s="57"/>
      <c r="Q34" s="57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5.75" customHeight="1" x14ac:dyDescent="0.3">
      <c r="A35" s="72">
        <v>2220047</v>
      </c>
      <c r="B35" s="73" t="s">
        <v>151</v>
      </c>
      <c r="C35" s="73">
        <v>1000</v>
      </c>
      <c r="D35" s="73">
        <v>1000</v>
      </c>
      <c r="E35" s="74" t="s">
        <v>135</v>
      </c>
      <c r="F35" s="75">
        <v>0</v>
      </c>
      <c r="G35" s="75">
        <v>0</v>
      </c>
      <c r="H35" s="84">
        <v>0</v>
      </c>
      <c r="I35" s="85">
        <v>0</v>
      </c>
      <c r="J35" s="85"/>
      <c r="K35" s="86">
        <v>0</v>
      </c>
      <c r="L35" s="88"/>
      <c r="M35" s="79">
        <f t="shared" si="0"/>
        <v>0</v>
      </c>
      <c r="N35" s="75">
        <f t="shared" si="1"/>
        <v>0</v>
      </c>
      <c r="O35" s="56"/>
      <c r="P35" s="57"/>
      <c r="Q35" s="57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5.75" customHeight="1" x14ac:dyDescent="0.3">
      <c r="A36" s="72">
        <v>2220012</v>
      </c>
      <c r="B36" s="73" t="s">
        <v>22</v>
      </c>
      <c r="C36" s="73">
        <v>13.7</v>
      </c>
      <c r="D36" s="73">
        <v>13.7</v>
      </c>
      <c r="E36" s="74" t="s">
        <v>133</v>
      </c>
      <c r="F36" s="75">
        <v>-2</v>
      </c>
      <c r="G36" s="75">
        <v>27</v>
      </c>
      <c r="H36" s="84">
        <v>260</v>
      </c>
      <c r="I36" s="85">
        <v>272</v>
      </c>
      <c r="J36" s="85"/>
      <c r="K36" s="313">
        <v>289</v>
      </c>
      <c r="L36" s="79"/>
      <c r="M36" s="79">
        <f t="shared" si="0"/>
        <v>-31</v>
      </c>
      <c r="N36" s="75">
        <f t="shared" si="1"/>
        <v>10</v>
      </c>
      <c r="O36" s="56"/>
      <c r="P36" s="57"/>
      <c r="Q36" s="57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5.75" customHeight="1" x14ac:dyDescent="0.3">
      <c r="A37" s="72">
        <v>2220135</v>
      </c>
      <c r="B37" s="73" t="s">
        <v>152</v>
      </c>
      <c r="C37" s="73">
        <v>199</v>
      </c>
      <c r="D37" s="73">
        <v>199</v>
      </c>
      <c r="E37" s="74" t="s">
        <v>133</v>
      </c>
      <c r="F37" s="75">
        <v>0</v>
      </c>
      <c r="G37" s="75">
        <v>0</v>
      </c>
      <c r="H37" s="80">
        <v>0</v>
      </c>
      <c r="I37" s="81">
        <v>0</v>
      </c>
      <c r="J37" s="81"/>
      <c r="K37" s="83">
        <v>0</v>
      </c>
      <c r="L37" s="79"/>
      <c r="M37" s="79">
        <f t="shared" si="0"/>
        <v>0</v>
      </c>
      <c r="N37" s="75">
        <f t="shared" si="1"/>
        <v>0</v>
      </c>
      <c r="O37" s="56"/>
      <c r="P37" s="57"/>
      <c r="Q37" s="57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5.75" customHeight="1" x14ac:dyDescent="0.3">
      <c r="A38" s="91">
        <v>2220140</v>
      </c>
      <c r="B38" s="73" t="s">
        <v>153</v>
      </c>
      <c r="C38" s="73">
        <v>690</v>
      </c>
      <c r="D38" s="73">
        <v>690</v>
      </c>
      <c r="E38" s="74" t="s">
        <v>135</v>
      </c>
      <c r="F38" s="75">
        <v>2</v>
      </c>
      <c r="G38" s="75">
        <v>7</v>
      </c>
      <c r="H38" s="84">
        <v>23</v>
      </c>
      <c r="I38" s="85">
        <v>23</v>
      </c>
      <c r="J38" s="85"/>
      <c r="K38" s="313">
        <v>22</v>
      </c>
      <c r="L38" s="88"/>
      <c r="M38" s="79">
        <f t="shared" si="0"/>
        <v>3</v>
      </c>
      <c r="N38" s="75">
        <f t="shared" si="1"/>
        <v>8</v>
      </c>
      <c r="O38" s="56"/>
      <c r="P38" s="57"/>
      <c r="Q38" s="57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5.75" customHeight="1" x14ac:dyDescent="0.3">
      <c r="A39" s="72">
        <v>2220048</v>
      </c>
      <c r="B39" s="73" t="s">
        <v>154</v>
      </c>
      <c r="C39" s="73">
        <v>790</v>
      </c>
      <c r="D39" s="73">
        <v>790</v>
      </c>
      <c r="E39" s="74" t="s">
        <v>135</v>
      </c>
      <c r="F39" s="75">
        <v>0</v>
      </c>
      <c r="G39" s="75">
        <v>0</v>
      </c>
      <c r="H39" s="84">
        <v>0</v>
      </c>
      <c r="I39" s="85">
        <v>0</v>
      </c>
      <c r="J39" s="85"/>
      <c r="K39" s="86">
        <v>0</v>
      </c>
      <c r="L39" s="88"/>
      <c r="M39" s="79">
        <f t="shared" si="0"/>
        <v>0</v>
      </c>
      <c r="N39" s="75">
        <f t="shared" si="1"/>
        <v>0</v>
      </c>
      <c r="O39" s="56"/>
      <c r="P39" s="57"/>
      <c r="Q39" s="57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5.75" customHeight="1" x14ac:dyDescent="0.3">
      <c r="A40" s="91">
        <v>2220137</v>
      </c>
      <c r="B40" s="73" t="s">
        <v>155</v>
      </c>
      <c r="C40" s="73">
        <v>1050</v>
      </c>
      <c r="D40" s="73">
        <v>1050</v>
      </c>
      <c r="E40" s="74" t="s">
        <v>135</v>
      </c>
      <c r="F40" s="75">
        <v>0</v>
      </c>
      <c r="G40" s="75">
        <v>0</v>
      </c>
      <c r="H40" s="84">
        <v>0</v>
      </c>
      <c r="I40" s="85">
        <v>0</v>
      </c>
      <c r="J40" s="85"/>
      <c r="K40" s="86">
        <v>0</v>
      </c>
      <c r="L40" s="88"/>
      <c r="M40" s="79">
        <f t="shared" si="0"/>
        <v>0</v>
      </c>
      <c r="N40" s="75">
        <f t="shared" si="1"/>
        <v>0</v>
      </c>
      <c r="O40" s="56"/>
      <c r="P40" s="57"/>
      <c r="Q40" s="57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5.75" customHeight="1" x14ac:dyDescent="0.3">
      <c r="A41" s="72">
        <v>2220049</v>
      </c>
      <c r="B41" s="73" t="s">
        <v>156</v>
      </c>
      <c r="C41" s="73">
        <v>1200</v>
      </c>
      <c r="D41" s="73">
        <v>1200</v>
      </c>
      <c r="E41" s="74" t="s">
        <v>135</v>
      </c>
      <c r="F41" s="75">
        <v>0</v>
      </c>
      <c r="G41" s="75">
        <v>0</v>
      </c>
      <c r="H41" s="84">
        <v>0</v>
      </c>
      <c r="I41" s="85">
        <v>0</v>
      </c>
      <c r="J41" s="85"/>
      <c r="K41" s="86">
        <v>0</v>
      </c>
      <c r="L41" s="88"/>
      <c r="M41" s="79">
        <f t="shared" si="0"/>
        <v>0</v>
      </c>
      <c r="N41" s="75">
        <f t="shared" si="1"/>
        <v>0</v>
      </c>
      <c r="O41" s="56"/>
      <c r="P41" s="57"/>
      <c r="Q41" s="57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5.75" customHeight="1" x14ac:dyDescent="0.3">
      <c r="A42" s="72">
        <v>2220013</v>
      </c>
      <c r="B42" s="73" t="s">
        <v>23</v>
      </c>
      <c r="C42" s="73">
        <v>20.8</v>
      </c>
      <c r="D42" s="73">
        <v>20.8</v>
      </c>
      <c r="E42" s="74" t="s">
        <v>131</v>
      </c>
      <c r="F42" s="75">
        <v>25</v>
      </c>
      <c r="G42" s="75">
        <v>98</v>
      </c>
      <c r="H42" s="84">
        <v>908</v>
      </c>
      <c r="I42" s="85">
        <v>914</v>
      </c>
      <c r="J42" s="85"/>
      <c r="K42" s="313">
        <v>976</v>
      </c>
      <c r="L42" s="79"/>
      <c r="M42" s="79">
        <f t="shared" si="0"/>
        <v>-43</v>
      </c>
      <c r="N42" s="75">
        <f t="shared" si="1"/>
        <v>36</v>
      </c>
      <c r="O42" s="56"/>
      <c r="P42" s="57"/>
      <c r="Q42" s="57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5.75" customHeight="1" x14ac:dyDescent="0.3">
      <c r="A43" s="72">
        <v>2220081</v>
      </c>
      <c r="B43" s="73" t="s">
        <v>157</v>
      </c>
      <c r="C43" s="73">
        <v>1755</v>
      </c>
      <c r="D43" s="73">
        <v>1755</v>
      </c>
      <c r="E43" s="74" t="s">
        <v>133</v>
      </c>
      <c r="F43" s="75">
        <v>11</v>
      </c>
      <c r="G43" s="75">
        <v>11</v>
      </c>
      <c r="H43" s="80">
        <v>0</v>
      </c>
      <c r="I43" s="81">
        <v>0</v>
      </c>
      <c r="J43" s="81"/>
      <c r="K43" s="83">
        <v>0</v>
      </c>
      <c r="L43" s="79"/>
      <c r="M43" s="79">
        <f t="shared" si="0"/>
        <v>11</v>
      </c>
      <c r="N43" s="75">
        <f t="shared" si="1"/>
        <v>11</v>
      </c>
      <c r="O43" s="56"/>
      <c r="P43" s="57"/>
      <c r="Q43" s="57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5.75" customHeight="1" x14ac:dyDescent="0.3">
      <c r="A44" s="91">
        <v>2220136</v>
      </c>
      <c r="B44" s="73" t="s">
        <v>158</v>
      </c>
      <c r="C44" s="73">
        <v>558.4</v>
      </c>
      <c r="D44" s="73">
        <v>558.4</v>
      </c>
      <c r="E44" s="74" t="s">
        <v>133</v>
      </c>
      <c r="F44" s="75">
        <v>0</v>
      </c>
      <c r="G44" s="75">
        <v>0</v>
      </c>
      <c r="H44" s="80">
        <v>0</v>
      </c>
      <c r="I44" s="81">
        <v>0</v>
      </c>
      <c r="J44" s="81"/>
      <c r="K44" s="83">
        <v>0</v>
      </c>
      <c r="L44" s="79"/>
      <c r="M44" s="79">
        <f t="shared" si="0"/>
        <v>0</v>
      </c>
      <c r="N44" s="75">
        <f t="shared" si="1"/>
        <v>0</v>
      </c>
      <c r="O44" s="56"/>
      <c r="P44" s="57"/>
      <c r="Q44" s="57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15.75" customHeight="1" x14ac:dyDescent="0.3">
      <c r="A45" s="72">
        <v>2220091</v>
      </c>
      <c r="B45" s="73" t="s">
        <v>159</v>
      </c>
      <c r="C45" s="73">
        <v>190</v>
      </c>
      <c r="D45" s="73">
        <v>190</v>
      </c>
      <c r="E45" s="74" t="s">
        <v>137</v>
      </c>
      <c r="F45" s="75">
        <v>0</v>
      </c>
      <c r="G45" s="75">
        <v>0</v>
      </c>
      <c r="H45" s="80">
        <v>0</v>
      </c>
      <c r="I45" s="81">
        <v>0</v>
      </c>
      <c r="J45" s="81"/>
      <c r="K45" s="83">
        <v>0</v>
      </c>
      <c r="L45" s="79"/>
      <c r="M45" s="79">
        <f t="shared" si="0"/>
        <v>0</v>
      </c>
      <c r="N45" s="75">
        <f t="shared" si="1"/>
        <v>0</v>
      </c>
      <c r="O45" s="56"/>
      <c r="P45" s="57"/>
      <c r="Q45" s="57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30" x14ac:dyDescent="0.3">
      <c r="A46" s="72">
        <v>2220079</v>
      </c>
      <c r="B46" s="73" t="s">
        <v>160</v>
      </c>
      <c r="C46" s="73">
        <v>287.86</v>
      </c>
      <c r="D46" s="73">
        <v>287.86</v>
      </c>
      <c r="E46" s="74" t="s">
        <v>133</v>
      </c>
      <c r="F46" s="75">
        <v>0</v>
      </c>
      <c r="G46" s="75">
        <v>0</v>
      </c>
      <c r="H46" s="80">
        <v>0</v>
      </c>
      <c r="I46" s="81">
        <v>0</v>
      </c>
      <c r="J46" s="81"/>
      <c r="K46" s="83">
        <v>0</v>
      </c>
      <c r="L46" s="79"/>
      <c r="M46" s="79">
        <f t="shared" si="0"/>
        <v>0</v>
      </c>
      <c r="N46" s="75">
        <f t="shared" si="1"/>
        <v>0</v>
      </c>
      <c r="O46" s="56"/>
      <c r="P46" s="57"/>
      <c r="Q46" s="57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30" x14ac:dyDescent="0.3">
      <c r="A47" s="72">
        <v>2220076</v>
      </c>
      <c r="B47" s="73" t="s">
        <v>161</v>
      </c>
      <c r="C47" s="73">
        <v>164</v>
      </c>
      <c r="D47" s="73">
        <v>164</v>
      </c>
      <c r="E47" s="74" t="s">
        <v>133</v>
      </c>
      <c r="F47" s="75">
        <v>0</v>
      </c>
      <c r="G47" s="75">
        <v>0</v>
      </c>
      <c r="H47" s="80">
        <v>0</v>
      </c>
      <c r="I47" s="81">
        <v>0</v>
      </c>
      <c r="J47" s="81"/>
      <c r="K47" s="83">
        <v>0</v>
      </c>
      <c r="L47" s="79"/>
      <c r="M47" s="79">
        <f t="shared" si="0"/>
        <v>0</v>
      </c>
      <c r="N47" s="75">
        <f t="shared" si="1"/>
        <v>0</v>
      </c>
      <c r="O47" s="56"/>
      <c r="P47" s="57"/>
      <c r="Q47" s="57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5.75" customHeight="1" x14ac:dyDescent="0.3">
      <c r="A48" s="72">
        <v>2220014</v>
      </c>
      <c r="B48" s="73" t="s">
        <v>24</v>
      </c>
      <c r="C48" s="73">
        <v>59.9</v>
      </c>
      <c r="D48" s="73">
        <v>59.9</v>
      </c>
      <c r="E48" s="74" t="s">
        <v>137</v>
      </c>
      <c r="F48" s="75">
        <v>-2.2000000000000011</v>
      </c>
      <c r="G48" s="75">
        <v>1.6500000000000004</v>
      </c>
      <c r="H48" s="80">
        <v>14</v>
      </c>
      <c r="I48" s="81">
        <v>13.5</v>
      </c>
      <c r="J48" s="81"/>
      <c r="K48" s="311">
        <v>14.5</v>
      </c>
      <c r="L48" s="79"/>
      <c r="M48" s="79">
        <f t="shared" si="0"/>
        <v>-2.7000000000000011</v>
      </c>
      <c r="N48" s="75">
        <f t="shared" si="1"/>
        <v>0.65000000000000036</v>
      </c>
      <c r="O48" s="56"/>
      <c r="P48" s="57"/>
      <c r="Q48" s="57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5.75" customHeight="1" x14ac:dyDescent="0.3">
      <c r="A49" s="72">
        <v>2220015</v>
      </c>
      <c r="B49" s="73" t="s">
        <v>25</v>
      </c>
      <c r="C49" s="73">
        <v>98.9</v>
      </c>
      <c r="D49" s="73">
        <v>98.9</v>
      </c>
      <c r="E49" s="74" t="s">
        <v>137</v>
      </c>
      <c r="F49" s="75">
        <v>-0.14999999999999858</v>
      </c>
      <c r="G49" s="75">
        <v>4.0499999999999901</v>
      </c>
      <c r="H49" s="80">
        <v>36</v>
      </c>
      <c r="I49" s="81">
        <v>37.35</v>
      </c>
      <c r="J49" s="81"/>
      <c r="K49" s="311">
        <v>42.2</v>
      </c>
      <c r="L49" s="79"/>
      <c r="M49" s="79">
        <f t="shared" si="0"/>
        <v>-6.3500000000000014</v>
      </c>
      <c r="N49" s="75">
        <f t="shared" si="1"/>
        <v>-0.80000000000001137</v>
      </c>
      <c r="O49" s="56"/>
      <c r="P49" s="57"/>
      <c r="Q49" s="57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5.75" customHeight="1" x14ac:dyDescent="0.3">
      <c r="A50" s="72">
        <v>2220052</v>
      </c>
      <c r="B50" s="73" t="s">
        <v>162</v>
      </c>
      <c r="C50" s="73">
        <v>2710</v>
      </c>
      <c r="D50" s="73">
        <v>2710</v>
      </c>
      <c r="E50" s="74" t="s">
        <v>135</v>
      </c>
      <c r="F50" s="75">
        <v>4</v>
      </c>
      <c r="G50" s="75">
        <v>4</v>
      </c>
      <c r="H50" s="80">
        <v>0</v>
      </c>
      <c r="I50" s="81">
        <v>0</v>
      </c>
      <c r="J50" s="81"/>
      <c r="K50" s="311">
        <v>1</v>
      </c>
      <c r="L50" s="79"/>
      <c r="M50" s="79">
        <f t="shared" si="0"/>
        <v>3</v>
      </c>
      <c r="N50" s="75">
        <f t="shared" si="1"/>
        <v>3</v>
      </c>
      <c r="O50" s="56"/>
      <c r="P50" s="57"/>
      <c r="Q50" s="57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15.75" customHeight="1" x14ac:dyDescent="0.3">
      <c r="A51" s="72">
        <v>2220093</v>
      </c>
      <c r="B51" s="73" t="s">
        <v>163</v>
      </c>
      <c r="C51" s="73">
        <v>1091.99</v>
      </c>
      <c r="D51" s="73">
        <v>1091.99</v>
      </c>
      <c r="E51" s="74" t="s">
        <v>133</v>
      </c>
      <c r="F51" s="75">
        <v>0</v>
      </c>
      <c r="G51" s="75">
        <v>0</v>
      </c>
      <c r="H51" s="80">
        <v>0</v>
      </c>
      <c r="I51" s="81">
        <v>0</v>
      </c>
      <c r="J51" s="81"/>
      <c r="K51" s="83">
        <v>0</v>
      </c>
      <c r="L51" s="79"/>
      <c r="M51" s="79">
        <f t="shared" si="0"/>
        <v>0</v>
      </c>
      <c r="N51" s="75">
        <f t="shared" si="1"/>
        <v>0</v>
      </c>
      <c r="O51" s="56"/>
      <c r="P51" s="57"/>
      <c r="Q51" s="57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5.75" customHeight="1" x14ac:dyDescent="0.3">
      <c r="A52" s="72">
        <v>2220092</v>
      </c>
      <c r="B52" s="73" t="s">
        <v>164</v>
      </c>
      <c r="C52" s="73">
        <v>484.4</v>
      </c>
      <c r="D52" s="73">
        <v>484.4</v>
      </c>
      <c r="E52" s="74" t="s">
        <v>133</v>
      </c>
      <c r="F52" s="75">
        <v>5</v>
      </c>
      <c r="G52" s="75">
        <v>5</v>
      </c>
      <c r="H52" s="80">
        <v>0</v>
      </c>
      <c r="I52" s="81">
        <v>0</v>
      </c>
      <c r="J52" s="81"/>
      <c r="K52" s="83">
        <v>0</v>
      </c>
      <c r="L52" s="79"/>
      <c r="M52" s="79">
        <f t="shared" si="0"/>
        <v>5</v>
      </c>
      <c r="N52" s="75">
        <f t="shared" si="1"/>
        <v>5</v>
      </c>
      <c r="O52" s="56"/>
      <c r="P52" s="57"/>
      <c r="Q52" s="57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5.75" customHeight="1" x14ac:dyDescent="0.3">
      <c r="A53" s="92">
        <v>2220144</v>
      </c>
      <c r="B53" s="93" t="s">
        <v>165</v>
      </c>
      <c r="C53" s="93">
        <v>631.04</v>
      </c>
      <c r="D53" s="93">
        <v>631.04</v>
      </c>
      <c r="E53" s="94" t="s">
        <v>133</v>
      </c>
      <c r="F53" s="95">
        <v>0</v>
      </c>
      <c r="G53" s="95">
        <v>0</v>
      </c>
      <c r="H53" s="80">
        <v>0</v>
      </c>
      <c r="I53" s="81">
        <v>0</v>
      </c>
      <c r="J53" s="96"/>
      <c r="K53" s="83">
        <v>0</v>
      </c>
      <c r="L53" s="97"/>
      <c r="M53" s="79">
        <f t="shared" si="0"/>
        <v>0</v>
      </c>
      <c r="N53" s="75">
        <f t="shared" si="1"/>
        <v>0</v>
      </c>
      <c r="O53" s="56"/>
      <c r="P53" s="57"/>
      <c r="Q53" s="57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5.75" customHeight="1" x14ac:dyDescent="0.3">
      <c r="A54" s="72">
        <v>2220016</v>
      </c>
      <c r="B54" s="73" t="s">
        <v>26</v>
      </c>
      <c r="C54" s="73">
        <v>26.1</v>
      </c>
      <c r="D54" s="73">
        <v>26.1</v>
      </c>
      <c r="E54" s="74" t="s">
        <v>133</v>
      </c>
      <c r="F54" s="75">
        <v>19</v>
      </c>
      <c r="G54" s="75">
        <v>145</v>
      </c>
      <c r="H54" s="80">
        <v>1072</v>
      </c>
      <c r="I54" s="81">
        <v>1074</v>
      </c>
      <c r="J54" s="81"/>
      <c r="K54" s="311">
        <v>1175</v>
      </c>
      <c r="L54" s="79"/>
      <c r="M54" s="79">
        <f t="shared" si="0"/>
        <v>-84</v>
      </c>
      <c r="N54" s="75">
        <f t="shared" si="1"/>
        <v>44</v>
      </c>
      <c r="O54" s="56"/>
      <c r="P54" s="57"/>
      <c r="Q54" s="57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5.75" customHeight="1" x14ac:dyDescent="0.3">
      <c r="A55" s="72">
        <v>2220131</v>
      </c>
      <c r="B55" s="73" t="s">
        <v>166</v>
      </c>
      <c r="C55" s="73">
        <v>78.2</v>
      </c>
      <c r="D55" s="73">
        <v>78.2</v>
      </c>
      <c r="E55" s="74" t="s">
        <v>137</v>
      </c>
      <c r="F55" s="75">
        <v>-5.75</v>
      </c>
      <c r="G55" s="75">
        <v>2.5500000000000007</v>
      </c>
      <c r="H55" s="80">
        <v>24</v>
      </c>
      <c r="I55" s="81">
        <v>24.7</v>
      </c>
      <c r="J55" s="81"/>
      <c r="K55" s="311">
        <v>26.85</v>
      </c>
      <c r="L55" s="79"/>
      <c r="M55" s="79">
        <f t="shared" si="0"/>
        <v>-8.6000000000000014</v>
      </c>
      <c r="N55" s="75">
        <f t="shared" si="1"/>
        <v>0.39999999999999858</v>
      </c>
      <c r="O55" s="56"/>
      <c r="P55" s="57"/>
      <c r="Q55" s="57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5" customHeight="1" x14ac:dyDescent="0.3">
      <c r="A56" s="72">
        <v>2220086</v>
      </c>
      <c r="B56" s="73" t="s">
        <v>167</v>
      </c>
      <c r="C56" s="73">
        <v>440</v>
      </c>
      <c r="D56" s="73">
        <v>440</v>
      </c>
      <c r="E56" s="74" t="s">
        <v>133</v>
      </c>
      <c r="F56" s="75">
        <v>0</v>
      </c>
      <c r="G56" s="75">
        <v>0</v>
      </c>
      <c r="H56" s="80">
        <v>0</v>
      </c>
      <c r="I56" s="81">
        <v>0</v>
      </c>
      <c r="J56" s="81"/>
      <c r="K56" s="83">
        <v>0</v>
      </c>
      <c r="L56" s="79"/>
      <c r="M56" s="79">
        <f t="shared" si="0"/>
        <v>0</v>
      </c>
      <c r="N56" s="75">
        <f t="shared" si="1"/>
        <v>0</v>
      </c>
      <c r="O56" s="56"/>
      <c r="P56" s="57"/>
      <c r="Q56" s="57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5.75" customHeight="1" x14ac:dyDescent="0.3">
      <c r="A57" s="72">
        <v>2220017</v>
      </c>
      <c r="B57" s="73" t="s">
        <v>74</v>
      </c>
      <c r="C57" s="73">
        <v>135.4</v>
      </c>
      <c r="D57" s="73">
        <v>135.4</v>
      </c>
      <c r="E57" s="74" t="s">
        <v>137</v>
      </c>
      <c r="F57" s="75">
        <v>-26.060000000000059</v>
      </c>
      <c r="G57" s="75">
        <v>0</v>
      </c>
      <c r="H57" s="84">
        <v>452</v>
      </c>
      <c r="I57" s="85">
        <v>467.1</v>
      </c>
      <c r="J57" s="81"/>
      <c r="K57" s="313">
        <v>481.07</v>
      </c>
      <c r="L57" s="79"/>
      <c r="M57" s="79">
        <f t="shared" si="0"/>
        <v>-55.130000000000052</v>
      </c>
      <c r="N57" s="75">
        <f t="shared" si="1"/>
        <v>-13.96999999999997</v>
      </c>
      <c r="O57" s="56"/>
      <c r="P57" s="57"/>
      <c r="Q57" s="57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5.75" customHeight="1" x14ac:dyDescent="0.3">
      <c r="A58" s="72">
        <v>2220062</v>
      </c>
      <c r="B58" s="73" t="s">
        <v>168</v>
      </c>
      <c r="C58" s="73">
        <v>850</v>
      </c>
      <c r="D58" s="73">
        <v>850</v>
      </c>
      <c r="E58" s="74" t="s">
        <v>135</v>
      </c>
      <c r="F58" s="75">
        <v>0</v>
      </c>
      <c r="G58" s="75">
        <v>0</v>
      </c>
      <c r="H58" s="84">
        <v>0</v>
      </c>
      <c r="I58" s="85">
        <v>0</v>
      </c>
      <c r="J58" s="81"/>
      <c r="K58" s="86">
        <v>0</v>
      </c>
      <c r="L58" s="79"/>
      <c r="M58" s="79">
        <f t="shared" si="0"/>
        <v>0</v>
      </c>
      <c r="N58" s="75">
        <f t="shared" si="1"/>
        <v>0</v>
      </c>
      <c r="O58" s="56"/>
      <c r="P58" s="57"/>
      <c r="Q58" s="57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5.75" customHeight="1" x14ac:dyDescent="0.3">
      <c r="A59" s="72">
        <v>2220082</v>
      </c>
      <c r="B59" s="73" t="s">
        <v>169</v>
      </c>
      <c r="C59" s="73">
        <v>376.36</v>
      </c>
      <c r="D59" s="73">
        <v>376.36</v>
      </c>
      <c r="E59" s="74" t="s">
        <v>135</v>
      </c>
      <c r="F59" s="75">
        <v>2</v>
      </c>
      <c r="G59" s="75">
        <v>2</v>
      </c>
      <c r="H59" s="84">
        <v>0</v>
      </c>
      <c r="I59" s="85">
        <v>0</v>
      </c>
      <c r="J59" s="81"/>
      <c r="K59" s="86">
        <v>0</v>
      </c>
      <c r="L59" s="79"/>
      <c r="M59" s="79">
        <f t="shared" si="0"/>
        <v>2</v>
      </c>
      <c r="N59" s="75">
        <f t="shared" si="1"/>
        <v>2</v>
      </c>
      <c r="O59" s="56"/>
      <c r="P59" s="57"/>
      <c r="Q59" s="57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5.75" customHeight="1" x14ac:dyDescent="0.3">
      <c r="A60" s="72">
        <v>2220061</v>
      </c>
      <c r="B60" s="73" t="s">
        <v>170</v>
      </c>
      <c r="C60" s="73">
        <v>2500</v>
      </c>
      <c r="D60" s="73">
        <v>2500</v>
      </c>
      <c r="E60" s="74" t="s">
        <v>135</v>
      </c>
      <c r="F60" s="75">
        <v>0</v>
      </c>
      <c r="G60" s="75">
        <v>0</v>
      </c>
      <c r="H60" s="84">
        <v>0</v>
      </c>
      <c r="I60" s="85">
        <v>0</v>
      </c>
      <c r="J60" s="81"/>
      <c r="K60" s="86">
        <v>0</v>
      </c>
      <c r="L60" s="79"/>
      <c r="M60" s="79">
        <f t="shared" si="0"/>
        <v>0</v>
      </c>
      <c r="N60" s="75">
        <f t="shared" si="1"/>
        <v>0</v>
      </c>
      <c r="O60" s="56"/>
      <c r="P60" s="57"/>
      <c r="Q60" s="57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5.75" customHeight="1" x14ac:dyDescent="0.3">
      <c r="A61" s="72">
        <v>2220051</v>
      </c>
      <c r="B61" s="73" t="s">
        <v>171</v>
      </c>
      <c r="C61" s="73">
        <v>2840</v>
      </c>
      <c r="D61" s="73">
        <v>2840</v>
      </c>
      <c r="E61" s="74" t="s">
        <v>135</v>
      </c>
      <c r="F61" s="75">
        <v>4</v>
      </c>
      <c r="G61" s="75">
        <v>4</v>
      </c>
      <c r="H61" s="84">
        <v>0</v>
      </c>
      <c r="I61" s="85">
        <v>0</v>
      </c>
      <c r="J61" s="81"/>
      <c r="K61" s="313">
        <v>1</v>
      </c>
      <c r="L61" s="79"/>
      <c r="M61" s="79">
        <f t="shared" si="0"/>
        <v>3</v>
      </c>
      <c r="N61" s="75">
        <f t="shared" si="1"/>
        <v>3</v>
      </c>
      <c r="O61" s="56"/>
      <c r="P61" s="57"/>
      <c r="Q61" s="57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5.75" customHeight="1" x14ac:dyDescent="0.3">
      <c r="A62" s="72">
        <v>2220064</v>
      </c>
      <c r="B62" s="73" t="s">
        <v>172</v>
      </c>
      <c r="C62" s="73">
        <v>2370</v>
      </c>
      <c r="D62" s="73">
        <v>2370</v>
      </c>
      <c r="E62" s="74" t="s">
        <v>135</v>
      </c>
      <c r="F62" s="75">
        <v>3</v>
      </c>
      <c r="G62" s="75">
        <v>3</v>
      </c>
      <c r="H62" s="84">
        <v>0</v>
      </c>
      <c r="I62" s="85">
        <v>0</v>
      </c>
      <c r="J62" s="81"/>
      <c r="K62" s="86">
        <v>0</v>
      </c>
      <c r="L62" s="79"/>
      <c r="M62" s="79">
        <f t="shared" si="0"/>
        <v>3</v>
      </c>
      <c r="N62" s="75">
        <f t="shared" si="1"/>
        <v>3</v>
      </c>
      <c r="O62" s="56"/>
      <c r="P62" s="57"/>
      <c r="Q62" s="57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5" customHeight="1" x14ac:dyDescent="0.3">
      <c r="A63" s="72">
        <v>2220063</v>
      </c>
      <c r="B63" s="73" t="s">
        <v>173</v>
      </c>
      <c r="C63" s="73">
        <v>2720</v>
      </c>
      <c r="D63" s="73">
        <v>2720</v>
      </c>
      <c r="E63" s="74" t="s">
        <v>135</v>
      </c>
      <c r="F63" s="75">
        <v>0</v>
      </c>
      <c r="G63" s="75">
        <v>0</v>
      </c>
      <c r="H63" s="84">
        <v>0</v>
      </c>
      <c r="I63" s="85">
        <v>0</v>
      </c>
      <c r="J63" s="81"/>
      <c r="K63" s="83">
        <v>0</v>
      </c>
      <c r="L63" s="79"/>
      <c r="M63" s="79">
        <f t="shared" si="0"/>
        <v>0</v>
      </c>
      <c r="N63" s="75">
        <f t="shared" si="1"/>
        <v>0</v>
      </c>
      <c r="O63" s="56"/>
      <c r="P63" s="57"/>
      <c r="Q63" s="57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5" customHeight="1" x14ac:dyDescent="0.3">
      <c r="A64" s="72">
        <v>2220018</v>
      </c>
      <c r="B64" s="73" t="s">
        <v>28</v>
      </c>
      <c r="C64" s="73">
        <v>44.8</v>
      </c>
      <c r="D64" s="73">
        <v>44.8</v>
      </c>
      <c r="E64" s="74" t="s">
        <v>137</v>
      </c>
      <c r="F64" s="75">
        <v>-14.220000000000027</v>
      </c>
      <c r="G64" s="75">
        <v>14.900000000000006</v>
      </c>
      <c r="H64" s="84">
        <v>156</v>
      </c>
      <c r="I64" s="85">
        <v>157.44999999999999</v>
      </c>
      <c r="J64" s="81"/>
      <c r="K64" s="311">
        <v>173.25</v>
      </c>
      <c r="L64" s="79"/>
      <c r="M64" s="79">
        <f t="shared" si="0"/>
        <v>-31.470000000000027</v>
      </c>
      <c r="N64" s="75">
        <f t="shared" si="1"/>
        <v>-0.90000000000000568</v>
      </c>
      <c r="O64" s="56"/>
      <c r="P64" s="57"/>
      <c r="Q64" s="57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5" customHeight="1" x14ac:dyDescent="0.3">
      <c r="A65" s="72">
        <v>2220037</v>
      </c>
      <c r="B65" s="73" t="s">
        <v>174</v>
      </c>
      <c r="C65" s="73">
        <v>302.10000000000002</v>
      </c>
      <c r="D65" s="73">
        <v>302.10000000000002</v>
      </c>
      <c r="E65" s="74" t="s">
        <v>175</v>
      </c>
      <c r="F65" s="75">
        <v>24</v>
      </c>
      <c r="G65" s="75">
        <v>26</v>
      </c>
      <c r="H65" s="80">
        <v>20</v>
      </c>
      <c r="I65" s="81">
        <v>20</v>
      </c>
      <c r="J65" s="81"/>
      <c r="K65" s="311">
        <v>12</v>
      </c>
      <c r="L65" s="79"/>
      <c r="M65" s="79">
        <f t="shared" si="0"/>
        <v>32</v>
      </c>
      <c r="N65" s="75">
        <f t="shared" si="1"/>
        <v>34</v>
      </c>
      <c r="O65" s="56"/>
      <c r="P65" s="57"/>
      <c r="Q65" s="57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5" customHeight="1" x14ac:dyDescent="0.3">
      <c r="A66" s="72">
        <v>2220060</v>
      </c>
      <c r="B66" s="73" t="s">
        <v>176</v>
      </c>
      <c r="C66" s="73">
        <v>1610</v>
      </c>
      <c r="D66" s="73">
        <v>1610</v>
      </c>
      <c r="E66" s="74" t="s">
        <v>135</v>
      </c>
      <c r="F66" s="75">
        <v>1</v>
      </c>
      <c r="G66" s="75">
        <v>1</v>
      </c>
      <c r="H66" s="80">
        <v>0</v>
      </c>
      <c r="I66" s="81">
        <v>0</v>
      </c>
      <c r="J66" s="81"/>
      <c r="K66" s="83">
        <v>0</v>
      </c>
      <c r="L66" s="79"/>
      <c r="M66" s="79">
        <f t="shared" si="0"/>
        <v>1</v>
      </c>
      <c r="N66" s="75">
        <f t="shared" si="1"/>
        <v>1</v>
      </c>
      <c r="O66" s="56"/>
      <c r="P66" s="57"/>
      <c r="Q66" s="57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5" customHeight="1" x14ac:dyDescent="0.3">
      <c r="A67" s="72">
        <v>2220019</v>
      </c>
      <c r="B67" s="73" t="s">
        <v>29</v>
      </c>
      <c r="C67" s="73">
        <v>36.5</v>
      </c>
      <c r="D67" s="73">
        <v>36.5</v>
      </c>
      <c r="E67" s="74" t="s">
        <v>137</v>
      </c>
      <c r="F67" s="75">
        <v>-9.9000000000000057</v>
      </c>
      <c r="G67" s="75">
        <v>17.449999999999989</v>
      </c>
      <c r="H67" s="80">
        <v>168</v>
      </c>
      <c r="I67" s="81">
        <v>168.4</v>
      </c>
      <c r="J67" s="81"/>
      <c r="K67" s="311">
        <v>179.9</v>
      </c>
      <c r="L67" s="79"/>
      <c r="M67" s="79">
        <f t="shared" si="0"/>
        <v>-21.800000000000011</v>
      </c>
      <c r="N67" s="75">
        <f t="shared" si="1"/>
        <v>5.9499999999999886</v>
      </c>
      <c r="O67" s="56"/>
      <c r="P67" s="57"/>
      <c r="Q67" s="57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5.75" customHeight="1" x14ac:dyDescent="0.3">
      <c r="A68" s="72">
        <v>2220032</v>
      </c>
      <c r="B68" s="73" t="s">
        <v>177</v>
      </c>
      <c r="C68" s="73">
        <v>93.8</v>
      </c>
      <c r="D68" s="73">
        <v>93.8</v>
      </c>
      <c r="E68" s="74" t="s">
        <v>133</v>
      </c>
      <c r="F68" s="75">
        <v>16</v>
      </c>
      <c r="G68" s="75">
        <v>16</v>
      </c>
      <c r="H68" s="80">
        <v>9</v>
      </c>
      <c r="I68" s="81">
        <v>9</v>
      </c>
      <c r="J68" s="81"/>
      <c r="K68" s="311">
        <v>3</v>
      </c>
      <c r="L68" s="79"/>
      <c r="M68" s="79">
        <f t="shared" si="0"/>
        <v>22</v>
      </c>
      <c r="N68" s="75">
        <f t="shared" si="1"/>
        <v>22</v>
      </c>
      <c r="O68" s="56"/>
      <c r="P68" s="57"/>
      <c r="Q68" s="57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5.75" customHeight="1" x14ac:dyDescent="0.3">
      <c r="A69" s="72">
        <v>2220020</v>
      </c>
      <c r="B69" s="73" t="s">
        <v>30</v>
      </c>
      <c r="C69" s="73">
        <v>75</v>
      </c>
      <c r="D69" s="73">
        <v>75</v>
      </c>
      <c r="E69" s="74" t="s">
        <v>137</v>
      </c>
      <c r="F69" s="75">
        <v>1.0999999999999979</v>
      </c>
      <c r="G69" s="75">
        <v>1.7499999999999964</v>
      </c>
      <c r="H69" s="80">
        <v>14.8</v>
      </c>
      <c r="I69" s="81">
        <v>15.5</v>
      </c>
      <c r="J69" s="81"/>
      <c r="K69" s="311">
        <v>15.904999999999999</v>
      </c>
      <c r="L69" s="79"/>
      <c r="M69" s="79">
        <f t="shared" si="0"/>
        <v>-5.0000000000007816E-3</v>
      </c>
      <c r="N69" s="75">
        <f t="shared" si="1"/>
        <v>1.3449999999999971</v>
      </c>
      <c r="O69" s="56"/>
      <c r="P69" s="57"/>
      <c r="Q69" s="57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30" x14ac:dyDescent="0.3">
      <c r="A70" s="72">
        <v>2220055</v>
      </c>
      <c r="B70" s="73" t="s">
        <v>178</v>
      </c>
      <c r="C70" s="73">
        <v>1120</v>
      </c>
      <c r="D70" s="73">
        <v>1120</v>
      </c>
      <c r="E70" s="74" t="s">
        <v>135</v>
      </c>
      <c r="F70" s="75">
        <v>5</v>
      </c>
      <c r="G70" s="75">
        <v>5</v>
      </c>
      <c r="H70" s="80">
        <v>1</v>
      </c>
      <c r="I70" s="81">
        <v>1</v>
      </c>
      <c r="J70" s="81"/>
      <c r="K70" s="311">
        <v>3</v>
      </c>
      <c r="L70" s="79"/>
      <c r="M70" s="79">
        <f t="shared" si="0"/>
        <v>3</v>
      </c>
      <c r="N70" s="75">
        <f t="shared" si="1"/>
        <v>3</v>
      </c>
      <c r="O70" s="56"/>
      <c r="P70" s="57"/>
      <c r="Q70" s="57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5.75" customHeight="1" x14ac:dyDescent="0.3">
      <c r="A71" s="92">
        <v>2220067</v>
      </c>
      <c r="B71" s="73" t="s">
        <v>179</v>
      </c>
      <c r="C71" s="73">
        <v>565.5</v>
      </c>
      <c r="D71" s="73">
        <v>565.5</v>
      </c>
      <c r="E71" s="74" t="s">
        <v>133</v>
      </c>
      <c r="F71" s="75">
        <v>5</v>
      </c>
      <c r="G71" s="75">
        <v>5</v>
      </c>
      <c r="H71" s="80">
        <v>0</v>
      </c>
      <c r="I71" s="81">
        <v>0</v>
      </c>
      <c r="J71" s="81"/>
      <c r="K71" s="311">
        <v>2</v>
      </c>
      <c r="L71" s="79"/>
      <c r="M71" s="79">
        <f t="shared" si="0"/>
        <v>3</v>
      </c>
      <c r="N71" s="75">
        <f t="shared" si="1"/>
        <v>3</v>
      </c>
      <c r="O71" s="56"/>
      <c r="P71" s="57"/>
      <c r="Q71" s="57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5.75" customHeight="1" x14ac:dyDescent="0.3">
      <c r="A72" s="92">
        <v>2220073</v>
      </c>
      <c r="B72" s="73" t="s">
        <v>180</v>
      </c>
      <c r="C72" s="73">
        <v>306.82</v>
      </c>
      <c r="D72" s="73">
        <v>306.82</v>
      </c>
      <c r="E72" s="74" t="s">
        <v>133</v>
      </c>
      <c r="F72" s="75">
        <v>5</v>
      </c>
      <c r="G72" s="75">
        <v>5</v>
      </c>
      <c r="H72" s="84">
        <v>0</v>
      </c>
      <c r="I72" s="85">
        <v>0</v>
      </c>
      <c r="J72" s="85"/>
      <c r="K72" s="86">
        <v>0</v>
      </c>
      <c r="L72" s="79"/>
      <c r="M72" s="79">
        <f t="shared" si="0"/>
        <v>5</v>
      </c>
      <c r="N72" s="75">
        <f t="shared" si="1"/>
        <v>5</v>
      </c>
      <c r="O72" s="56"/>
      <c r="P72" s="57"/>
      <c r="Q72" s="57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5.75" customHeight="1" x14ac:dyDescent="0.3">
      <c r="A73" s="92">
        <v>2220141</v>
      </c>
      <c r="B73" s="73" t="s">
        <v>181</v>
      </c>
      <c r="C73" s="73">
        <v>700</v>
      </c>
      <c r="D73" s="73">
        <v>700</v>
      </c>
      <c r="E73" s="74" t="s">
        <v>135</v>
      </c>
      <c r="F73" s="75">
        <v>-1</v>
      </c>
      <c r="G73" s="75">
        <v>6</v>
      </c>
      <c r="H73" s="84">
        <v>25</v>
      </c>
      <c r="I73" s="85">
        <v>25</v>
      </c>
      <c r="J73" s="85"/>
      <c r="K73" s="313">
        <v>25</v>
      </c>
      <c r="L73" s="88"/>
      <c r="M73" s="79">
        <f t="shared" ref="M73:M115" si="2">F73+H73-K73</f>
        <v>-1</v>
      </c>
      <c r="N73" s="75">
        <f t="shared" ref="N73:N115" si="3">G73+I73-K73</f>
        <v>6</v>
      </c>
      <c r="O73" s="56"/>
      <c r="P73" s="57"/>
      <c r="Q73" s="57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5.75" customHeight="1" x14ac:dyDescent="0.3">
      <c r="A74" s="92">
        <v>2220056</v>
      </c>
      <c r="B74" s="73" t="s">
        <v>182</v>
      </c>
      <c r="C74" s="73">
        <v>800</v>
      </c>
      <c r="D74" s="73">
        <v>800</v>
      </c>
      <c r="E74" s="74" t="s">
        <v>135</v>
      </c>
      <c r="F74" s="75">
        <v>0</v>
      </c>
      <c r="G74" s="75">
        <v>0</v>
      </c>
      <c r="H74" s="84">
        <v>0</v>
      </c>
      <c r="I74" s="85">
        <v>0</v>
      </c>
      <c r="J74" s="85"/>
      <c r="K74" s="86">
        <v>0</v>
      </c>
      <c r="L74" s="88"/>
      <c r="M74" s="79">
        <f t="shared" si="2"/>
        <v>0</v>
      </c>
      <c r="N74" s="75">
        <f t="shared" si="3"/>
        <v>0</v>
      </c>
      <c r="O74" s="56"/>
      <c r="P74" s="57"/>
      <c r="Q74" s="57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27.75" customHeight="1" x14ac:dyDescent="0.3">
      <c r="A75" s="92">
        <v>2220142</v>
      </c>
      <c r="B75" s="73" t="s">
        <v>183</v>
      </c>
      <c r="C75" s="73">
        <v>650</v>
      </c>
      <c r="D75" s="73">
        <v>650</v>
      </c>
      <c r="E75" s="74" t="s">
        <v>135</v>
      </c>
      <c r="F75" s="75">
        <v>0</v>
      </c>
      <c r="G75" s="75">
        <v>0</v>
      </c>
      <c r="H75" s="84">
        <v>0</v>
      </c>
      <c r="I75" s="85">
        <v>0</v>
      </c>
      <c r="J75" s="85"/>
      <c r="K75" s="86">
        <v>0</v>
      </c>
      <c r="L75" s="88"/>
      <c r="M75" s="79">
        <f t="shared" si="2"/>
        <v>0</v>
      </c>
      <c r="N75" s="75">
        <f t="shared" si="3"/>
        <v>0</v>
      </c>
      <c r="O75" s="56"/>
      <c r="P75" s="57"/>
      <c r="Q75" s="57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5.75" customHeight="1" x14ac:dyDescent="0.3">
      <c r="A76" s="92">
        <v>2220075</v>
      </c>
      <c r="B76" s="73" t="s">
        <v>184</v>
      </c>
      <c r="C76" s="73">
        <v>698.4</v>
      </c>
      <c r="D76" s="73">
        <v>698.4</v>
      </c>
      <c r="E76" s="74" t="s">
        <v>135</v>
      </c>
      <c r="F76" s="75">
        <v>0</v>
      </c>
      <c r="G76" s="75">
        <v>0</v>
      </c>
      <c r="H76" s="80">
        <v>0</v>
      </c>
      <c r="I76" s="81">
        <v>0</v>
      </c>
      <c r="J76" s="81"/>
      <c r="K76" s="83">
        <v>0</v>
      </c>
      <c r="L76" s="79"/>
      <c r="M76" s="79">
        <f t="shared" si="2"/>
        <v>0</v>
      </c>
      <c r="N76" s="75">
        <f t="shared" si="3"/>
        <v>0</v>
      </c>
      <c r="O76" s="56"/>
      <c r="P76" s="57"/>
      <c r="Q76" s="57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5.75" customHeight="1" x14ac:dyDescent="0.3">
      <c r="A77" s="92">
        <v>2220034</v>
      </c>
      <c r="B77" s="73" t="s">
        <v>185</v>
      </c>
      <c r="C77" s="73">
        <v>62.5</v>
      </c>
      <c r="D77" s="73">
        <v>62.5</v>
      </c>
      <c r="E77" s="74" t="s">
        <v>133</v>
      </c>
      <c r="F77" s="75">
        <v>9</v>
      </c>
      <c r="G77" s="75">
        <v>9</v>
      </c>
      <c r="H77" s="80">
        <v>28</v>
      </c>
      <c r="I77" s="81">
        <v>28</v>
      </c>
      <c r="J77" s="81"/>
      <c r="K77" s="311">
        <v>30</v>
      </c>
      <c r="L77" s="79"/>
      <c r="M77" s="79">
        <f t="shared" si="2"/>
        <v>7</v>
      </c>
      <c r="N77" s="75">
        <f t="shared" si="3"/>
        <v>7</v>
      </c>
      <c r="O77" s="56"/>
      <c r="P77" s="57"/>
      <c r="Q77" s="57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5.75" customHeight="1" x14ac:dyDescent="0.3">
      <c r="A78" s="92">
        <v>2220033</v>
      </c>
      <c r="B78" s="73" t="s">
        <v>186</v>
      </c>
      <c r="C78" s="73">
        <v>72.400000000000006</v>
      </c>
      <c r="D78" s="73">
        <v>72.400000000000006</v>
      </c>
      <c r="E78" s="74" t="s">
        <v>133</v>
      </c>
      <c r="F78" s="75">
        <v>4</v>
      </c>
      <c r="G78" s="75">
        <v>6</v>
      </c>
      <c r="H78" s="80">
        <v>28</v>
      </c>
      <c r="I78" s="81">
        <v>28</v>
      </c>
      <c r="J78" s="81"/>
      <c r="K78" s="311">
        <v>30</v>
      </c>
      <c r="L78" s="79"/>
      <c r="M78" s="79">
        <f t="shared" si="2"/>
        <v>2</v>
      </c>
      <c r="N78" s="75">
        <f t="shared" si="3"/>
        <v>4</v>
      </c>
      <c r="O78" s="56"/>
      <c r="P78" s="57"/>
      <c r="Q78" s="57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31.5" customHeight="1" x14ac:dyDescent="0.3">
      <c r="A79" s="92">
        <v>2220021</v>
      </c>
      <c r="B79" s="73" t="s">
        <v>31</v>
      </c>
      <c r="C79" s="73">
        <v>41.2</v>
      </c>
      <c r="D79" s="73">
        <v>41.2</v>
      </c>
      <c r="E79" s="74" t="s">
        <v>137</v>
      </c>
      <c r="F79" s="75">
        <v>-10.040000000000035</v>
      </c>
      <c r="G79" s="75">
        <v>11.649999999999991</v>
      </c>
      <c r="H79" s="80">
        <v>118</v>
      </c>
      <c r="I79" s="81">
        <v>116.15</v>
      </c>
      <c r="J79" s="81"/>
      <c r="K79" s="311">
        <v>123.8</v>
      </c>
      <c r="L79" s="79"/>
      <c r="M79" s="79">
        <f t="shared" si="2"/>
        <v>-15.840000000000032</v>
      </c>
      <c r="N79" s="75">
        <f t="shared" si="3"/>
        <v>4</v>
      </c>
      <c r="O79" s="56"/>
      <c r="P79" s="57"/>
      <c r="Q79" s="57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5.75" customHeight="1" x14ac:dyDescent="0.3">
      <c r="A80" s="98">
        <v>2220147</v>
      </c>
      <c r="B80" s="99" t="s">
        <v>187</v>
      </c>
      <c r="C80" s="99">
        <v>12</v>
      </c>
      <c r="D80" s="99">
        <v>12</v>
      </c>
      <c r="E80" s="100" t="s">
        <v>133</v>
      </c>
      <c r="F80" s="101">
        <v>0</v>
      </c>
      <c r="G80" s="102">
        <v>0</v>
      </c>
      <c r="H80" s="103">
        <v>0</v>
      </c>
      <c r="I80" s="104">
        <v>0</v>
      </c>
      <c r="J80" s="104"/>
      <c r="K80" s="83">
        <v>0</v>
      </c>
      <c r="L80" s="105"/>
      <c r="M80" s="79">
        <f t="shared" si="2"/>
        <v>0</v>
      </c>
      <c r="N80" s="75">
        <f t="shared" si="3"/>
        <v>0</v>
      </c>
      <c r="O80" s="56"/>
      <c r="P80" s="57"/>
      <c r="Q80" s="57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5.75" customHeight="1" x14ac:dyDescent="0.3">
      <c r="A81" s="92">
        <v>2220022</v>
      </c>
      <c r="B81" s="73" t="s">
        <v>78</v>
      </c>
      <c r="C81" s="73">
        <v>140.69999999999999</v>
      </c>
      <c r="D81" s="73">
        <v>140.69999999999999</v>
      </c>
      <c r="E81" s="74" t="s">
        <v>137</v>
      </c>
      <c r="F81" s="75">
        <v>-1.3100000000000023</v>
      </c>
      <c r="G81" s="75">
        <v>-0.60000000000000142</v>
      </c>
      <c r="H81" s="80">
        <v>16</v>
      </c>
      <c r="I81" s="81">
        <v>16.149999999999999</v>
      </c>
      <c r="J81" s="81"/>
      <c r="K81" s="311">
        <v>16.100000000000001</v>
      </c>
      <c r="L81" s="79"/>
      <c r="M81" s="79">
        <f t="shared" si="2"/>
        <v>-1.4100000000000037</v>
      </c>
      <c r="N81" s="75">
        <f t="shared" si="3"/>
        <v>-0.55000000000000426</v>
      </c>
      <c r="O81" s="56"/>
      <c r="P81" s="57"/>
      <c r="Q81" s="57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5.75" customHeight="1" x14ac:dyDescent="0.3">
      <c r="A82" s="92">
        <v>2220023</v>
      </c>
      <c r="B82" s="73" t="s">
        <v>32</v>
      </c>
      <c r="C82" s="73">
        <v>18.2</v>
      </c>
      <c r="D82" s="73">
        <v>18.2</v>
      </c>
      <c r="E82" s="74" t="s">
        <v>131</v>
      </c>
      <c r="F82" s="75">
        <v>1</v>
      </c>
      <c r="G82" s="75">
        <v>3</v>
      </c>
      <c r="H82" s="80">
        <v>28</v>
      </c>
      <c r="I82" s="81">
        <v>29</v>
      </c>
      <c r="J82" s="81"/>
      <c r="K82" s="311">
        <v>31</v>
      </c>
      <c r="L82" s="79"/>
      <c r="M82" s="79">
        <f t="shared" si="2"/>
        <v>-2</v>
      </c>
      <c r="N82" s="75">
        <f t="shared" si="3"/>
        <v>1</v>
      </c>
      <c r="O82" s="56"/>
      <c r="P82" s="57"/>
      <c r="Q82" s="57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5.75" customHeight="1" x14ac:dyDescent="0.3">
      <c r="A83" s="92">
        <v>2220024</v>
      </c>
      <c r="B83" s="73" t="s">
        <v>33</v>
      </c>
      <c r="C83" s="73">
        <v>31.3</v>
      </c>
      <c r="D83" s="73">
        <v>31.3</v>
      </c>
      <c r="E83" s="74" t="s">
        <v>137</v>
      </c>
      <c r="F83" s="75">
        <v>31.009999999999991</v>
      </c>
      <c r="G83" s="75">
        <v>23</v>
      </c>
      <c r="H83" s="80">
        <v>224</v>
      </c>
      <c r="I83" s="81">
        <v>212.85</v>
      </c>
      <c r="J83" s="81"/>
      <c r="K83" s="311">
        <v>228.8</v>
      </c>
      <c r="L83" s="79"/>
      <c r="M83" s="79">
        <f t="shared" si="2"/>
        <v>26.20999999999998</v>
      </c>
      <c r="N83" s="75">
        <f t="shared" si="3"/>
        <v>7.0499999999999829</v>
      </c>
      <c r="O83" s="56"/>
      <c r="P83" s="57"/>
      <c r="Q83" s="57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30" x14ac:dyDescent="0.3">
      <c r="A84" s="92">
        <v>2220074</v>
      </c>
      <c r="B84" s="73" t="s">
        <v>188</v>
      </c>
      <c r="C84" s="73">
        <v>312.25</v>
      </c>
      <c r="D84" s="73">
        <v>312.25</v>
      </c>
      <c r="E84" s="74" t="s">
        <v>133</v>
      </c>
      <c r="F84" s="75">
        <v>0</v>
      </c>
      <c r="G84" s="75">
        <v>0</v>
      </c>
      <c r="H84" s="80">
        <v>0</v>
      </c>
      <c r="I84" s="81">
        <v>0</v>
      </c>
      <c r="J84" s="81"/>
      <c r="K84" s="86">
        <v>0</v>
      </c>
      <c r="L84" s="79"/>
      <c r="M84" s="79">
        <f t="shared" si="2"/>
        <v>0</v>
      </c>
      <c r="N84" s="75">
        <f t="shared" si="3"/>
        <v>0</v>
      </c>
      <c r="O84" s="56"/>
      <c r="P84" s="57"/>
      <c r="Q84" s="57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5.75" customHeight="1" x14ac:dyDescent="0.3">
      <c r="A85" s="92">
        <v>2220043</v>
      </c>
      <c r="B85" s="73" t="s">
        <v>189</v>
      </c>
      <c r="C85" s="73">
        <v>125</v>
      </c>
      <c r="D85" s="73">
        <v>125</v>
      </c>
      <c r="E85" s="74" t="s">
        <v>137</v>
      </c>
      <c r="F85" s="75">
        <v>-6.1399999999998727</v>
      </c>
      <c r="G85" s="75">
        <v>23.0300000000002</v>
      </c>
      <c r="H85" s="80">
        <v>1470</v>
      </c>
      <c r="I85" s="81">
        <v>1473.95</v>
      </c>
      <c r="J85" s="81"/>
      <c r="K85" s="311">
        <v>1385.86</v>
      </c>
      <c r="L85" s="79"/>
      <c r="M85" s="79">
        <f t="shared" si="2"/>
        <v>78.000000000000227</v>
      </c>
      <c r="N85" s="75">
        <f t="shared" si="3"/>
        <v>111.12000000000035</v>
      </c>
      <c r="O85" s="56"/>
      <c r="P85" s="57"/>
      <c r="Q85" s="57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5.75" customHeight="1" x14ac:dyDescent="0.3">
      <c r="A86" s="92">
        <v>2220083</v>
      </c>
      <c r="B86" s="73" t="s">
        <v>190</v>
      </c>
      <c r="C86" s="73">
        <v>55</v>
      </c>
      <c r="D86" s="73">
        <v>55</v>
      </c>
      <c r="E86" s="74" t="s">
        <v>137</v>
      </c>
      <c r="F86" s="75">
        <v>0</v>
      </c>
      <c r="G86" s="75">
        <v>0</v>
      </c>
      <c r="H86" s="84">
        <v>0</v>
      </c>
      <c r="I86" s="85">
        <v>0</v>
      </c>
      <c r="J86" s="85"/>
      <c r="K86" s="86">
        <v>0</v>
      </c>
      <c r="L86" s="88"/>
      <c r="M86" s="79">
        <f t="shared" si="2"/>
        <v>0</v>
      </c>
      <c r="N86" s="75">
        <f t="shared" si="3"/>
        <v>0</v>
      </c>
      <c r="O86" s="56"/>
      <c r="P86" s="57"/>
      <c r="Q86" s="57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5.75" customHeight="1" x14ac:dyDescent="0.3">
      <c r="A87" s="92">
        <v>2220143</v>
      </c>
      <c r="B87" s="73" t="s">
        <v>191</v>
      </c>
      <c r="C87" s="73">
        <v>590</v>
      </c>
      <c r="D87" s="73">
        <v>590</v>
      </c>
      <c r="E87" s="74" t="s">
        <v>135</v>
      </c>
      <c r="F87" s="75">
        <v>1</v>
      </c>
      <c r="G87" s="75">
        <v>15</v>
      </c>
      <c r="H87" s="84">
        <v>46</v>
      </c>
      <c r="I87" s="85">
        <v>46</v>
      </c>
      <c r="J87" s="85"/>
      <c r="K87" s="313">
        <v>40</v>
      </c>
      <c r="L87" s="88"/>
      <c r="M87" s="79">
        <f t="shared" si="2"/>
        <v>7</v>
      </c>
      <c r="N87" s="75">
        <f t="shared" si="3"/>
        <v>21</v>
      </c>
      <c r="O87" s="56"/>
      <c r="P87" s="57"/>
      <c r="Q87" s="57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5.75" customHeight="1" x14ac:dyDescent="0.3">
      <c r="A88" s="72">
        <v>2220057</v>
      </c>
      <c r="B88" s="73" t="s">
        <v>192</v>
      </c>
      <c r="C88" s="73">
        <v>650</v>
      </c>
      <c r="D88" s="73">
        <v>650</v>
      </c>
      <c r="E88" s="74" t="s">
        <v>135</v>
      </c>
      <c r="F88" s="75">
        <v>0</v>
      </c>
      <c r="G88" s="75">
        <v>0</v>
      </c>
      <c r="H88" s="80">
        <v>0</v>
      </c>
      <c r="I88" s="81">
        <v>0</v>
      </c>
      <c r="J88" s="81"/>
      <c r="K88" s="83">
        <v>0</v>
      </c>
      <c r="L88" s="79"/>
      <c r="M88" s="79">
        <f t="shared" si="2"/>
        <v>0</v>
      </c>
      <c r="N88" s="75">
        <f t="shared" si="3"/>
        <v>0</v>
      </c>
      <c r="O88" s="56"/>
      <c r="P88" s="57"/>
      <c r="Q88" s="57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5" customHeight="1" x14ac:dyDescent="0.3">
      <c r="A89" s="72">
        <v>2220077</v>
      </c>
      <c r="B89" s="73" t="s">
        <v>193</v>
      </c>
      <c r="C89" s="73">
        <v>156.80000000000001</v>
      </c>
      <c r="D89" s="73">
        <v>156.80000000000001</v>
      </c>
      <c r="E89" s="74" t="s">
        <v>133</v>
      </c>
      <c r="F89" s="75">
        <v>1</v>
      </c>
      <c r="G89" s="75">
        <v>1</v>
      </c>
      <c r="H89" s="80">
        <v>0</v>
      </c>
      <c r="I89" s="81">
        <v>0</v>
      </c>
      <c r="J89" s="81"/>
      <c r="K89" s="83">
        <v>0</v>
      </c>
      <c r="L89" s="79"/>
      <c r="M89" s="79">
        <f t="shared" si="2"/>
        <v>1</v>
      </c>
      <c r="N89" s="75">
        <f t="shared" si="3"/>
        <v>1</v>
      </c>
      <c r="O89" s="56"/>
      <c r="P89" s="57"/>
      <c r="Q89" s="57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5.75" customHeight="1" x14ac:dyDescent="0.3">
      <c r="A90" s="72">
        <v>2220058</v>
      </c>
      <c r="B90" s="73" t="s">
        <v>194</v>
      </c>
      <c r="C90" s="73">
        <v>730</v>
      </c>
      <c r="D90" s="73">
        <v>730</v>
      </c>
      <c r="E90" s="74" t="s">
        <v>135</v>
      </c>
      <c r="F90" s="75">
        <v>2</v>
      </c>
      <c r="G90" s="75">
        <v>2</v>
      </c>
      <c r="H90" s="80">
        <v>4</v>
      </c>
      <c r="I90" s="81">
        <v>4</v>
      </c>
      <c r="J90" s="81"/>
      <c r="K90" s="311">
        <v>4</v>
      </c>
      <c r="L90" s="79"/>
      <c r="M90" s="79">
        <f t="shared" si="2"/>
        <v>2</v>
      </c>
      <c r="N90" s="75">
        <f t="shared" si="3"/>
        <v>2</v>
      </c>
      <c r="O90" s="56"/>
      <c r="P90" s="57"/>
      <c r="Q90" s="57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5.75" customHeight="1" x14ac:dyDescent="0.3">
      <c r="A91" s="72">
        <v>2220133</v>
      </c>
      <c r="B91" s="73" t="s">
        <v>195</v>
      </c>
      <c r="C91" s="73">
        <v>215.18</v>
      </c>
      <c r="D91" s="73">
        <v>215.18</v>
      </c>
      <c r="E91" s="74" t="s">
        <v>133</v>
      </c>
      <c r="F91" s="75">
        <v>0</v>
      </c>
      <c r="G91" s="75">
        <v>0</v>
      </c>
      <c r="H91" s="80">
        <v>0</v>
      </c>
      <c r="I91" s="81">
        <v>0</v>
      </c>
      <c r="J91" s="81"/>
      <c r="K91" s="83">
        <v>0</v>
      </c>
      <c r="L91" s="79"/>
      <c r="M91" s="79">
        <f t="shared" si="2"/>
        <v>0</v>
      </c>
      <c r="N91" s="75">
        <f t="shared" si="3"/>
        <v>0</v>
      </c>
      <c r="O91" s="56"/>
      <c r="P91" s="57"/>
      <c r="Q91" s="57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5.75" customHeight="1" x14ac:dyDescent="0.3">
      <c r="A92" s="72">
        <v>2220088</v>
      </c>
      <c r="B92" s="73" t="s">
        <v>196</v>
      </c>
      <c r="C92" s="73">
        <v>160</v>
      </c>
      <c r="D92" s="73">
        <v>160</v>
      </c>
      <c r="E92" s="74" t="s">
        <v>137</v>
      </c>
      <c r="F92" s="75">
        <v>0</v>
      </c>
      <c r="G92" s="75">
        <v>0</v>
      </c>
      <c r="H92" s="80">
        <v>0</v>
      </c>
      <c r="I92" s="81">
        <v>0</v>
      </c>
      <c r="J92" s="81"/>
      <c r="K92" s="83">
        <v>0</v>
      </c>
      <c r="L92" s="79"/>
      <c r="M92" s="79">
        <f t="shared" si="2"/>
        <v>0</v>
      </c>
      <c r="N92" s="75">
        <f t="shared" si="3"/>
        <v>0</v>
      </c>
      <c r="O92" s="56"/>
      <c r="P92" s="57"/>
      <c r="Q92" s="57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5.75" customHeight="1" x14ac:dyDescent="0.3">
      <c r="A93" s="72">
        <v>2220087</v>
      </c>
      <c r="B93" s="73" t="s">
        <v>197</v>
      </c>
      <c r="C93" s="73">
        <v>830</v>
      </c>
      <c r="D93" s="73">
        <v>830</v>
      </c>
      <c r="E93" s="74" t="s">
        <v>133</v>
      </c>
      <c r="F93" s="75">
        <v>0</v>
      </c>
      <c r="G93" s="75">
        <v>0</v>
      </c>
      <c r="H93" s="80">
        <v>0</v>
      </c>
      <c r="I93" s="81">
        <v>0</v>
      </c>
      <c r="J93" s="81"/>
      <c r="K93" s="83">
        <v>0</v>
      </c>
      <c r="L93" s="79"/>
      <c r="M93" s="79">
        <f t="shared" si="2"/>
        <v>0</v>
      </c>
      <c r="N93" s="75">
        <f t="shared" si="3"/>
        <v>0</v>
      </c>
      <c r="O93" s="56"/>
      <c r="P93" s="57"/>
      <c r="Q93" s="57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5.75" customHeight="1" x14ac:dyDescent="0.3">
      <c r="A94" s="72">
        <v>2220132</v>
      </c>
      <c r="B94" s="73" t="s">
        <v>198</v>
      </c>
      <c r="C94" s="73">
        <v>239</v>
      </c>
      <c r="D94" s="73">
        <v>239</v>
      </c>
      <c r="E94" s="74" t="s">
        <v>135</v>
      </c>
      <c r="F94" s="75">
        <v>0</v>
      </c>
      <c r="G94" s="75">
        <v>0</v>
      </c>
      <c r="H94" s="80">
        <v>0</v>
      </c>
      <c r="I94" s="81">
        <v>0</v>
      </c>
      <c r="J94" s="81"/>
      <c r="K94" s="83">
        <v>0</v>
      </c>
      <c r="L94" s="79"/>
      <c r="M94" s="79">
        <f t="shared" si="2"/>
        <v>0</v>
      </c>
      <c r="N94" s="75">
        <f t="shared" si="3"/>
        <v>0</v>
      </c>
      <c r="O94" s="56"/>
      <c r="P94" s="57"/>
      <c r="Q94" s="57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5.75" customHeight="1" x14ac:dyDescent="0.3">
      <c r="A95" s="72"/>
      <c r="B95" s="73" t="s">
        <v>199</v>
      </c>
      <c r="C95" s="73"/>
      <c r="D95" s="73"/>
      <c r="E95" s="74" t="s">
        <v>135</v>
      </c>
      <c r="F95" s="75">
        <v>0</v>
      </c>
      <c r="G95" s="75">
        <v>0</v>
      </c>
      <c r="H95" s="80">
        <v>0</v>
      </c>
      <c r="I95" s="81">
        <v>0</v>
      </c>
      <c r="J95" s="81"/>
      <c r="K95" s="83">
        <v>0</v>
      </c>
      <c r="L95" s="79"/>
      <c r="M95" s="79">
        <f t="shared" si="2"/>
        <v>0</v>
      </c>
      <c r="N95" s="75">
        <f t="shared" si="3"/>
        <v>0</v>
      </c>
      <c r="O95" s="56"/>
      <c r="P95" s="57"/>
      <c r="Q95" s="57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5.75" customHeight="1" x14ac:dyDescent="0.3">
      <c r="A96" s="72">
        <v>2220025</v>
      </c>
      <c r="B96" s="73" t="s">
        <v>34</v>
      </c>
      <c r="C96" s="73">
        <v>19.2</v>
      </c>
      <c r="D96" s="73">
        <v>19.2</v>
      </c>
      <c r="E96" s="74" t="s">
        <v>137</v>
      </c>
      <c r="F96" s="75">
        <v>-36.899999999999977</v>
      </c>
      <c r="G96" s="75">
        <v>39.350000000000023</v>
      </c>
      <c r="H96" s="80">
        <v>384</v>
      </c>
      <c r="I96" s="81">
        <v>397.1</v>
      </c>
      <c r="J96" s="81"/>
      <c r="K96" s="311">
        <v>422.45</v>
      </c>
      <c r="L96" s="79"/>
      <c r="M96" s="79">
        <f t="shared" si="2"/>
        <v>-75.349999999999966</v>
      </c>
      <c r="N96" s="75">
        <f t="shared" si="3"/>
        <v>14.000000000000057</v>
      </c>
      <c r="O96" s="56"/>
      <c r="P96" s="57"/>
      <c r="Q96" s="57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5.75" customHeight="1" x14ac:dyDescent="0.3">
      <c r="A97" s="72">
        <v>2220059</v>
      </c>
      <c r="B97" s="73" t="s">
        <v>200</v>
      </c>
      <c r="C97" s="73">
        <v>1310</v>
      </c>
      <c r="D97" s="73">
        <v>1310</v>
      </c>
      <c r="E97" s="74" t="s">
        <v>135</v>
      </c>
      <c r="F97" s="75">
        <v>3</v>
      </c>
      <c r="G97" s="75">
        <v>3</v>
      </c>
      <c r="H97" s="80">
        <v>1</v>
      </c>
      <c r="I97" s="81">
        <v>1</v>
      </c>
      <c r="J97" s="81"/>
      <c r="K97" s="311">
        <v>3</v>
      </c>
      <c r="L97" s="79"/>
      <c r="M97" s="79">
        <f t="shared" si="2"/>
        <v>1</v>
      </c>
      <c r="N97" s="75">
        <f t="shared" si="3"/>
        <v>1</v>
      </c>
      <c r="O97" s="56"/>
      <c r="P97" s="57"/>
      <c r="Q97" s="57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5.75" customHeight="1" x14ac:dyDescent="0.3">
      <c r="A98" s="72">
        <v>2220071</v>
      </c>
      <c r="B98" s="73" t="s">
        <v>201</v>
      </c>
      <c r="C98" s="73">
        <v>371</v>
      </c>
      <c r="D98" s="73">
        <v>371</v>
      </c>
      <c r="E98" s="74" t="s">
        <v>133</v>
      </c>
      <c r="F98" s="75">
        <v>0</v>
      </c>
      <c r="G98" s="75">
        <v>0</v>
      </c>
      <c r="H98" s="80">
        <v>0</v>
      </c>
      <c r="I98" s="81">
        <v>0</v>
      </c>
      <c r="J98" s="81"/>
      <c r="K98" s="83">
        <v>0</v>
      </c>
      <c r="L98" s="79"/>
      <c r="M98" s="79">
        <f t="shared" si="2"/>
        <v>0</v>
      </c>
      <c r="N98" s="75">
        <f t="shared" si="3"/>
        <v>0</v>
      </c>
      <c r="O98" s="56"/>
      <c r="P98" s="57"/>
      <c r="Q98" s="57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5.75" customHeight="1" x14ac:dyDescent="0.3">
      <c r="A99" s="72">
        <v>2220069</v>
      </c>
      <c r="B99" s="73" t="s">
        <v>113</v>
      </c>
      <c r="C99" s="73">
        <v>256</v>
      </c>
      <c r="D99" s="73">
        <v>256</v>
      </c>
      <c r="E99" s="74" t="s">
        <v>133</v>
      </c>
      <c r="F99" s="75">
        <v>8</v>
      </c>
      <c r="G99" s="75">
        <v>8</v>
      </c>
      <c r="H99" s="84">
        <v>0</v>
      </c>
      <c r="I99" s="85">
        <v>0</v>
      </c>
      <c r="J99" s="81"/>
      <c r="K99" s="311">
        <v>3</v>
      </c>
      <c r="L99" s="79"/>
      <c r="M99" s="79">
        <f t="shared" si="2"/>
        <v>5</v>
      </c>
      <c r="N99" s="75">
        <f t="shared" si="3"/>
        <v>5</v>
      </c>
      <c r="O99" s="56"/>
      <c r="P99" s="57"/>
      <c r="Q99" s="57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5.75" customHeight="1" x14ac:dyDescent="0.3">
      <c r="A100" s="72">
        <v>2220078</v>
      </c>
      <c r="B100" s="73" t="s">
        <v>202</v>
      </c>
      <c r="C100" s="73">
        <v>85</v>
      </c>
      <c r="D100" s="73">
        <v>85</v>
      </c>
      <c r="E100" s="74" t="s">
        <v>133</v>
      </c>
      <c r="F100" s="75">
        <v>0</v>
      </c>
      <c r="G100" s="75">
        <v>0</v>
      </c>
      <c r="H100" s="84">
        <v>0</v>
      </c>
      <c r="I100" s="85">
        <v>0</v>
      </c>
      <c r="J100" s="81"/>
      <c r="K100" s="83">
        <v>0</v>
      </c>
      <c r="L100" s="79"/>
      <c r="M100" s="79">
        <f t="shared" si="2"/>
        <v>0</v>
      </c>
      <c r="N100" s="75">
        <f t="shared" si="3"/>
        <v>0</v>
      </c>
      <c r="O100" s="56"/>
      <c r="P100" s="57"/>
      <c r="Q100" s="57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5.75" customHeight="1" x14ac:dyDescent="0.3">
      <c r="A101" s="72">
        <v>2220065</v>
      </c>
      <c r="B101" s="73" t="s">
        <v>203</v>
      </c>
      <c r="C101" s="73">
        <v>136.56</v>
      </c>
      <c r="D101" s="73">
        <v>136.56</v>
      </c>
      <c r="E101" s="74" t="s">
        <v>133</v>
      </c>
      <c r="F101" s="75">
        <v>0</v>
      </c>
      <c r="G101" s="75">
        <v>0</v>
      </c>
      <c r="H101" s="84">
        <v>0</v>
      </c>
      <c r="I101" s="85">
        <v>0</v>
      </c>
      <c r="J101" s="81"/>
      <c r="K101" s="83">
        <v>0</v>
      </c>
      <c r="L101" s="79"/>
      <c r="M101" s="79">
        <f t="shared" si="2"/>
        <v>0</v>
      </c>
      <c r="N101" s="75">
        <f t="shared" si="3"/>
        <v>0</v>
      </c>
      <c r="O101" s="56"/>
      <c r="P101" s="57"/>
      <c r="Q101" s="57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5.75" customHeight="1" x14ac:dyDescent="0.3">
      <c r="A102" s="72">
        <v>2220084</v>
      </c>
      <c r="B102" s="73" t="s">
        <v>204</v>
      </c>
      <c r="C102" s="73">
        <v>320</v>
      </c>
      <c r="D102" s="73">
        <v>320</v>
      </c>
      <c r="E102" s="74" t="s">
        <v>133</v>
      </c>
      <c r="F102" s="75">
        <v>0</v>
      </c>
      <c r="G102" s="75">
        <v>0</v>
      </c>
      <c r="H102" s="80">
        <v>0</v>
      </c>
      <c r="I102" s="81">
        <v>0</v>
      </c>
      <c r="J102" s="81"/>
      <c r="K102" s="83">
        <v>0</v>
      </c>
      <c r="L102" s="79"/>
      <c r="M102" s="79">
        <f t="shared" si="2"/>
        <v>0</v>
      </c>
      <c r="N102" s="75">
        <f t="shared" si="3"/>
        <v>0</v>
      </c>
      <c r="O102" s="56"/>
      <c r="P102" s="57"/>
      <c r="Q102" s="57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5.75" customHeight="1" x14ac:dyDescent="0.3">
      <c r="A103" s="92">
        <v>2220145</v>
      </c>
      <c r="B103" s="106" t="s">
        <v>205</v>
      </c>
      <c r="C103" s="106">
        <v>760</v>
      </c>
      <c r="D103" s="106">
        <v>760</v>
      </c>
      <c r="E103" s="107" t="s">
        <v>133</v>
      </c>
      <c r="F103" s="95">
        <v>0</v>
      </c>
      <c r="G103" s="95">
        <v>0</v>
      </c>
      <c r="H103" s="80">
        <v>0</v>
      </c>
      <c r="I103" s="81">
        <v>0</v>
      </c>
      <c r="J103" s="81"/>
      <c r="K103" s="83">
        <v>0</v>
      </c>
      <c r="L103" s="108"/>
      <c r="M103" s="79">
        <f t="shared" si="2"/>
        <v>0</v>
      </c>
      <c r="N103" s="75">
        <f t="shared" si="3"/>
        <v>0</v>
      </c>
      <c r="O103" s="56"/>
      <c r="P103" s="57"/>
      <c r="Q103" s="57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45" x14ac:dyDescent="0.3">
      <c r="A104" s="92">
        <v>2220146</v>
      </c>
      <c r="B104" s="73" t="s">
        <v>206</v>
      </c>
      <c r="C104" s="73">
        <v>638.4</v>
      </c>
      <c r="D104" s="73">
        <v>638.4</v>
      </c>
      <c r="E104" s="74" t="s">
        <v>133</v>
      </c>
      <c r="F104" s="95">
        <v>0</v>
      </c>
      <c r="G104" s="95">
        <v>0</v>
      </c>
      <c r="H104" s="80">
        <v>0</v>
      </c>
      <c r="I104" s="81">
        <v>0</v>
      </c>
      <c r="J104" s="81"/>
      <c r="K104" s="83">
        <v>0</v>
      </c>
      <c r="L104" s="109"/>
      <c r="M104" s="79">
        <f t="shared" si="2"/>
        <v>0</v>
      </c>
      <c r="N104" s="75">
        <f t="shared" si="3"/>
        <v>0</v>
      </c>
      <c r="O104" s="56"/>
      <c r="P104" s="57"/>
      <c r="Q104" s="57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5.75" customHeight="1" x14ac:dyDescent="0.3">
      <c r="A105" s="72">
        <v>2220026</v>
      </c>
      <c r="B105" s="73" t="s">
        <v>35</v>
      </c>
      <c r="C105" s="73">
        <v>67.7</v>
      </c>
      <c r="D105" s="73">
        <v>67.7</v>
      </c>
      <c r="E105" s="74" t="s">
        <v>137</v>
      </c>
      <c r="F105" s="75">
        <v>-9.8000000000000114</v>
      </c>
      <c r="G105" s="75">
        <v>9</v>
      </c>
      <c r="H105" s="80">
        <v>100</v>
      </c>
      <c r="I105" s="81">
        <v>101.65</v>
      </c>
      <c r="J105" s="81"/>
      <c r="K105" s="311">
        <v>108.65</v>
      </c>
      <c r="L105" s="79"/>
      <c r="M105" s="79">
        <f t="shared" si="2"/>
        <v>-18.450000000000017</v>
      </c>
      <c r="N105" s="75">
        <f t="shared" si="3"/>
        <v>2</v>
      </c>
      <c r="O105" s="56"/>
      <c r="P105" s="57"/>
      <c r="Q105" s="57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5.75" customHeight="1" x14ac:dyDescent="0.3">
      <c r="A106" s="72">
        <v>2220027</v>
      </c>
      <c r="B106" s="110" t="s">
        <v>79</v>
      </c>
      <c r="C106" s="110">
        <v>166.7</v>
      </c>
      <c r="D106" s="110">
        <v>166.7</v>
      </c>
      <c r="E106" s="111" t="s">
        <v>137</v>
      </c>
      <c r="F106" s="112">
        <v>-1.399999999999999</v>
      </c>
      <c r="G106" s="112">
        <v>0.90000000000000169</v>
      </c>
      <c r="H106" s="113">
        <v>0</v>
      </c>
      <c r="I106" s="114">
        <v>0</v>
      </c>
      <c r="J106" s="76"/>
      <c r="K106" s="82">
        <v>0</v>
      </c>
      <c r="L106" s="112"/>
      <c r="M106" s="79">
        <f t="shared" si="2"/>
        <v>-1.399999999999999</v>
      </c>
      <c r="N106" s="75">
        <f t="shared" si="3"/>
        <v>0.90000000000000169</v>
      </c>
      <c r="O106" s="91"/>
      <c r="P106" s="57"/>
      <c r="Q106" s="57"/>
      <c r="R106" s="56"/>
      <c r="S106" s="56"/>
      <c r="T106" s="91"/>
      <c r="U106" s="91"/>
      <c r="V106" s="91"/>
      <c r="W106" s="91"/>
      <c r="X106" s="91"/>
      <c r="Y106" s="91"/>
      <c r="Z106" s="91"/>
    </row>
    <row r="107" spans="1:26" ht="15.75" customHeight="1" x14ac:dyDescent="0.3">
      <c r="A107" s="72">
        <v>2220080</v>
      </c>
      <c r="B107" s="73" t="s">
        <v>207</v>
      </c>
      <c r="C107" s="73">
        <v>15.85</v>
      </c>
      <c r="D107" s="73">
        <v>15.85</v>
      </c>
      <c r="E107" s="74" t="s">
        <v>133</v>
      </c>
      <c r="F107" s="75">
        <v>1</v>
      </c>
      <c r="G107" s="75">
        <v>1</v>
      </c>
      <c r="H107" s="76">
        <v>0</v>
      </c>
      <c r="I107" s="77">
        <v>0</v>
      </c>
      <c r="J107" s="77"/>
      <c r="K107" s="78">
        <v>0</v>
      </c>
      <c r="L107" s="75"/>
      <c r="M107" s="79">
        <f t="shared" si="2"/>
        <v>1</v>
      </c>
      <c r="N107" s="75">
        <f t="shared" si="3"/>
        <v>1</v>
      </c>
      <c r="O107" s="56"/>
      <c r="P107" s="57"/>
      <c r="Q107" s="57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5.75" customHeight="1" x14ac:dyDescent="0.3">
      <c r="A108" s="115">
        <v>2220035</v>
      </c>
      <c r="B108" s="110" t="s">
        <v>208</v>
      </c>
      <c r="C108" s="110">
        <v>75</v>
      </c>
      <c r="D108" s="110">
        <v>75</v>
      </c>
      <c r="E108" s="111" t="s">
        <v>133</v>
      </c>
      <c r="F108" s="112">
        <v>-2</v>
      </c>
      <c r="G108" s="112">
        <v>0</v>
      </c>
      <c r="H108" s="76">
        <v>8</v>
      </c>
      <c r="I108" s="76">
        <v>8</v>
      </c>
      <c r="J108" s="114"/>
      <c r="K108" s="315">
        <v>8</v>
      </c>
      <c r="L108" s="112"/>
      <c r="M108" s="79">
        <f t="shared" si="2"/>
        <v>-2</v>
      </c>
      <c r="N108" s="75">
        <f t="shared" si="3"/>
        <v>0</v>
      </c>
      <c r="O108" s="56" t="s">
        <v>209</v>
      </c>
      <c r="P108" s="57"/>
      <c r="Q108" s="57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6.5" customHeight="1" x14ac:dyDescent="0.3">
      <c r="A109" s="72">
        <v>2220045</v>
      </c>
      <c r="B109" s="73" t="s">
        <v>96</v>
      </c>
      <c r="C109" s="110">
        <v>86</v>
      </c>
      <c r="D109" s="110">
        <v>86</v>
      </c>
      <c r="E109" s="111" t="s">
        <v>210</v>
      </c>
      <c r="F109" s="112">
        <v>29</v>
      </c>
      <c r="G109" s="112">
        <v>29</v>
      </c>
      <c r="H109" s="117">
        <v>20</v>
      </c>
      <c r="I109" s="118">
        <v>20</v>
      </c>
      <c r="J109" s="118"/>
      <c r="K109" s="316">
        <v>3</v>
      </c>
      <c r="L109" s="75"/>
      <c r="M109" s="79">
        <f t="shared" si="2"/>
        <v>46</v>
      </c>
      <c r="N109" s="75">
        <f t="shared" si="3"/>
        <v>46</v>
      </c>
      <c r="O109" s="56"/>
      <c r="P109" s="57"/>
      <c r="Q109" s="57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5.75" customHeight="1" x14ac:dyDescent="0.3">
      <c r="A110" s="115">
        <v>2220028</v>
      </c>
      <c r="B110" s="110" t="s">
        <v>36</v>
      </c>
      <c r="C110" s="110">
        <v>29.2</v>
      </c>
      <c r="D110" s="110">
        <v>29.2</v>
      </c>
      <c r="E110" s="111" t="s">
        <v>137</v>
      </c>
      <c r="F110" s="112">
        <v>33.299999999999727</v>
      </c>
      <c r="G110" s="112">
        <v>105.9</v>
      </c>
      <c r="H110" s="117">
        <v>1060</v>
      </c>
      <c r="I110" s="118">
        <v>1062</v>
      </c>
      <c r="J110" s="118"/>
      <c r="K110" s="316">
        <v>1129.9000000000001</v>
      </c>
      <c r="L110" s="112"/>
      <c r="M110" s="79">
        <f t="shared" si="2"/>
        <v>-36.600000000000364</v>
      </c>
      <c r="N110" s="75">
        <f t="shared" si="3"/>
        <v>38</v>
      </c>
      <c r="O110" s="56"/>
      <c r="P110" s="57"/>
      <c r="Q110" s="57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5.6" x14ac:dyDescent="0.3">
      <c r="A111" s="92">
        <v>2220053</v>
      </c>
      <c r="B111" s="93" t="s">
        <v>211</v>
      </c>
      <c r="C111" s="120">
        <v>2830</v>
      </c>
      <c r="D111" s="120">
        <v>2830</v>
      </c>
      <c r="E111" s="94" t="s">
        <v>135</v>
      </c>
      <c r="F111" s="75">
        <v>1</v>
      </c>
      <c r="G111" s="75">
        <v>1</v>
      </c>
      <c r="H111" s="121">
        <v>0</v>
      </c>
      <c r="I111" s="121">
        <v>0</v>
      </c>
      <c r="J111" s="121"/>
      <c r="K111" s="122">
        <v>0</v>
      </c>
      <c r="L111" s="75"/>
      <c r="M111" s="79">
        <f t="shared" si="2"/>
        <v>1</v>
      </c>
      <c r="N111" s="75">
        <f t="shared" si="3"/>
        <v>1</v>
      </c>
      <c r="O111" s="56"/>
      <c r="P111" s="57"/>
      <c r="Q111" s="57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30" x14ac:dyDescent="0.3">
      <c r="A112" s="123"/>
      <c r="B112" s="124" t="s">
        <v>212</v>
      </c>
      <c r="C112" s="125"/>
      <c r="D112" s="125"/>
      <c r="E112" s="126"/>
      <c r="F112" s="112">
        <v>7</v>
      </c>
      <c r="G112" s="112">
        <v>7</v>
      </c>
      <c r="H112" s="127">
        <v>16</v>
      </c>
      <c r="I112" s="127">
        <v>16</v>
      </c>
      <c r="J112" s="127"/>
      <c r="K112" s="317">
        <v>21</v>
      </c>
      <c r="L112" s="112"/>
      <c r="M112" s="79">
        <f t="shared" si="2"/>
        <v>2</v>
      </c>
      <c r="N112" s="75">
        <f t="shared" si="3"/>
        <v>2</v>
      </c>
      <c r="O112" s="56"/>
      <c r="P112" s="57"/>
      <c r="Q112" s="57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30" x14ac:dyDescent="0.3">
      <c r="A113" s="92"/>
      <c r="B113" s="129" t="s">
        <v>213</v>
      </c>
      <c r="C113" s="120"/>
      <c r="D113" s="120"/>
      <c r="E113" s="94"/>
      <c r="F113" s="75">
        <v>0</v>
      </c>
      <c r="G113" s="75">
        <v>0</v>
      </c>
      <c r="H113" s="121">
        <v>8</v>
      </c>
      <c r="I113" s="121">
        <v>8</v>
      </c>
      <c r="J113" s="121"/>
      <c r="K113" s="318">
        <v>6</v>
      </c>
      <c r="L113" s="75"/>
      <c r="M113" s="79">
        <f t="shared" si="2"/>
        <v>2</v>
      </c>
      <c r="N113" s="75">
        <f t="shared" si="3"/>
        <v>2</v>
      </c>
      <c r="O113" s="56"/>
      <c r="P113" s="57"/>
      <c r="Q113" s="57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5.6" x14ac:dyDescent="0.3">
      <c r="A114" s="123"/>
      <c r="B114" s="124" t="s">
        <v>214</v>
      </c>
      <c r="C114" s="125"/>
      <c r="D114" s="125"/>
      <c r="E114" s="126"/>
      <c r="F114" s="112">
        <v>1</v>
      </c>
      <c r="G114" s="112">
        <v>1</v>
      </c>
      <c r="H114" s="127">
        <v>0</v>
      </c>
      <c r="I114" s="127">
        <v>0</v>
      </c>
      <c r="J114" s="127"/>
      <c r="K114" s="128">
        <v>0</v>
      </c>
      <c r="L114" s="112"/>
      <c r="M114" s="79">
        <f t="shared" si="2"/>
        <v>1</v>
      </c>
      <c r="N114" s="75">
        <f t="shared" si="3"/>
        <v>1</v>
      </c>
      <c r="O114" s="56"/>
      <c r="P114" s="57"/>
      <c r="Q114" s="57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6.2" thickBot="1" x14ac:dyDescent="0.35">
      <c r="A115" s="130"/>
      <c r="B115" s="131" t="s">
        <v>215</v>
      </c>
      <c r="C115" s="132"/>
      <c r="D115" s="132"/>
      <c r="E115" s="133"/>
      <c r="F115" s="134">
        <v>1</v>
      </c>
      <c r="G115" s="134">
        <v>1</v>
      </c>
      <c r="H115" s="135">
        <v>2</v>
      </c>
      <c r="I115" s="135">
        <v>2</v>
      </c>
      <c r="J115" s="135"/>
      <c r="K115" s="314">
        <v>1</v>
      </c>
      <c r="L115" s="134"/>
      <c r="M115" s="79">
        <f t="shared" si="2"/>
        <v>2</v>
      </c>
      <c r="N115" s="75">
        <f t="shared" si="3"/>
        <v>2</v>
      </c>
      <c r="O115" s="56"/>
      <c r="P115" s="57"/>
      <c r="Q115" s="57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5.75" customHeight="1" thickTop="1" x14ac:dyDescent="0.3">
      <c r="A116" s="137" t="s">
        <v>68</v>
      </c>
      <c r="B116" s="137"/>
      <c r="C116" s="137"/>
      <c r="D116" s="137"/>
      <c r="E116" s="138"/>
      <c r="F116" s="139">
        <f t="shared" ref="F116:J116" si="4">SUM(F8:F111)</f>
        <v>97.504999999999768</v>
      </c>
      <c r="G116" s="139">
        <f t="shared" si="4"/>
        <v>1161.03</v>
      </c>
      <c r="H116" s="139">
        <f>SUM(H8:H113)</f>
        <v>10251.799999999999</v>
      </c>
      <c r="I116" s="139">
        <f>SUM(I8:I113)</f>
        <v>10445.15</v>
      </c>
      <c r="J116" s="139">
        <f t="shared" si="4"/>
        <v>0</v>
      </c>
      <c r="K116" s="139">
        <f>SUM(K8:K115)</f>
        <v>10972.49</v>
      </c>
      <c r="L116" s="139">
        <f t="shared" ref="L116:N116" si="5">SUM(L8:L110)</f>
        <v>0</v>
      </c>
      <c r="M116" s="139">
        <f t="shared" si="5"/>
        <v>-620.18500000000029</v>
      </c>
      <c r="N116" s="139">
        <f t="shared" si="5"/>
        <v>636.69000000000017</v>
      </c>
      <c r="O116" s="56"/>
      <c r="P116" s="57"/>
      <c r="Q116" s="57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5.75" customHeight="1" x14ac:dyDescent="0.3">
      <c r="A117" s="56"/>
      <c r="B117" s="56"/>
      <c r="C117" s="56"/>
      <c r="D117" s="56"/>
      <c r="E117" s="14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7"/>
      <c r="Q117" s="57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5.75" customHeight="1" x14ac:dyDescent="0.3">
      <c r="A118" s="56"/>
      <c r="B118" s="56"/>
      <c r="C118" s="56"/>
      <c r="D118" s="56"/>
      <c r="E118" s="14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7"/>
      <c r="Q118" s="57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5.75" customHeight="1" x14ac:dyDescent="0.3">
      <c r="A119" s="56"/>
      <c r="B119" s="56"/>
      <c r="C119" s="56"/>
      <c r="D119" s="56"/>
      <c r="E119" s="14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7"/>
      <c r="Q119" s="57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5.75" customHeight="1" x14ac:dyDescent="0.3">
      <c r="A120" s="56"/>
      <c r="B120" s="56"/>
      <c r="C120" s="56"/>
      <c r="D120" s="56"/>
      <c r="E120" s="14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7"/>
      <c r="Q120" s="57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5.75" customHeight="1" x14ac:dyDescent="0.3">
      <c r="A121" s="56"/>
      <c r="B121" s="56"/>
      <c r="C121" s="56"/>
      <c r="D121" s="56"/>
      <c r="E121" s="14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7"/>
      <c r="Q121" s="57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5.75" customHeight="1" x14ac:dyDescent="0.3">
      <c r="A122" s="56"/>
      <c r="B122" s="56"/>
      <c r="C122" s="56"/>
      <c r="D122" s="56"/>
      <c r="E122" s="14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7"/>
      <c r="Q122" s="57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5.75" customHeight="1" x14ac:dyDescent="0.3">
      <c r="A123" s="56"/>
      <c r="B123" s="56"/>
      <c r="C123" s="56"/>
      <c r="D123" s="56"/>
      <c r="E123" s="14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7"/>
      <c r="Q123" s="57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5.75" customHeight="1" x14ac:dyDescent="0.3">
      <c r="A124" s="56"/>
      <c r="B124" s="56"/>
      <c r="C124" s="56"/>
      <c r="D124" s="56"/>
      <c r="E124" s="14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7"/>
      <c r="Q124" s="57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5.75" customHeight="1" x14ac:dyDescent="0.3">
      <c r="A125" s="56"/>
      <c r="B125" s="56"/>
      <c r="C125" s="56"/>
      <c r="D125" s="56"/>
      <c r="E125" s="14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7"/>
      <c r="Q125" s="57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5.75" customHeight="1" x14ac:dyDescent="0.3">
      <c r="A126" s="56"/>
      <c r="B126" s="56"/>
      <c r="C126" s="56"/>
      <c r="D126" s="56"/>
      <c r="E126" s="14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7"/>
      <c r="Q126" s="57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5.75" customHeight="1" x14ac:dyDescent="0.3">
      <c r="A127" s="56"/>
      <c r="B127" s="56"/>
      <c r="C127" s="56"/>
      <c r="D127" s="56"/>
      <c r="E127" s="14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7"/>
      <c r="Q127" s="57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5.75" customHeight="1" x14ac:dyDescent="0.3">
      <c r="A128" s="56"/>
      <c r="B128" s="56"/>
      <c r="C128" s="56"/>
      <c r="D128" s="56"/>
      <c r="E128" s="14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7"/>
      <c r="Q128" s="57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5.75" customHeight="1" x14ac:dyDescent="0.3">
      <c r="A129" s="56"/>
      <c r="B129" s="56"/>
      <c r="C129" s="56"/>
      <c r="D129" s="56"/>
      <c r="E129" s="14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7"/>
      <c r="Q129" s="57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5.75" customHeight="1" x14ac:dyDescent="0.3">
      <c r="A130" s="56"/>
      <c r="B130" s="56"/>
      <c r="C130" s="56"/>
      <c r="D130" s="56"/>
      <c r="E130" s="14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7"/>
      <c r="Q130" s="57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5.75" customHeight="1" x14ac:dyDescent="0.3">
      <c r="A131" s="56"/>
      <c r="B131" s="56"/>
      <c r="C131" s="56"/>
      <c r="D131" s="56"/>
      <c r="E131" s="14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7"/>
      <c r="Q131" s="57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5.75" customHeight="1" x14ac:dyDescent="0.3">
      <c r="A132" s="56"/>
      <c r="B132" s="56"/>
      <c r="C132" s="56"/>
      <c r="D132" s="56"/>
      <c r="E132" s="14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7"/>
      <c r="Q132" s="57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5.75" customHeight="1" x14ac:dyDescent="0.3">
      <c r="A133" s="56"/>
      <c r="B133" s="56"/>
      <c r="C133" s="56"/>
      <c r="D133" s="56"/>
      <c r="E133" s="14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7"/>
      <c r="Q133" s="57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5.75" customHeight="1" x14ac:dyDescent="0.3">
      <c r="A134" s="56"/>
      <c r="B134" s="56"/>
      <c r="C134" s="56"/>
      <c r="D134" s="56"/>
      <c r="E134" s="14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7"/>
      <c r="Q134" s="57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5.75" customHeight="1" x14ac:dyDescent="0.3">
      <c r="A135" s="56"/>
      <c r="B135" s="56"/>
      <c r="C135" s="56"/>
      <c r="D135" s="56"/>
      <c r="E135" s="14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7"/>
      <c r="Q135" s="57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5.75" customHeight="1" x14ac:dyDescent="0.3">
      <c r="A136" s="56"/>
      <c r="B136" s="56"/>
      <c r="C136" s="56"/>
      <c r="D136" s="56"/>
      <c r="E136" s="14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7"/>
      <c r="Q136" s="57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5.75" customHeight="1" x14ac:dyDescent="0.3">
      <c r="A137" s="56"/>
      <c r="B137" s="56"/>
      <c r="C137" s="56"/>
      <c r="D137" s="56"/>
      <c r="E137" s="14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7"/>
      <c r="Q137" s="57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5.75" customHeight="1" x14ac:dyDescent="0.3">
      <c r="A138" s="56"/>
      <c r="B138" s="56"/>
      <c r="C138" s="56"/>
      <c r="D138" s="56"/>
      <c r="E138" s="14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7"/>
      <c r="Q138" s="57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5.75" customHeight="1" x14ac:dyDescent="0.3">
      <c r="A139" s="56"/>
      <c r="B139" s="56"/>
      <c r="C139" s="56"/>
      <c r="D139" s="56"/>
      <c r="E139" s="14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7"/>
      <c r="Q139" s="57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5.75" customHeight="1" x14ac:dyDescent="0.3">
      <c r="A140" s="56"/>
      <c r="B140" s="56"/>
      <c r="C140" s="56"/>
      <c r="D140" s="56"/>
      <c r="E140" s="14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7"/>
      <c r="Q140" s="57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5.75" customHeight="1" x14ac:dyDescent="0.3">
      <c r="A141" s="56"/>
      <c r="B141" s="56"/>
      <c r="C141" s="56"/>
      <c r="D141" s="56"/>
      <c r="E141" s="14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7"/>
      <c r="Q141" s="57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5.75" customHeight="1" x14ac:dyDescent="0.3">
      <c r="A142" s="56"/>
      <c r="B142" s="56"/>
      <c r="C142" s="56"/>
      <c r="D142" s="56"/>
      <c r="E142" s="14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7"/>
      <c r="Q142" s="57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5.75" customHeight="1" x14ac:dyDescent="0.3">
      <c r="A143" s="56"/>
      <c r="B143" s="56"/>
      <c r="C143" s="56"/>
      <c r="D143" s="56"/>
      <c r="E143" s="14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7"/>
      <c r="Q143" s="57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5.75" customHeight="1" x14ac:dyDescent="0.3">
      <c r="A144" s="56"/>
      <c r="B144" s="56"/>
      <c r="C144" s="56"/>
      <c r="D144" s="56"/>
      <c r="E144" s="14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7"/>
      <c r="Q144" s="57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5.75" customHeight="1" x14ac:dyDescent="0.3">
      <c r="A145" s="56"/>
      <c r="B145" s="56"/>
      <c r="C145" s="56"/>
      <c r="D145" s="56"/>
      <c r="E145" s="14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7"/>
      <c r="Q145" s="57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5.75" customHeight="1" x14ac:dyDescent="0.3">
      <c r="A146" s="56"/>
      <c r="B146" s="56"/>
      <c r="C146" s="56"/>
      <c r="D146" s="56"/>
      <c r="E146" s="14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7"/>
      <c r="Q146" s="57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5.75" customHeight="1" x14ac:dyDescent="0.3">
      <c r="A147" s="56"/>
      <c r="B147" s="56"/>
      <c r="C147" s="56"/>
      <c r="D147" s="56"/>
      <c r="E147" s="14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7"/>
      <c r="Q147" s="57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5.75" customHeight="1" x14ac:dyDescent="0.3">
      <c r="A148" s="56"/>
      <c r="B148" s="56"/>
      <c r="C148" s="56"/>
      <c r="D148" s="56"/>
      <c r="E148" s="14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7"/>
      <c r="Q148" s="57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5.75" customHeight="1" x14ac:dyDescent="0.3">
      <c r="A149" s="56"/>
      <c r="B149" s="56"/>
      <c r="C149" s="56"/>
      <c r="D149" s="56"/>
      <c r="E149" s="14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7"/>
      <c r="Q149" s="57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5.75" customHeight="1" x14ac:dyDescent="0.3">
      <c r="A150" s="56"/>
      <c r="B150" s="56"/>
      <c r="C150" s="56"/>
      <c r="D150" s="56"/>
      <c r="E150" s="14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7"/>
      <c r="Q150" s="57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5.75" customHeight="1" x14ac:dyDescent="0.3">
      <c r="A151" s="56"/>
      <c r="B151" s="56"/>
      <c r="C151" s="56"/>
      <c r="D151" s="56"/>
      <c r="E151" s="14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7"/>
      <c r="Q151" s="57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5.75" customHeight="1" x14ac:dyDescent="0.3">
      <c r="A152" s="56"/>
      <c r="B152" s="56"/>
      <c r="C152" s="56"/>
      <c r="D152" s="56"/>
      <c r="E152" s="14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7"/>
      <c r="Q152" s="57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5.75" customHeight="1" x14ac:dyDescent="0.3">
      <c r="A153" s="56"/>
      <c r="B153" s="56"/>
      <c r="C153" s="56"/>
      <c r="D153" s="56"/>
      <c r="E153" s="14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7"/>
      <c r="Q153" s="57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5.75" customHeight="1" x14ac:dyDescent="0.3">
      <c r="A154" s="56"/>
      <c r="B154" s="56"/>
      <c r="C154" s="56"/>
      <c r="D154" s="56"/>
      <c r="E154" s="14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7"/>
      <c r="Q154" s="57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5.75" customHeight="1" x14ac:dyDescent="0.3">
      <c r="A155" s="56"/>
      <c r="B155" s="56"/>
      <c r="C155" s="56"/>
      <c r="D155" s="56"/>
      <c r="E155" s="14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7"/>
      <c r="Q155" s="57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5.75" customHeight="1" x14ac:dyDescent="0.3">
      <c r="A156" s="56"/>
      <c r="B156" s="56"/>
      <c r="C156" s="56"/>
      <c r="D156" s="56"/>
      <c r="E156" s="14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7"/>
      <c r="Q156" s="57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5.75" customHeight="1" x14ac:dyDescent="0.3">
      <c r="A157" s="56"/>
      <c r="B157" s="56"/>
      <c r="C157" s="56"/>
      <c r="D157" s="56"/>
      <c r="E157" s="14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7"/>
      <c r="Q157" s="57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5.75" customHeight="1" x14ac:dyDescent="0.3">
      <c r="A158" s="56"/>
      <c r="B158" s="56"/>
      <c r="C158" s="56"/>
      <c r="D158" s="56"/>
      <c r="E158" s="14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7"/>
      <c r="Q158" s="57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5.75" customHeight="1" x14ac:dyDescent="0.3">
      <c r="A159" s="56"/>
      <c r="B159" s="56"/>
      <c r="C159" s="56"/>
      <c r="D159" s="56"/>
      <c r="E159" s="14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7"/>
      <c r="Q159" s="57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5.75" customHeight="1" x14ac:dyDescent="0.3">
      <c r="A160" s="56"/>
      <c r="B160" s="56"/>
      <c r="C160" s="56"/>
      <c r="D160" s="56"/>
      <c r="E160" s="14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7"/>
      <c r="Q160" s="57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5.75" customHeight="1" x14ac:dyDescent="0.3">
      <c r="A161" s="56"/>
      <c r="B161" s="56"/>
      <c r="C161" s="56"/>
      <c r="D161" s="56"/>
      <c r="E161" s="14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7"/>
      <c r="Q161" s="57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5.75" customHeight="1" x14ac:dyDescent="0.3">
      <c r="A162" s="56"/>
      <c r="B162" s="56"/>
      <c r="C162" s="56"/>
      <c r="D162" s="56"/>
      <c r="E162" s="14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7"/>
      <c r="Q162" s="57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5.75" customHeight="1" x14ac:dyDescent="0.3">
      <c r="A163" s="56"/>
      <c r="B163" s="56"/>
      <c r="C163" s="56"/>
      <c r="D163" s="56"/>
      <c r="E163" s="14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7"/>
      <c r="Q163" s="57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5.75" customHeight="1" x14ac:dyDescent="0.3">
      <c r="A164" s="56"/>
      <c r="B164" s="56"/>
      <c r="C164" s="56"/>
      <c r="D164" s="56"/>
      <c r="E164" s="14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7"/>
      <c r="Q164" s="57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5.75" customHeight="1" x14ac:dyDescent="0.3">
      <c r="A165" s="56"/>
      <c r="B165" s="56"/>
      <c r="C165" s="56"/>
      <c r="D165" s="56"/>
      <c r="E165" s="14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7"/>
      <c r="Q165" s="57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5.75" customHeight="1" x14ac:dyDescent="0.3">
      <c r="A166" s="56"/>
      <c r="B166" s="56"/>
      <c r="C166" s="56"/>
      <c r="D166" s="56"/>
      <c r="E166" s="14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7"/>
      <c r="Q166" s="57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5.75" customHeight="1" x14ac:dyDescent="0.3">
      <c r="A167" s="56"/>
      <c r="B167" s="56"/>
      <c r="C167" s="56"/>
      <c r="D167" s="56"/>
      <c r="E167" s="14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7"/>
      <c r="Q167" s="57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5.75" customHeight="1" x14ac:dyDescent="0.3">
      <c r="A168" s="56"/>
      <c r="B168" s="56"/>
      <c r="C168" s="56"/>
      <c r="D168" s="56"/>
      <c r="E168" s="14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7"/>
      <c r="Q168" s="57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5.75" customHeight="1" x14ac:dyDescent="0.3">
      <c r="A169" s="56"/>
      <c r="B169" s="56"/>
      <c r="C169" s="56"/>
      <c r="D169" s="56"/>
      <c r="E169" s="14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7"/>
      <c r="Q169" s="57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5.75" customHeight="1" x14ac:dyDescent="0.3">
      <c r="A170" s="56"/>
      <c r="B170" s="56"/>
      <c r="C170" s="56"/>
      <c r="D170" s="56"/>
      <c r="E170" s="14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7"/>
      <c r="Q170" s="57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5.75" customHeight="1" x14ac:dyDescent="0.3">
      <c r="A171" s="56"/>
      <c r="B171" s="56"/>
      <c r="C171" s="56"/>
      <c r="D171" s="56"/>
      <c r="E171" s="14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7"/>
      <c r="Q171" s="57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5.75" customHeight="1" x14ac:dyDescent="0.3">
      <c r="A172" s="56"/>
      <c r="B172" s="56"/>
      <c r="C172" s="56"/>
      <c r="D172" s="56"/>
      <c r="E172" s="14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7"/>
      <c r="Q172" s="57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5.75" customHeight="1" x14ac:dyDescent="0.3">
      <c r="A173" s="56"/>
      <c r="B173" s="56"/>
      <c r="C173" s="56"/>
      <c r="D173" s="56"/>
      <c r="E173" s="14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7"/>
      <c r="Q173" s="57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5.75" customHeight="1" x14ac:dyDescent="0.3">
      <c r="A174" s="56"/>
      <c r="B174" s="56"/>
      <c r="C174" s="56"/>
      <c r="D174" s="56"/>
      <c r="E174" s="14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7"/>
      <c r="Q174" s="57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5.75" customHeight="1" x14ac:dyDescent="0.3">
      <c r="A175" s="56"/>
      <c r="B175" s="56"/>
      <c r="C175" s="56"/>
      <c r="D175" s="56"/>
      <c r="E175" s="14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7"/>
      <c r="Q175" s="57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5.75" customHeight="1" x14ac:dyDescent="0.3">
      <c r="A176" s="56"/>
      <c r="B176" s="56"/>
      <c r="C176" s="56"/>
      <c r="D176" s="56"/>
      <c r="E176" s="14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7"/>
      <c r="Q176" s="57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5.75" customHeight="1" x14ac:dyDescent="0.3">
      <c r="A177" s="56"/>
      <c r="B177" s="56"/>
      <c r="C177" s="56"/>
      <c r="D177" s="56"/>
      <c r="E177" s="14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7"/>
      <c r="Q177" s="57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5.75" customHeight="1" x14ac:dyDescent="0.3">
      <c r="A178" s="56"/>
      <c r="B178" s="56"/>
      <c r="C178" s="56"/>
      <c r="D178" s="56"/>
      <c r="E178" s="14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7"/>
      <c r="Q178" s="57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5.75" customHeight="1" x14ac:dyDescent="0.3">
      <c r="A179" s="56"/>
      <c r="B179" s="56"/>
      <c r="C179" s="56"/>
      <c r="D179" s="56"/>
      <c r="E179" s="14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7"/>
      <c r="Q179" s="57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5.75" customHeight="1" x14ac:dyDescent="0.3">
      <c r="A180" s="56"/>
      <c r="B180" s="56"/>
      <c r="C180" s="56"/>
      <c r="D180" s="56"/>
      <c r="E180" s="14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7"/>
      <c r="Q180" s="57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5.75" customHeight="1" x14ac:dyDescent="0.3">
      <c r="A181" s="56"/>
      <c r="B181" s="56"/>
      <c r="C181" s="56"/>
      <c r="D181" s="56"/>
      <c r="E181" s="14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7"/>
      <c r="Q181" s="57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5.75" customHeight="1" x14ac:dyDescent="0.3">
      <c r="A182" s="56"/>
      <c r="B182" s="56"/>
      <c r="C182" s="56"/>
      <c r="D182" s="56"/>
      <c r="E182" s="14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7"/>
      <c r="Q182" s="57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5.75" customHeight="1" x14ac:dyDescent="0.3">
      <c r="A183" s="56"/>
      <c r="B183" s="56"/>
      <c r="C183" s="56"/>
      <c r="D183" s="56"/>
      <c r="E183" s="14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7"/>
      <c r="Q183" s="57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5.75" customHeight="1" x14ac:dyDescent="0.3">
      <c r="A184" s="56"/>
      <c r="B184" s="56"/>
      <c r="C184" s="56"/>
      <c r="D184" s="56"/>
      <c r="E184" s="14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7"/>
      <c r="Q184" s="57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5.75" customHeight="1" x14ac:dyDescent="0.3">
      <c r="A185" s="56"/>
      <c r="B185" s="56"/>
      <c r="C185" s="56"/>
      <c r="D185" s="56"/>
      <c r="E185" s="14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7"/>
      <c r="Q185" s="57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5.75" customHeight="1" x14ac:dyDescent="0.3">
      <c r="A186" s="56"/>
      <c r="B186" s="56"/>
      <c r="C186" s="56"/>
      <c r="D186" s="56"/>
      <c r="E186" s="14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7"/>
      <c r="Q186" s="57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5.75" customHeight="1" x14ac:dyDescent="0.3">
      <c r="A187" s="56"/>
      <c r="B187" s="56"/>
      <c r="C187" s="56"/>
      <c r="D187" s="56"/>
      <c r="E187" s="14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7"/>
      <c r="Q187" s="57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5.75" customHeight="1" x14ac:dyDescent="0.3">
      <c r="A188" s="56"/>
      <c r="B188" s="56"/>
      <c r="C188" s="56"/>
      <c r="D188" s="56"/>
      <c r="E188" s="14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7"/>
      <c r="Q188" s="57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5.75" customHeight="1" x14ac:dyDescent="0.3">
      <c r="A189" s="56"/>
      <c r="B189" s="56"/>
      <c r="C189" s="56"/>
      <c r="D189" s="56"/>
      <c r="E189" s="14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7"/>
      <c r="Q189" s="57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5.75" customHeight="1" x14ac:dyDescent="0.3">
      <c r="A190" s="56"/>
      <c r="B190" s="56"/>
      <c r="C190" s="56"/>
      <c r="D190" s="56"/>
      <c r="E190" s="14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7"/>
      <c r="Q190" s="57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5.75" customHeight="1" x14ac:dyDescent="0.3">
      <c r="A191" s="56"/>
      <c r="B191" s="56"/>
      <c r="C191" s="56"/>
      <c r="D191" s="56"/>
      <c r="E191" s="14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7"/>
      <c r="Q191" s="57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5.75" customHeight="1" x14ac:dyDescent="0.3">
      <c r="A192" s="56"/>
      <c r="B192" s="56"/>
      <c r="C192" s="56"/>
      <c r="D192" s="56"/>
      <c r="E192" s="14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7"/>
      <c r="Q192" s="57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5.75" customHeight="1" x14ac:dyDescent="0.3">
      <c r="A193" s="56"/>
      <c r="B193" s="56"/>
      <c r="C193" s="56"/>
      <c r="D193" s="56"/>
      <c r="E193" s="14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7"/>
      <c r="Q193" s="57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5.75" customHeight="1" x14ac:dyDescent="0.3">
      <c r="A194" s="56"/>
      <c r="B194" s="56"/>
      <c r="C194" s="56"/>
      <c r="D194" s="56"/>
      <c r="E194" s="14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7"/>
      <c r="Q194" s="57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5.75" customHeight="1" x14ac:dyDescent="0.3">
      <c r="A195" s="56"/>
      <c r="B195" s="56"/>
      <c r="C195" s="56"/>
      <c r="D195" s="56"/>
      <c r="E195" s="14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7"/>
      <c r="Q195" s="57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5.75" customHeight="1" x14ac:dyDescent="0.3">
      <c r="A196" s="56"/>
      <c r="B196" s="56"/>
      <c r="C196" s="56"/>
      <c r="D196" s="56"/>
      <c r="E196" s="14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7"/>
      <c r="Q196" s="57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5.75" customHeight="1" x14ac:dyDescent="0.3">
      <c r="A197" s="56"/>
      <c r="B197" s="56"/>
      <c r="C197" s="56"/>
      <c r="D197" s="56"/>
      <c r="E197" s="14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7"/>
      <c r="Q197" s="57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5.75" customHeight="1" x14ac:dyDescent="0.3">
      <c r="A198" s="56"/>
      <c r="B198" s="56"/>
      <c r="C198" s="56"/>
      <c r="D198" s="56"/>
      <c r="E198" s="14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7"/>
      <c r="Q198" s="57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5.75" customHeight="1" x14ac:dyDescent="0.3">
      <c r="A199" s="56"/>
      <c r="B199" s="56"/>
      <c r="C199" s="56"/>
      <c r="D199" s="56"/>
      <c r="E199" s="14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7"/>
      <c r="Q199" s="57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5.75" customHeight="1" x14ac:dyDescent="0.3">
      <c r="A200" s="56"/>
      <c r="B200" s="56"/>
      <c r="C200" s="56"/>
      <c r="D200" s="56"/>
      <c r="E200" s="14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7"/>
      <c r="Q200" s="57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5.75" customHeight="1" x14ac:dyDescent="0.3">
      <c r="A201" s="56"/>
      <c r="B201" s="56"/>
      <c r="C201" s="56"/>
      <c r="D201" s="56"/>
      <c r="E201" s="14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7"/>
      <c r="Q201" s="57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5.75" customHeight="1" x14ac:dyDescent="0.3">
      <c r="A202" s="56"/>
      <c r="B202" s="56"/>
      <c r="C202" s="56"/>
      <c r="D202" s="56"/>
      <c r="E202" s="14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7"/>
      <c r="Q202" s="57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5.75" customHeight="1" x14ac:dyDescent="0.3">
      <c r="A203" s="56"/>
      <c r="B203" s="56"/>
      <c r="C203" s="56"/>
      <c r="D203" s="56"/>
      <c r="E203" s="14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7"/>
      <c r="Q203" s="57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5.75" customHeight="1" x14ac:dyDescent="0.3">
      <c r="A204" s="56"/>
      <c r="B204" s="56"/>
      <c r="C204" s="56"/>
      <c r="D204" s="56"/>
      <c r="E204" s="14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7"/>
      <c r="Q204" s="57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5.75" customHeight="1" x14ac:dyDescent="0.3">
      <c r="A205" s="56"/>
      <c r="B205" s="56"/>
      <c r="C205" s="56"/>
      <c r="D205" s="56"/>
      <c r="E205" s="14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7"/>
      <c r="Q205" s="57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5.75" customHeight="1" x14ac:dyDescent="0.3">
      <c r="A206" s="56"/>
      <c r="B206" s="56"/>
      <c r="C206" s="56"/>
      <c r="D206" s="56"/>
      <c r="E206" s="14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7"/>
      <c r="Q206" s="57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5.75" customHeight="1" x14ac:dyDescent="0.3">
      <c r="A207" s="56"/>
      <c r="B207" s="56"/>
      <c r="C207" s="56"/>
      <c r="D207" s="56"/>
      <c r="E207" s="14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7"/>
      <c r="Q207" s="57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5.75" customHeight="1" x14ac:dyDescent="0.3">
      <c r="A208" s="56"/>
      <c r="B208" s="56"/>
      <c r="C208" s="56"/>
      <c r="D208" s="56"/>
      <c r="E208" s="14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7"/>
      <c r="Q208" s="57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5.75" customHeight="1" x14ac:dyDescent="0.3">
      <c r="A209" s="56"/>
      <c r="B209" s="56"/>
      <c r="C209" s="56"/>
      <c r="D209" s="56"/>
      <c r="E209" s="14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7"/>
      <c r="Q209" s="57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5.75" customHeight="1" x14ac:dyDescent="0.3">
      <c r="A210" s="56"/>
      <c r="B210" s="56"/>
      <c r="C210" s="56"/>
      <c r="D210" s="56"/>
      <c r="E210" s="14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7"/>
      <c r="Q210" s="57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5.75" customHeight="1" x14ac:dyDescent="0.3">
      <c r="A211" s="56"/>
      <c r="B211" s="56"/>
      <c r="C211" s="56"/>
      <c r="D211" s="56"/>
      <c r="E211" s="14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7"/>
      <c r="Q211" s="57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5.75" customHeight="1" x14ac:dyDescent="0.3">
      <c r="A212" s="56"/>
      <c r="B212" s="56"/>
      <c r="C212" s="56"/>
      <c r="D212" s="56"/>
      <c r="E212" s="14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7"/>
      <c r="Q212" s="57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5.75" customHeight="1" x14ac:dyDescent="0.3">
      <c r="A213" s="56"/>
      <c r="B213" s="56"/>
      <c r="C213" s="56"/>
      <c r="D213" s="56"/>
      <c r="E213" s="14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7"/>
      <c r="Q213" s="57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5.75" customHeight="1" x14ac:dyDescent="0.3">
      <c r="A214" s="56"/>
      <c r="B214" s="56"/>
      <c r="C214" s="56"/>
      <c r="D214" s="56"/>
      <c r="E214" s="14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7"/>
      <c r="Q214" s="57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5.75" customHeight="1" x14ac:dyDescent="0.3">
      <c r="A215" s="56"/>
      <c r="B215" s="56"/>
      <c r="C215" s="56"/>
      <c r="D215" s="56"/>
      <c r="E215" s="14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7"/>
      <c r="Q215" s="57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5.75" customHeight="1" x14ac:dyDescent="0.3">
      <c r="A216" s="56"/>
      <c r="B216" s="56"/>
      <c r="C216" s="56"/>
      <c r="D216" s="56"/>
      <c r="E216" s="14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7"/>
      <c r="Q216" s="57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5.75" customHeight="1" x14ac:dyDescent="0.3">
      <c r="A217" s="56"/>
      <c r="B217" s="56"/>
      <c r="C217" s="56"/>
      <c r="D217" s="56"/>
      <c r="E217" s="14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7"/>
      <c r="Q217" s="57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5.75" customHeight="1" x14ac:dyDescent="0.3">
      <c r="A218" s="56"/>
      <c r="B218" s="56"/>
      <c r="C218" s="56"/>
      <c r="D218" s="56"/>
      <c r="E218" s="14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7"/>
      <c r="Q218" s="57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5.75" customHeight="1" x14ac:dyDescent="0.3">
      <c r="A219" s="56"/>
      <c r="B219" s="56"/>
      <c r="C219" s="56"/>
      <c r="D219" s="56"/>
      <c r="E219" s="14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7"/>
      <c r="Q219" s="57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5.75" customHeight="1" x14ac:dyDescent="0.3">
      <c r="A220" s="56"/>
      <c r="B220" s="56"/>
      <c r="C220" s="56"/>
      <c r="D220" s="56"/>
      <c r="E220" s="14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7"/>
      <c r="Q220" s="57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5.75" customHeight="1" x14ac:dyDescent="0.3">
      <c r="A221" s="56"/>
      <c r="B221" s="56"/>
      <c r="C221" s="56"/>
      <c r="D221" s="56"/>
      <c r="E221" s="14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7"/>
      <c r="Q221" s="57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5.75" customHeight="1" x14ac:dyDescent="0.3">
      <c r="A222" s="56"/>
      <c r="B222" s="56"/>
      <c r="C222" s="56"/>
      <c r="D222" s="56"/>
      <c r="E222" s="14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7"/>
      <c r="Q222" s="57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5.75" customHeight="1" x14ac:dyDescent="0.3">
      <c r="A223" s="56"/>
      <c r="B223" s="56"/>
      <c r="C223" s="56"/>
      <c r="D223" s="56"/>
      <c r="E223" s="14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7"/>
      <c r="Q223" s="57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5.75" customHeight="1" x14ac:dyDescent="0.3">
      <c r="A224" s="56"/>
      <c r="B224" s="56"/>
      <c r="C224" s="56"/>
      <c r="D224" s="56"/>
      <c r="E224" s="14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7"/>
      <c r="Q224" s="57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5.75" customHeight="1" x14ac:dyDescent="0.3">
      <c r="A225" s="56"/>
      <c r="B225" s="56"/>
      <c r="C225" s="56"/>
      <c r="D225" s="56"/>
      <c r="E225" s="14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7"/>
      <c r="Q225" s="57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5.75" customHeight="1" x14ac:dyDescent="0.3">
      <c r="A226" s="56"/>
      <c r="B226" s="56"/>
      <c r="C226" s="56"/>
      <c r="D226" s="56"/>
      <c r="E226" s="14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7"/>
      <c r="Q226" s="57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5.75" customHeight="1" x14ac:dyDescent="0.3">
      <c r="A227" s="56"/>
      <c r="B227" s="56"/>
      <c r="C227" s="56"/>
      <c r="D227" s="56"/>
      <c r="E227" s="14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7"/>
      <c r="Q227" s="57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5.75" customHeight="1" x14ac:dyDescent="0.3">
      <c r="A228" s="56"/>
      <c r="B228" s="56"/>
      <c r="C228" s="56"/>
      <c r="D228" s="56"/>
      <c r="E228" s="14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7"/>
      <c r="Q228" s="57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5.75" customHeight="1" x14ac:dyDescent="0.3">
      <c r="A229" s="56"/>
      <c r="B229" s="56"/>
      <c r="C229" s="56"/>
      <c r="D229" s="56"/>
      <c r="E229" s="14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7"/>
      <c r="Q229" s="57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5.75" customHeight="1" x14ac:dyDescent="0.3">
      <c r="A230" s="56"/>
      <c r="B230" s="56"/>
      <c r="C230" s="56"/>
      <c r="D230" s="56"/>
      <c r="E230" s="14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7"/>
      <c r="Q230" s="57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5.75" customHeight="1" x14ac:dyDescent="0.3">
      <c r="A231" s="56"/>
      <c r="B231" s="56"/>
      <c r="C231" s="56"/>
      <c r="D231" s="56"/>
      <c r="E231" s="14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7"/>
      <c r="Q231" s="57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5.75" customHeight="1" x14ac:dyDescent="0.3">
      <c r="A232" s="56"/>
      <c r="B232" s="56"/>
      <c r="C232" s="56"/>
      <c r="D232" s="56"/>
      <c r="E232" s="14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7"/>
      <c r="Q232" s="57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5.75" customHeight="1" x14ac:dyDescent="0.3">
      <c r="A233" s="56"/>
      <c r="B233" s="56"/>
      <c r="C233" s="56"/>
      <c r="D233" s="56"/>
      <c r="E233" s="14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7"/>
      <c r="Q233" s="57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5.75" customHeight="1" x14ac:dyDescent="0.3">
      <c r="A234" s="56"/>
      <c r="B234" s="56"/>
      <c r="C234" s="56"/>
      <c r="D234" s="56"/>
      <c r="E234" s="14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7"/>
      <c r="Q234" s="57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5.75" customHeight="1" x14ac:dyDescent="0.3">
      <c r="A235" s="56"/>
      <c r="B235" s="56"/>
      <c r="C235" s="56"/>
      <c r="D235" s="56"/>
      <c r="E235" s="14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7"/>
      <c r="Q235" s="57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5.75" customHeight="1" x14ac:dyDescent="0.3">
      <c r="A236" s="56"/>
      <c r="B236" s="56"/>
      <c r="C236" s="56"/>
      <c r="D236" s="56"/>
      <c r="E236" s="14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7"/>
      <c r="Q236" s="57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5.75" customHeight="1" x14ac:dyDescent="0.3">
      <c r="A237" s="56"/>
      <c r="B237" s="56"/>
      <c r="C237" s="56"/>
      <c r="D237" s="56"/>
      <c r="E237" s="14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7"/>
      <c r="Q237" s="57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5.75" customHeight="1" x14ac:dyDescent="0.3">
      <c r="A238" s="56"/>
      <c r="B238" s="56"/>
      <c r="C238" s="56"/>
      <c r="D238" s="56"/>
      <c r="E238" s="14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7"/>
      <c r="Q238" s="57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5.75" customHeight="1" x14ac:dyDescent="0.3">
      <c r="A239" s="56"/>
      <c r="B239" s="56"/>
      <c r="C239" s="56"/>
      <c r="D239" s="56"/>
      <c r="E239" s="14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7"/>
      <c r="Q239" s="57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5.75" customHeight="1" x14ac:dyDescent="0.3">
      <c r="A240" s="56"/>
      <c r="B240" s="56"/>
      <c r="C240" s="56"/>
      <c r="D240" s="56"/>
      <c r="E240" s="14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7"/>
      <c r="Q240" s="57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5.75" customHeight="1" x14ac:dyDescent="0.3">
      <c r="A241" s="56"/>
      <c r="B241" s="56"/>
      <c r="C241" s="56"/>
      <c r="D241" s="56"/>
      <c r="E241" s="14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7"/>
      <c r="Q241" s="57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5.75" customHeight="1" x14ac:dyDescent="0.3">
      <c r="A242" s="56"/>
      <c r="B242" s="56"/>
      <c r="C242" s="56"/>
      <c r="D242" s="56"/>
      <c r="E242" s="14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7"/>
      <c r="Q242" s="57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5.75" customHeight="1" x14ac:dyDescent="0.3">
      <c r="A243" s="56"/>
      <c r="B243" s="56"/>
      <c r="C243" s="56"/>
      <c r="D243" s="56"/>
      <c r="E243" s="14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7"/>
      <c r="Q243" s="57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5.75" customHeight="1" x14ac:dyDescent="0.3">
      <c r="A244" s="56"/>
      <c r="B244" s="56"/>
      <c r="C244" s="56"/>
      <c r="D244" s="56"/>
      <c r="E244" s="14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7"/>
      <c r="Q244" s="57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5.75" customHeight="1" x14ac:dyDescent="0.3">
      <c r="A245" s="56"/>
      <c r="B245" s="56"/>
      <c r="C245" s="56"/>
      <c r="D245" s="56"/>
      <c r="E245" s="14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7"/>
      <c r="Q245" s="57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5.75" customHeight="1" x14ac:dyDescent="0.3">
      <c r="A246" s="56"/>
      <c r="B246" s="56"/>
      <c r="C246" s="56"/>
      <c r="D246" s="56"/>
      <c r="E246" s="14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7"/>
      <c r="Q246" s="57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5.75" customHeight="1" x14ac:dyDescent="0.3">
      <c r="A247" s="56"/>
      <c r="B247" s="56"/>
      <c r="C247" s="56"/>
      <c r="D247" s="56"/>
      <c r="E247" s="14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7"/>
      <c r="Q247" s="57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5.75" customHeight="1" x14ac:dyDescent="0.3">
      <c r="A248" s="56"/>
      <c r="B248" s="56"/>
      <c r="C248" s="56"/>
      <c r="D248" s="56"/>
      <c r="E248" s="14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7"/>
      <c r="Q248" s="57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5.75" customHeight="1" x14ac:dyDescent="0.3">
      <c r="A249" s="56"/>
      <c r="B249" s="56"/>
      <c r="C249" s="56"/>
      <c r="D249" s="56"/>
      <c r="E249" s="14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7"/>
      <c r="Q249" s="57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5.75" customHeight="1" x14ac:dyDescent="0.3">
      <c r="A250" s="56"/>
      <c r="B250" s="56"/>
      <c r="C250" s="56"/>
      <c r="D250" s="56"/>
      <c r="E250" s="14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7"/>
      <c r="Q250" s="57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5.75" customHeight="1" x14ac:dyDescent="0.3">
      <c r="A251" s="56"/>
      <c r="B251" s="56"/>
      <c r="C251" s="56"/>
      <c r="D251" s="56"/>
      <c r="E251" s="14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7"/>
      <c r="Q251" s="57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5.75" customHeight="1" x14ac:dyDescent="0.3">
      <c r="A252" s="56"/>
      <c r="B252" s="56"/>
      <c r="C252" s="56"/>
      <c r="D252" s="56"/>
      <c r="E252" s="14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7"/>
      <c r="Q252" s="57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5.75" customHeight="1" x14ac:dyDescent="0.3">
      <c r="A253" s="56"/>
      <c r="B253" s="56"/>
      <c r="C253" s="56"/>
      <c r="D253" s="56"/>
      <c r="E253" s="14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7"/>
      <c r="Q253" s="57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5.75" customHeight="1" x14ac:dyDescent="0.3">
      <c r="A254" s="56"/>
      <c r="B254" s="56"/>
      <c r="C254" s="56"/>
      <c r="D254" s="56"/>
      <c r="E254" s="14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7"/>
      <c r="Q254" s="57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5.75" customHeight="1" x14ac:dyDescent="0.3">
      <c r="A255" s="56"/>
      <c r="B255" s="56"/>
      <c r="C255" s="56"/>
      <c r="D255" s="56"/>
      <c r="E255" s="14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7"/>
      <c r="Q255" s="57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5.75" customHeight="1" x14ac:dyDescent="0.3">
      <c r="A256" s="56"/>
      <c r="B256" s="56"/>
      <c r="C256" s="56"/>
      <c r="D256" s="56"/>
      <c r="E256" s="14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7"/>
      <c r="Q256" s="57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5.75" customHeight="1" x14ac:dyDescent="0.3">
      <c r="A257" s="56"/>
      <c r="B257" s="56"/>
      <c r="C257" s="56"/>
      <c r="D257" s="56"/>
      <c r="E257" s="14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7"/>
      <c r="Q257" s="57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5.75" customHeight="1" x14ac:dyDescent="0.3">
      <c r="A258" s="56"/>
      <c r="B258" s="56"/>
      <c r="C258" s="56"/>
      <c r="D258" s="56"/>
      <c r="E258" s="14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7"/>
      <c r="Q258" s="57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5.75" customHeight="1" x14ac:dyDescent="0.3">
      <c r="A259" s="56"/>
      <c r="B259" s="56"/>
      <c r="C259" s="56"/>
      <c r="D259" s="56"/>
      <c r="E259" s="14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7"/>
      <c r="Q259" s="57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5.75" customHeight="1" x14ac:dyDescent="0.3">
      <c r="A260" s="56"/>
      <c r="B260" s="56"/>
      <c r="C260" s="56"/>
      <c r="D260" s="56"/>
      <c r="E260" s="14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7"/>
      <c r="Q260" s="57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5.75" customHeight="1" x14ac:dyDescent="0.3">
      <c r="A261" s="56"/>
      <c r="B261" s="56"/>
      <c r="C261" s="56"/>
      <c r="D261" s="56"/>
      <c r="E261" s="14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7"/>
      <c r="Q261" s="57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5.75" customHeight="1" x14ac:dyDescent="0.3">
      <c r="A262" s="56"/>
      <c r="B262" s="56"/>
      <c r="C262" s="56"/>
      <c r="D262" s="56"/>
      <c r="E262" s="14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7"/>
      <c r="Q262" s="57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5.75" customHeight="1" x14ac:dyDescent="0.3">
      <c r="A263" s="56"/>
      <c r="B263" s="56"/>
      <c r="C263" s="56"/>
      <c r="D263" s="56"/>
      <c r="E263" s="14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7"/>
      <c r="Q263" s="57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5.75" customHeight="1" x14ac:dyDescent="0.3">
      <c r="A264" s="56"/>
      <c r="B264" s="56"/>
      <c r="C264" s="56"/>
      <c r="D264" s="56"/>
      <c r="E264" s="14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7"/>
      <c r="Q264" s="57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15.75" customHeight="1" x14ac:dyDescent="0.3">
      <c r="A265" s="56"/>
      <c r="B265" s="56"/>
      <c r="C265" s="56"/>
      <c r="D265" s="56"/>
      <c r="E265" s="14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7"/>
      <c r="Q265" s="57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15.75" customHeight="1" x14ac:dyDescent="0.3">
      <c r="A266" s="56"/>
      <c r="B266" s="56"/>
      <c r="C266" s="56"/>
      <c r="D266" s="56"/>
      <c r="E266" s="14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7"/>
      <c r="Q266" s="57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15.75" customHeight="1" x14ac:dyDescent="0.3">
      <c r="A267" s="56"/>
      <c r="B267" s="56"/>
      <c r="C267" s="56"/>
      <c r="D267" s="56"/>
      <c r="E267" s="14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7"/>
      <c r="Q267" s="57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15.75" customHeight="1" x14ac:dyDescent="0.3">
      <c r="A268" s="56"/>
      <c r="B268" s="56"/>
      <c r="C268" s="56"/>
      <c r="D268" s="56"/>
      <c r="E268" s="14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7"/>
      <c r="Q268" s="57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15.75" customHeight="1" x14ac:dyDescent="0.3">
      <c r="A269" s="56"/>
      <c r="B269" s="56"/>
      <c r="C269" s="56"/>
      <c r="D269" s="56"/>
      <c r="E269" s="14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7"/>
      <c r="Q269" s="57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15.75" customHeight="1" x14ac:dyDescent="0.3">
      <c r="A270" s="56"/>
      <c r="B270" s="56"/>
      <c r="C270" s="56"/>
      <c r="D270" s="56"/>
      <c r="E270" s="14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7"/>
      <c r="Q270" s="57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15.75" customHeight="1" x14ac:dyDescent="0.3">
      <c r="A271" s="56"/>
      <c r="B271" s="56"/>
      <c r="C271" s="56"/>
      <c r="D271" s="56"/>
      <c r="E271" s="14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7"/>
      <c r="Q271" s="57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15.75" customHeight="1" x14ac:dyDescent="0.3">
      <c r="A272" s="56"/>
      <c r="B272" s="56"/>
      <c r="C272" s="56"/>
      <c r="D272" s="56"/>
      <c r="E272" s="14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7"/>
      <c r="Q272" s="57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15.75" customHeight="1" x14ac:dyDescent="0.3">
      <c r="A273" s="56"/>
      <c r="B273" s="56"/>
      <c r="C273" s="56"/>
      <c r="D273" s="56"/>
      <c r="E273" s="14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7"/>
      <c r="Q273" s="57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15.75" customHeight="1" x14ac:dyDescent="0.3">
      <c r="A274" s="56"/>
      <c r="B274" s="56"/>
      <c r="C274" s="56"/>
      <c r="D274" s="56"/>
      <c r="E274" s="14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7"/>
      <c r="Q274" s="57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15.75" customHeight="1" x14ac:dyDescent="0.3">
      <c r="A275" s="56"/>
      <c r="B275" s="56"/>
      <c r="C275" s="56"/>
      <c r="D275" s="56"/>
      <c r="E275" s="14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7"/>
      <c r="Q275" s="57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15.75" customHeight="1" x14ac:dyDescent="0.3">
      <c r="A276" s="56"/>
      <c r="B276" s="56"/>
      <c r="C276" s="56"/>
      <c r="D276" s="56"/>
      <c r="E276" s="14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7"/>
      <c r="Q276" s="57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15.75" customHeight="1" x14ac:dyDescent="0.3">
      <c r="A277" s="56"/>
      <c r="B277" s="56"/>
      <c r="C277" s="56"/>
      <c r="D277" s="56"/>
      <c r="E277" s="14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7"/>
      <c r="Q277" s="57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15.75" customHeight="1" x14ac:dyDescent="0.3">
      <c r="A278" s="56"/>
      <c r="B278" s="56"/>
      <c r="C278" s="56"/>
      <c r="D278" s="56"/>
      <c r="E278" s="14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7"/>
      <c r="Q278" s="57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15.75" customHeight="1" x14ac:dyDescent="0.3">
      <c r="A279" s="56"/>
      <c r="B279" s="56"/>
      <c r="C279" s="56"/>
      <c r="D279" s="56"/>
      <c r="E279" s="14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7"/>
      <c r="Q279" s="57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15.75" customHeight="1" x14ac:dyDescent="0.3">
      <c r="A280" s="56"/>
      <c r="B280" s="56"/>
      <c r="C280" s="56"/>
      <c r="D280" s="56"/>
      <c r="E280" s="14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7"/>
      <c r="Q280" s="57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15.75" customHeight="1" x14ac:dyDescent="0.3">
      <c r="A281" s="56"/>
      <c r="B281" s="56"/>
      <c r="C281" s="56"/>
      <c r="D281" s="56"/>
      <c r="E281" s="14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7"/>
      <c r="Q281" s="57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15.75" customHeight="1" x14ac:dyDescent="0.3">
      <c r="A282" s="56"/>
      <c r="B282" s="56"/>
      <c r="C282" s="56"/>
      <c r="D282" s="56"/>
      <c r="E282" s="14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7"/>
      <c r="Q282" s="57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15.75" customHeight="1" x14ac:dyDescent="0.3">
      <c r="A283" s="56"/>
      <c r="B283" s="56"/>
      <c r="C283" s="56"/>
      <c r="D283" s="56"/>
      <c r="E283" s="14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7"/>
      <c r="Q283" s="57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15.75" customHeight="1" x14ac:dyDescent="0.3">
      <c r="A284" s="56"/>
      <c r="B284" s="56"/>
      <c r="C284" s="56"/>
      <c r="D284" s="56"/>
      <c r="E284" s="14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7"/>
      <c r="Q284" s="57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15.75" customHeight="1" x14ac:dyDescent="0.3">
      <c r="A285" s="56"/>
      <c r="B285" s="56"/>
      <c r="C285" s="56"/>
      <c r="D285" s="56"/>
      <c r="E285" s="14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7"/>
      <c r="Q285" s="57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15.75" customHeight="1" x14ac:dyDescent="0.3">
      <c r="A286" s="56"/>
      <c r="B286" s="56"/>
      <c r="C286" s="56"/>
      <c r="D286" s="56"/>
      <c r="E286" s="14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7"/>
      <c r="Q286" s="57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15.75" customHeight="1" x14ac:dyDescent="0.3">
      <c r="A287" s="56"/>
      <c r="B287" s="56"/>
      <c r="C287" s="56"/>
      <c r="D287" s="56"/>
      <c r="E287" s="14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7"/>
      <c r="Q287" s="57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15.75" customHeight="1" x14ac:dyDescent="0.3">
      <c r="A288" s="56"/>
      <c r="B288" s="56"/>
      <c r="C288" s="56"/>
      <c r="D288" s="56"/>
      <c r="E288" s="14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7"/>
      <c r="Q288" s="57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15.75" customHeight="1" x14ac:dyDescent="0.3">
      <c r="A289" s="56"/>
      <c r="B289" s="56"/>
      <c r="C289" s="56"/>
      <c r="D289" s="56"/>
      <c r="E289" s="14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7"/>
      <c r="Q289" s="57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15.75" customHeight="1" x14ac:dyDescent="0.3">
      <c r="A290" s="56"/>
      <c r="B290" s="56"/>
      <c r="C290" s="56"/>
      <c r="D290" s="56"/>
      <c r="E290" s="14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7"/>
      <c r="Q290" s="57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15.75" customHeight="1" x14ac:dyDescent="0.3">
      <c r="A291" s="56"/>
      <c r="B291" s="56"/>
      <c r="C291" s="56"/>
      <c r="D291" s="56"/>
      <c r="E291" s="14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7"/>
      <c r="Q291" s="57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15.75" customHeight="1" x14ac:dyDescent="0.3">
      <c r="A292" s="56"/>
      <c r="B292" s="56"/>
      <c r="C292" s="56"/>
      <c r="D292" s="56"/>
      <c r="E292" s="14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7"/>
      <c r="Q292" s="57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15.75" customHeight="1" x14ac:dyDescent="0.3">
      <c r="A293" s="56"/>
      <c r="B293" s="56"/>
      <c r="C293" s="56"/>
      <c r="D293" s="56"/>
      <c r="E293" s="14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7"/>
      <c r="Q293" s="57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15.75" customHeight="1" x14ac:dyDescent="0.3">
      <c r="A294" s="56"/>
      <c r="B294" s="56"/>
      <c r="C294" s="56"/>
      <c r="D294" s="56"/>
      <c r="E294" s="14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7"/>
      <c r="Q294" s="57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15.75" customHeight="1" x14ac:dyDescent="0.3">
      <c r="A295" s="56"/>
      <c r="B295" s="56"/>
      <c r="C295" s="56"/>
      <c r="D295" s="56"/>
      <c r="E295" s="14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7"/>
      <c r="Q295" s="57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15.75" customHeight="1" x14ac:dyDescent="0.3">
      <c r="A296" s="56"/>
      <c r="B296" s="56"/>
      <c r="C296" s="56"/>
      <c r="D296" s="56"/>
      <c r="E296" s="14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7"/>
      <c r="Q296" s="57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15.75" customHeight="1" x14ac:dyDescent="0.3">
      <c r="A297" s="56"/>
      <c r="B297" s="56"/>
      <c r="C297" s="56"/>
      <c r="D297" s="56"/>
      <c r="E297" s="14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7"/>
      <c r="Q297" s="57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15.75" customHeight="1" x14ac:dyDescent="0.3">
      <c r="A298" s="56"/>
      <c r="B298" s="56"/>
      <c r="C298" s="56"/>
      <c r="D298" s="56"/>
      <c r="E298" s="14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7"/>
      <c r="Q298" s="57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15.75" customHeight="1" x14ac:dyDescent="0.3">
      <c r="A299" s="56"/>
      <c r="B299" s="56"/>
      <c r="C299" s="56"/>
      <c r="D299" s="56"/>
      <c r="E299" s="14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7"/>
      <c r="Q299" s="57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15.75" customHeight="1" x14ac:dyDescent="0.3">
      <c r="A300" s="56"/>
      <c r="B300" s="56"/>
      <c r="C300" s="56"/>
      <c r="D300" s="56"/>
      <c r="E300" s="14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7"/>
      <c r="Q300" s="57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15.75" customHeight="1" x14ac:dyDescent="0.3">
      <c r="A301" s="56"/>
      <c r="B301" s="56"/>
      <c r="C301" s="56"/>
      <c r="D301" s="56"/>
      <c r="E301" s="14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7"/>
      <c r="Q301" s="57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15.75" customHeight="1" x14ac:dyDescent="0.3">
      <c r="A302" s="56"/>
      <c r="B302" s="56"/>
      <c r="C302" s="56"/>
      <c r="D302" s="56"/>
      <c r="E302" s="14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7"/>
      <c r="Q302" s="57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15.75" customHeight="1" x14ac:dyDescent="0.3">
      <c r="A303" s="56"/>
      <c r="B303" s="56"/>
      <c r="C303" s="56"/>
      <c r="D303" s="56"/>
      <c r="E303" s="14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7"/>
      <c r="Q303" s="57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15.75" customHeight="1" x14ac:dyDescent="0.3">
      <c r="A304" s="56"/>
      <c r="B304" s="56"/>
      <c r="C304" s="56"/>
      <c r="D304" s="56"/>
      <c r="E304" s="14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7"/>
      <c r="Q304" s="57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15.75" customHeight="1" x14ac:dyDescent="0.3">
      <c r="A305" s="56"/>
      <c r="B305" s="56"/>
      <c r="C305" s="56"/>
      <c r="D305" s="56"/>
      <c r="E305" s="14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7"/>
      <c r="Q305" s="57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15.75" customHeight="1" x14ac:dyDescent="0.3">
      <c r="A306" s="56"/>
      <c r="B306" s="56"/>
      <c r="C306" s="56"/>
      <c r="D306" s="56"/>
      <c r="E306" s="14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7"/>
      <c r="Q306" s="57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15.75" customHeight="1" x14ac:dyDescent="0.3">
      <c r="A307" s="56"/>
      <c r="B307" s="56"/>
      <c r="C307" s="56"/>
      <c r="D307" s="56"/>
      <c r="E307" s="14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7"/>
      <c r="Q307" s="57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15.75" customHeight="1" x14ac:dyDescent="0.3">
      <c r="A308" s="56"/>
      <c r="B308" s="56"/>
      <c r="C308" s="56"/>
      <c r="D308" s="56"/>
      <c r="E308" s="14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7"/>
      <c r="Q308" s="57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15.75" customHeight="1" x14ac:dyDescent="0.3">
      <c r="A309" s="56"/>
      <c r="B309" s="56"/>
      <c r="C309" s="56"/>
      <c r="D309" s="56"/>
      <c r="E309" s="14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7"/>
      <c r="Q309" s="57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15.75" customHeight="1" x14ac:dyDescent="0.3">
      <c r="A310" s="56"/>
      <c r="B310" s="56"/>
      <c r="C310" s="56"/>
      <c r="D310" s="56"/>
      <c r="E310" s="14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7"/>
      <c r="Q310" s="57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15.75" customHeight="1" x14ac:dyDescent="0.3">
      <c r="A311" s="56"/>
      <c r="B311" s="56"/>
      <c r="C311" s="56"/>
      <c r="D311" s="56"/>
      <c r="E311" s="14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7"/>
      <c r="Q311" s="57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15.75" customHeight="1" x14ac:dyDescent="0.3">
      <c r="A312" s="56"/>
      <c r="B312" s="56"/>
      <c r="C312" s="56"/>
      <c r="D312" s="56"/>
      <c r="E312" s="14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7"/>
      <c r="Q312" s="57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15.75" customHeight="1" x14ac:dyDescent="0.3">
      <c r="A313" s="56"/>
      <c r="B313" s="56"/>
      <c r="C313" s="56"/>
      <c r="D313" s="56"/>
      <c r="E313" s="14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7"/>
      <c r="Q313" s="57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15.75" customHeight="1" x14ac:dyDescent="0.3">
      <c r="A314" s="56"/>
      <c r="B314" s="56"/>
      <c r="C314" s="56"/>
      <c r="D314" s="56"/>
      <c r="E314" s="14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7"/>
      <c r="Q314" s="57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15.75" customHeight="1" x14ac:dyDescent="0.3">
      <c r="A315" s="56"/>
      <c r="B315" s="56"/>
      <c r="C315" s="56"/>
      <c r="D315" s="56"/>
      <c r="E315" s="14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7"/>
      <c r="Q315" s="57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15.75" customHeight="1" x14ac:dyDescent="0.3">
      <c r="A316" s="56"/>
      <c r="B316" s="56"/>
      <c r="C316" s="56"/>
      <c r="D316" s="56"/>
      <c r="E316" s="14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7"/>
      <c r="Q316" s="57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15.75" customHeight="1" x14ac:dyDescent="0.3">
      <c r="A317" s="56"/>
      <c r="B317" s="56"/>
      <c r="C317" s="56"/>
      <c r="D317" s="56"/>
      <c r="E317" s="14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7"/>
      <c r="Q317" s="57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15.75" customHeight="1" x14ac:dyDescent="0.3">
      <c r="A318" s="56"/>
      <c r="B318" s="56"/>
      <c r="C318" s="56"/>
      <c r="D318" s="56"/>
      <c r="E318" s="14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7"/>
      <c r="Q318" s="57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15.75" customHeight="1" x14ac:dyDescent="0.3">
      <c r="A319" s="56"/>
      <c r="B319" s="56"/>
      <c r="C319" s="56"/>
      <c r="D319" s="56"/>
      <c r="E319" s="14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7"/>
      <c r="Q319" s="57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15.75" customHeight="1" x14ac:dyDescent="0.3">
      <c r="A320" s="56"/>
      <c r="B320" s="56"/>
      <c r="C320" s="56"/>
      <c r="D320" s="56"/>
      <c r="E320" s="14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7"/>
      <c r="Q320" s="57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15.75" customHeight="1" x14ac:dyDescent="0.3">
      <c r="A321" s="56"/>
      <c r="B321" s="56"/>
      <c r="C321" s="56"/>
      <c r="D321" s="56"/>
      <c r="E321" s="14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7"/>
      <c r="Q321" s="57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15.75" customHeight="1" x14ac:dyDescent="0.3">
      <c r="A322" s="56"/>
      <c r="B322" s="56"/>
      <c r="C322" s="56"/>
      <c r="D322" s="56"/>
      <c r="E322" s="14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7"/>
      <c r="Q322" s="57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15.75" customHeight="1" x14ac:dyDescent="0.3">
      <c r="A323" s="56"/>
      <c r="B323" s="56"/>
      <c r="C323" s="56"/>
      <c r="D323" s="56"/>
      <c r="E323" s="14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7"/>
      <c r="Q323" s="57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15.75" customHeight="1" x14ac:dyDescent="0.3">
      <c r="A324" s="56"/>
      <c r="B324" s="56"/>
      <c r="C324" s="56"/>
      <c r="D324" s="56"/>
      <c r="E324" s="14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7"/>
      <c r="Q324" s="57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15.75" customHeight="1" x14ac:dyDescent="0.3">
      <c r="A325" s="56"/>
      <c r="B325" s="56"/>
      <c r="C325" s="56"/>
      <c r="D325" s="56"/>
      <c r="E325" s="14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7"/>
      <c r="Q325" s="57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15.75" customHeight="1" x14ac:dyDescent="0.3">
      <c r="A326" s="56"/>
      <c r="B326" s="56"/>
      <c r="C326" s="56"/>
      <c r="D326" s="56"/>
      <c r="E326" s="14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7"/>
      <c r="Q326" s="57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15.75" customHeight="1" x14ac:dyDescent="0.3">
      <c r="A327" s="56"/>
      <c r="B327" s="56"/>
      <c r="C327" s="56"/>
      <c r="D327" s="56"/>
      <c r="E327" s="14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7"/>
      <c r="Q327" s="57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15.75" customHeight="1" x14ac:dyDescent="0.3">
      <c r="A328" s="56"/>
      <c r="B328" s="56"/>
      <c r="C328" s="56"/>
      <c r="D328" s="56"/>
      <c r="E328" s="14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7"/>
      <c r="Q328" s="57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15.75" customHeight="1" x14ac:dyDescent="0.3">
      <c r="A329" s="56"/>
      <c r="B329" s="56"/>
      <c r="C329" s="56"/>
      <c r="D329" s="56"/>
      <c r="E329" s="14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7"/>
      <c r="Q329" s="57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15.75" customHeight="1" x14ac:dyDescent="0.3">
      <c r="A330" s="56"/>
      <c r="B330" s="56"/>
      <c r="C330" s="56"/>
      <c r="D330" s="56"/>
      <c r="E330" s="14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7"/>
      <c r="Q330" s="57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15.75" customHeight="1" x14ac:dyDescent="0.3">
      <c r="A331" s="56"/>
      <c r="B331" s="56"/>
      <c r="C331" s="56"/>
      <c r="D331" s="56"/>
      <c r="E331" s="14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7"/>
      <c r="Q331" s="57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15.75" customHeight="1" x14ac:dyDescent="0.3">
      <c r="A332" s="56"/>
      <c r="B332" s="56"/>
      <c r="C332" s="56"/>
      <c r="D332" s="56"/>
      <c r="E332" s="14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7"/>
      <c r="Q332" s="57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15.75" customHeight="1" x14ac:dyDescent="0.3">
      <c r="A333" s="56"/>
      <c r="B333" s="56"/>
      <c r="C333" s="56"/>
      <c r="D333" s="56"/>
      <c r="E333" s="14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7"/>
      <c r="Q333" s="57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15.75" customHeight="1" x14ac:dyDescent="0.3">
      <c r="A334" s="56"/>
      <c r="B334" s="56"/>
      <c r="C334" s="56"/>
      <c r="D334" s="56"/>
      <c r="E334" s="14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7"/>
      <c r="Q334" s="57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15.75" customHeight="1" x14ac:dyDescent="0.3">
      <c r="A335" s="56"/>
      <c r="B335" s="56"/>
      <c r="C335" s="56"/>
      <c r="D335" s="56"/>
      <c r="E335" s="14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7"/>
      <c r="Q335" s="57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15.75" customHeight="1" x14ac:dyDescent="0.3">
      <c r="A336" s="56"/>
      <c r="B336" s="56"/>
      <c r="C336" s="56"/>
      <c r="D336" s="56"/>
      <c r="E336" s="14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7"/>
      <c r="Q336" s="57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15.75" customHeight="1" x14ac:dyDescent="0.3">
      <c r="A337" s="56"/>
      <c r="B337" s="56"/>
      <c r="C337" s="56"/>
      <c r="D337" s="56"/>
      <c r="E337" s="14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7"/>
      <c r="Q337" s="57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15.75" customHeight="1" x14ac:dyDescent="0.3">
      <c r="A338" s="56"/>
      <c r="B338" s="56"/>
      <c r="C338" s="56"/>
      <c r="D338" s="56"/>
      <c r="E338" s="14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7"/>
      <c r="Q338" s="57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15.75" customHeight="1" x14ac:dyDescent="0.3">
      <c r="A339" s="56"/>
      <c r="B339" s="56"/>
      <c r="C339" s="56"/>
      <c r="D339" s="56"/>
      <c r="E339" s="14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7"/>
      <c r="Q339" s="57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15.75" customHeight="1" x14ac:dyDescent="0.3">
      <c r="A340" s="56"/>
      <c r="B340" s="56"/>
      <c r="C340" s="56"/>
      <c r="D340" s="56"/>
      <c r="E340" s="14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7"/>
      <c r="Q340" s="57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15.75" customHeight="1" x14ac:dyDescent="0.3">
      <c r="A341" s="56"/>
      <c r="B341" s="56"/>
      <c r="C341" s="56"/>
      <c r="D341" s="56"/>
      <c r="E341" s="14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7"/>
      <c r="Q341" s="57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15.75" customHeight="1" x14ac:dyDescent="0.3">
      <c r="A342" s="56"/>
      <c r="B342" s="56"/>
      <c r="C342" s="56"/>
      <c r="D342" s="56"/>
      <c r="E342" s="14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7"/>
      <c r="Q342" s="57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15.75" customHeight="1" x14ac:dyDescent="0.3">
      <c r="A343" s="56"/>
      <c r="B343" s="56"/>
      <c r="C343" s="56"/>
      <c r="D343" s="56"/>
      <c r="E343" s="14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7"/>
      <c r="Q343" s="57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15.75" customHeight="1" x14ac:dyDescent="0.3">
      <c r="A344" s="56"/>
      <c r="B344" s="56"/>
      <c r="C344" s="56"/>
      <c r="D344" s="56"/>
      <c r="E344" s="14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7"/>
      <c r="Q344" s="57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15.75" customHeight="1" x14ac:dyDescent="0.3">
      <c r="A345" s="56"/>
      <c r="B345" s="56"/>
      <c r="C345" s="56"/>
      <c r="D345" s="56"/>
      <c r="E345" s="14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7"/>
      <c r="Q345" s="57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15.75" customHeight="1" x14ac:dyDescent="0.3">
      <c r="A346" s="56"/>
      <c r="B346" s="56"/>
      <c r="C346" s="56"/>
      <c r="D346" s="56"/>
      <c r="E346" s="14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7"/>
      <c r="Q346" s="57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15.75" customHeight="1" x14ac:dyDescent="0.3">
      <c r="A347" s="56"/>
      <c r="B347" s="56"/>
      <c r="C347" s="56"/>
      <c r="D347" s="56"/>
      <c r="E347" s="14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7"/>
      <c r="Q347" s="57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15.75" customHeight="1" x14ac:dyDescent="0.3">
      <c r="A348" s="56"/>
      <c r="B348" s="56"/>
      <c r="C348" s="56"/>
      <c r="D348" s="56"/>
      <c r="E348" s="14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7"/>
      <c r="Q348" s="57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15.75" customHeight="1" x14ac:dyDescent="0.3">
      <c r="A349" s="56"/>
      <c r="B349" s="56"/>
      <c r="C349" s="56"/>
      <c r="D349" s="56"/>
      <c r="E349" s="14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7"/>
      <c r="Q349" s="57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15.75" customHeight="1" x14ac:dyDescent="0.3">
      <c r="A350" s="56"/>
      <c r="B350" s="56"/>
      <c r="C350" s="56"/>
      <c r="D350" s="56"/>
      <c r="E350" s="14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7"/>
      <c r="Q350" s="57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15.75" customHeight="1" x14ac:dyDescent="0.3">
      <c r="A351" s="56"/>
      <c r="B351" s="56"/>
      <c r="C351" s="56"/>
      <c r="D351" s="56"/>
      <c r="E351" s="14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7"/>
      <c r="Q351" s="57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15.75" customHeight="1" x14ac:dyDescent="0.3">
      <c r="A352" s="56"/>
      <c r="B352" s="56"/>
      <c r="C352" s="56"/>
      <c r="D352" s="56"/>
      <c r="E352" s="14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7"/>
      <c r="Q352" s="57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15.75" customHeight="1" x14ac:dyDescent="0.3">
      <c r="A353" s="56"/>
      <c r="B353" s="56"/>
      <c r="C353" s="56"/>
      <c r="D353" s="56"/>
      <c r="E353" s="14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7"/>
      <c r="Q353" s="57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15.75" customHeight="1" x14ac:dyDescent="0.3">
      <c r="A354" s="56"/>
      <c r="B354" s="56"/>
      <c r="C354" s="56"/>
      <c r="D354" s="56"/>
      <c r="E354" s="14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7"/>
      <c r="Q354" s="57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15.75" customHeight="1" x14ac:dyDescent="0.3">
      <c r="A355" s="56"/>
      <c r="B355" s="56"/>
      <c r="C355" s="56"/>
      <c r="D355" s="56"/>
      <c r="E355" s="14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7"/>
      <c r="Q355" s="57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15.75" customHeight="1" x14ac:dyDescent="0.3">
      <c r="A356" s="56"/>
      <c r="B356" s="56"/>
      <c r="C356" s="56"/>
      <c r="D356" s="56"/>
      <c r="E356" s="14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7"/>
      <c r="Q356" s="57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15.75" customHeight="1" x14ac:dyDescent="0.3">
      <c r="A357" s="56"/>
      <c r="B357" s="56"/>
      <c r="C357" s="56"/>
      <c r="D357" s="56"/>
      <c r="E357" s="14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7"/>
      <c r="Q357" s="57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15.75" customHeight="1" x14ac:dyDescent="0.3">
      <c r="A358" s="56"/>
      <c r="B358" s="56"/>
      <c r="C358" s="56"/>
      <c r="D358" s="56"/>
      <c r="E358" s="14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7"/>
      <c r="Q358" s="57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15.75" customHeight="1" x14ac:dyDescent="0.3">
      <c r="A359" s="56"/>
      <c r="B359" s="56"/>
      <c r="C359" s="56"/>
      <c r="D359" s="56"/>
      <c r="E359" s="14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7"/>
      <c r="Q359" s="57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15.75" customHeight="1" x14ac:dyDescent="0.3">
      <c r="A360" s="56"/>
      <c r="B360" s="56"/>
      <c r="C360" s="56"/>
      <c r="D360" s="56"/>
      <c r="E360" s="14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7"/>
      <c r="Q360" s="57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15.75" customHeight="1" x14ac:dyDescent="0.3">
      <c r="A361" s="56"/>
      <c r="B361" s="56"/>
      <c r="C361" s="56"/>
      <c r="D361" s="56"/>
      <c r="E361" s="14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7"/>
      <c r="Q361" s="57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15.75" customHeight="1" x14ac:dyDescent="0.3">
      <c r="A362" s="56"/>
      <c r="B362" s="56"/>
      <c r="C362" s="56"/>
      <c r="D362" s="56"/>
      <c r="E362" s="14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7"/>
      <c r="Q362" s="57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15.75" customHeight="1" x14ac:dyDescent="0.3">
      <c r="A363" s="56"/>
      <c r="B363" s="56"/>
      <c r="C363" s="56"/>
      <c r="D363" s="56"/>
      <c r="E363" s="14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7"/>
      <c r="Q363" s="57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15.75" customHeight="1" x14ac:dyDescent="0.3">
      <c r="A364" s="56"/>
      <c r="B364" s="56"/>
      <c r="C364" s="56"/>
      <c r="D364" s="56"/>
      <c r="E364" s="14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7"/>
      <c r="Q364" s="57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15.75" customHeight="1" x14ac:dyDescent="0.3">
      <c r="A365" s="56"/>
      <c r="B365" s="56"/>
      <c r="C365" s="56"/>
      <c r="D365" s="56"/>
      <c r="E365" s="14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7"/>
      <c r="Q365" s="57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15.75" customHeight="1" x14ac:dyDescent="0.3">
      <c r="A366" s="56"/>
      <c r="B366" s="56"/>
      <c r="C366" s="56"/>
      <c r="D366" s="56"/>
      <c r="E366" s="14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7"/>
      <c r="Q366" s="57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15.75" customHeight="1" x14ac:dyDescent="0.3">
      <c r="A367" s="56"/>
      <c r="B367" s="56"/>
      <c r="C367" s="56"/>
      <c r="D367" s="56"/>
      <c r="E367" s="14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7"/>
      <c r="Q367" s="57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15.75" customHeight="1" x14ac:dyDescent="0.3">
      <c r="A368" s="56"/>
      <c r="B368" s="56"/>
      <c r="C368" s="56"/>
      <c r="D368" s="56"/>
      <c r="E368" s="14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7"/>
      <c r="Q368" s="57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15.75" customHeight="1" x14ac:dyDescent="0.3">
      <c r="A369" s="56"/>
      <c r="B369" s="56"/>
      <c r="C369" s="56"/>
      <c r="D369" s="56"/>
      <c r="E369" s="14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7"/>
      <c r="Q369" s="57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15.75" customHeight="1" x14ac:dyDescent="0.3">
      <c r="A370" s="56"/>
      <c r="B370" s="56"/>
      <c r="C370" s="56"/>
      <c r="D370" s="56"/>
      <c r="E370" s="14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7"/>
      <c r="Q370" s="57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15.75" customHeight="1" x14ac:dyDescent="0.3">
      <c r="A371" s="56"/>
      <c r="B371" s="56"/>
      <c r="C371" s="56"/>
      <c r="D371" s="56"/>
      <c r="E371" s="14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7"/>
      <c r="Q371" s="57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15.75" customHeight="1" x14ac:dyDescent="0.3">
      <c r="A372" s="56"/>
      <c r="B372" s="56"/>
      <c r="C372" s="56"/>
      <c r="D372" s="56"/>
      <c r="E372" s="14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7"/>
      <c r="Q372" s="57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15.75" customHeight="1" x14ac:dyDescent="0.3">
      <c r="A373" s="56"/>
      <c r="B373" s="56"/>
      <c r="C373" s="56"/>
      <c r="D373" s="56"/>
      <c r="E373" s="14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7"/>
      <c r="Q373" s="57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15.75" customHeight="1" x14ac:dyDescent="0.3">
      <c r="A374" s="56"/>
      <c r="B374" s="56"/>
      <c r="C374" s="56"/>
      <c r="D374" s="56"/>
      <c r="E374" s="14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7"/>
      <c r="Q374" s="57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15.75" customHeight="1" x14ac:dyDescent="0.3">
      <c r="A375" s="56"/>
      <c r="B375" s="56"/>
      <c r="C375" s="56"/>
      <c r="D375" s="56"/>
      <c r="E375" s="14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7"/>
      <c r="Q375" s="57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15.75" customHeight="1" x14ac:dyDescent="0.3">
      <c r="A376" s="56"/>
      <c r="B376" s="56"/>
      <c r="C376" s="56"/>
      <c r="D376" s="56"/>
      <c r="E376" s="14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7"/>
      <c r="Q376" s="57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15.75" customHeight="1" x14ac:dyDescent="0.3">
      <c r="A377" s="56"/>
      <c r="B377" s="56"/>
      <c r="C377" s="56"/>
      <c r="D377" s="56"/>
      <c r="E377" s="14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7"/>
      <c r="Q377" s="57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15.75" customHeight="1" x14ac:dyDescent="0.3">
      <c r="A378" s="56"/>
      <c r="B378" s="56"/>
      <c r="C378" s="56"/>
      <c r="D378" s="56"/>
      <c r="E378" s="14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7"/>
      <c r="Q378" s="57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15.75" customHeight="1" x14ac:dyDescent="0.3">
      <c r="A379" s="56"/>
      <c r="B379" s="56"/>
      <c r="C379" s="56"/>
      <c r="D379" s="56"/>
      <c r="E379" s="14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7"/>
      <c r="Q379" s="57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15.75" customHeight="1" x14ac:dyDescent="0.3">
      <c r="A380" s="56"/>
      <c r="B380" s="56"/>
      <c r="C380" s="56"/>
      <c r="D380" s="56"/>
      <c r="E380" s="14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7"/>
      <c r="Q380" s="57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15.75" customHeight="1" x14ac:dyDescent="0.3">
      <c r="A381" s="56"/>
      <c r="B381" s="56"/>
      <c r="C381" s="56"/>
      <c r="D381" s="56"/>
      <c r="E381" s="14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7"/>
      <c r="Q381" s="57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15.75" customHeight="1" x14ac:dyDescent="0.3">
      <c r="A382" s="56"/>
      <c r="B382" s="56"/>
      <c r="C382" s="56"/>
      <c r="D382" s="56"/>
      <c r="E382" s="14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7"/>
      <c r="Q382" s="57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15.75" customHeight="1" x14ac:dyDescent="0.3">
      <c r="A383" s="56"/>
      <c r="B383" s="56"/>
      <c r="C383" s="56"/>
      <c r="D383" s="56"/>
      <c r="E383" s="14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7"/>
      <c r="Q383" s="57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15.75" customHeight="1" x14ac:dyDescent="0.3">
      <c r="A384" s="56"/>
      <c r="B384" s="56"/>
      <c r="C384" s="56"/>
      <c r="D384" s="56"/>
      <c r="E384" s="14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7"/>
      <c r="Q384" s="57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15.75" customHeight="1" x14ac:dyDescent="0.3">
      <c r="A385" s="56"/>
      <c r="B385" s="56"/>
      <c r="C385" s="56"/>
      <c r="D385" s="56"/>
      <c r="E385" s="14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7"/>
      <c r="Q385" s="57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15.75" customHeight="1" x14ac:dyDescent="0.3">
      <c r="A386" s="56"/>
      <c r="B386" s="56"/>
      <c r="C386" s="56"/>
      <c r="D386" s="56"/>
      <c r="E386" s="14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7"/>
      <c r="Q386" s="57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15.75" customHeight="1" x14ac:dyDescent="0.3">
      <c r="A387" s="56"/>
      <c r="B387" s="56"/>
      <c r="C387" s="56"/>
      <c r="D387" s="56"/>
      <c r="E387" s="14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7"/>
      <c r="Q387" s="57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15.75" customHeight="1" x14ac:dyDescent="0.3">
      <c r="A388" s="56"/>
      <c r="B388" s="56"/>
      <c r="C388" s="56"/>
      <c r="D388" s="56"/>
      <c r="E388" s="14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7"/>
      <c r="Q388" s="57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15.75" customHeight="1" x14ac:dyDescent="0.3">
      <c r="A389" s="56"/>
      <c r="B389" s="56"/>
      <c r="C389" s="56"/>
      <c r="D389" s="56"/>
      <c r="E389" s="14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7"/>
      <c r="Q389" s="57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15.75" customHeight="1" x14ac:dyDescent="0.3">
      <c r="A390" s="56"/>
      <c r="B390" s="56"/>
      <c r="C390" s="56"/>
      <c r="D390" s="56"/>
      <c r="E390" s="14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7"/>
      <c r="Q390" s="57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15.75" customHeight="1" x14ac:dyDescent="0.3">
      <c r="A391" s="56"/>
      <c r="B391" s="56"/>
      <c r="C391" s="56"/>
      <c r="D391" s="56"/>
      <c r="E391" s="14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7"/>
      <c r="Q391" s="57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15.75" customHeight="1" x14ac:dyDescent="0.3">
      <c r="A392" s="56"/>
      <c r="B392" s="56"/>
      <c r="C392" s="56"/>
      <c r="D392" s="56"/>
      <c r="E392" s="14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7"/>
      <c r="Q392" s="57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15.75" customHeight="1" x14ac:dyDescent="0.3">
      <c r="A393" s="56"/>
      <c r="B393" s="56"/>
      <c r="C393" s="56"/>
      <c r="D393" s="56"/>
      <c r="E393" s="14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7"/>
      <c r="Q393" s="57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15.75" customHeight="1" x14ac:dyDescent="0.3">
      <c r="A394" s="56"/>
      <c r="B394" s="56"/>
      <c r="C394" s="56"/>
      <c r="D394" s="56"/>
      <c r="E394" s="14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7"/>
      <c r="Q394" s="57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15.75" customHeight="1" x14ac:dyDescent="0.3">
      <c r="A395" s="56"/>
      <c r="B395" s="56"/>
      <c r="C395" s="56"/>
      <c r="D395" s="56"/>
      <c r="E395" s="14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7"/>
      <c r="Q395" s="57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15.75" customHeight="1" x14ac:dyDescent="0.3">
      <c r="A396" s="56"/>
      <c r="B396" s="56"/>
      <c r="C396" s="56"/>
      <c r="D396" s="56"/>
      <c r="E396" s="14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7"/>
      <c r="Q396" s="57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15.75" customHeight="1" x14ac:dyDescent="0.3">
      <c r="A397" s="56"/>
      <c r="B397" s="56"/>
      <c r="C397" s="56"/>
      <c r="D397" s="56"/>
      <c r="E397" s="14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7"/>
      <c r="Q397" s="57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15.75" customHeight="1" x14ac:dyDescent="0.3">
      <c r="A398" s="56"/>
      <c r="B398" s="56"/>
      <c r="C398" s="56"/>
      <c r="D398" s="56"/>
      <c r="E398" s="14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7"/>
      <c r="Q398" s="57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15.75" customHeight="1" x14ac:dyDescent="0.3">
      <c r="A399" s="56"/>
      <c r="B399" s="56"/>
      <c r="C399" s="56"/>
      <c r="D399" s="56"/>
      <c r="E399" s="14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7"/>
      <c r="Q399" s="57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15.75" customHeight="1" x14ac:dyDescent="0.3">
      <c r="A400" s="56"/>
      <c r="B400" s="56"/>
      <c r="C400" s="56"/>
      <c r="D400" s="56"/>
      <c r="E400" s="14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7"/>
      <c r="Q400" s="57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15.75" customHeight="1" x14ac:dyDescent="0.3">
      <c r="A401" s="56"/>
      <c r="B401" s="56"/>
      <c r="C401" s="56"/>
      <c r="D401" s="56"/>
      <c r="E401" s="14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7"/>
      <c r="Q401" s="57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15.75" customHeight="1" x14ac:dyDescent="0.3">
      <c r="A402" s="56"/>
      <c r="B402" s="56"/>
      <c r="C402" s="56"/>
      <c r="D402" s="56"/>
      <c r="E402" s="14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7"/>
      <c r="Q402" s="57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15.75" customHeight="1" x14ac:dyDescent="0.3">
      <c r="A403" s="56"/>
      <c r="B403" s="56"/>
      <c r="C403" s="56"/>
      <c r="D403" s="56"/>
      <c r="E403" s="14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7"/>
      <c r="Q403" s="57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15.75" customHeight="1" x14ac:dyDescent="0.3">
      <c r="A404" s="56"/>
      <c r="B404" s="56"/>
      <c r="C404" s="56"/>
      <c r="D404" s="56"/>
      <c r="E404" s="14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7"/>
      <c r="Q404" s="57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15.75" customHeight="1" x14ac:dyDescent="0.3">
      <c r="A405" s="56"/>
      <c r="B405" s="56"/>
      <c r="C405" s="56"/>
      <c r="D405" s="56"/>
      <c r="E405" s="14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7"/>
      <c r="Q405" s="57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15.75" customHeight="1" x14ac:dyDescent="0.3">
      <c r="A406" s="56"/>
      <c r="B406" s="56"/>
      <c r="C406" s="56"/>
      <c r="D406" s="56"/>
      <c r="E406" s="14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7"/>
      <c r="Q406" s="57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15.75" customHeight="1" x14ac:dyDescent="0.3">
      <c r="A407" s="56"/>
      <c r="B407" s="56"/>
      <c r="C407" s="56"/>
      <c r="D407" s="56"/>
      <c r="E407" s="14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7"/>
      <c r="Q407" s="57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15.75" customHeight="1" x14ac:dyDescent="0.3">
      <c r="A408" s="56"/>
      <c r="B408" s="56"/>
      <c r="C408" s="56"/>
      <c r="D408" s="56"/>
      <c r="E408" s="14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7"/>
      <c r="Q408" s="57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15.75" customHeight="1" x14ac:dyDescent="0.3">
      <c r="A409" s="56"/>
      <c r="B409" s="56"/>
      <c r="C409" s="56"/>
      <c r="D409" s="56"/>
      <c r="E409" s="14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7"/>
      <c r="Q409" s="57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15.75" customHeight="1" x14ac:dyDescent="0.3">
      <c r="A410" s="56"/>
      <c r="B410" s="56"/>
      <c r="C410" s="56"/>
      <c r="D410" s="56"/>
      <c r="E410" s="14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7"/>
      <c r="Q410" s="57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15.75" customHeight="1" x14ac:dyDescent="0.3">
      <c r="A411" s="56"/>
      <c r="B411" s="56"/>
      <c r="C411" s="56"/>
      <c r="D411" s="56"/>
      <c r="E411" s="14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7"/>
      <c r="Q411" s="57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15.75" customHeight="1" x14ac:dyDescent="0.3">
      <c r="A412" s="56"/>
      <c r="B412" s="56"/>
      <c r="C412" s="56"/>
      <c r="D412" s="56"/>
      <c r="E412" s="14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7"/>
      <c r="Q412" s="57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15.75" customHeight="1" x14ac:dyDescent="0.3">
      <c r="A413" s="56"/>
      <c r="B413" s="56"/>
      <c r="C413" s="56"/>
      <c r="D413" s="56"/>
      <c r="E413" s="14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7"/>
      <c r="Q413" s="57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15.75" customHeight="1" x14ac:dyDescent="0.3">
      <c r="A414" s="56"/>
      <c r="B414" s="56"/>
      <c r="C414" s="56"/>
      <c r="D414" s="56"/>
      <c r="E414" s="14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7"/>
      <c r="Q414" s="57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15.75" customHeight="1" x14ac:dyDescent="0.3">
      <c r="A415" s="56"/>
      <c r="B415" s="56"/>
      <c r="C415" s="56"/>
      <c r="D415" s="56"/>
      <c r="E415" s="14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7"/>
      <c r="Q415" s="57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15.75" customHeight="1" x14ac:dyDescent="0.3">
      <c r="A416" s="56"/>
      <c r="B416" s="56"/>
      <c r="C416" s="56"/>
      <c r="D416" s="56"/>
      <c r="E416" s="14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7"/>
      <c r="Q416" s="57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15.75" customHeight="1" x14ac:dyDescent="0.3">
      <c r="A417" s="56"/>
      <c r="B417" s="56"/>
      <c r="C417" s="56"/>
      <c r="D417" s="56"/>
      <c r="E417" s="14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7"/>
      <c r="Q417" s="57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15.75" customHeight="1" x14ac:dyDescent="0.3">
      <c r="A418" s="56"/>
      <c r="B418" s="56"/>
      <c r="C418" s="56"/>
      <c r="D418" s="56"/>
      <c r="E418" s="14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7"/>
      <c r="Q418" s="57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15.75" customHeight="1" x14ac:dyDescent="0.3">
      <c r="A419" s="56"/>
      <c r="B419" s="56"/>
      <c r="C419" s="56"/>
      <c r="D419" s="56"/>
      <c r="E419" s="14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7"/>
      <c r="Q419" s="57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15.75" customHeight="1" x14ac:dyDescent="0.3">
      <c r="A420" s="56"/>
      <c r="B420" s="56"/>
      <c r="C420" s="56"/>
      <c r="D420" s="56"/>
      <c r="E420" s="14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7"/>
      <c r="Q420" s="57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15.75" customHeight="1" x14ac:dyDescent="0.3">
      <c r="A421" s="56"/>
      <c r="B421" s="56"/>
      <c r="C421" s="56"/>
      <c r="D421" s="56"/>
      <c r="E421" s="14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7"/>
      <c r="Q421" s="57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15.75" customHeight="1" x14ac:dyDescent="0.3">
      <c r="A422" s="56"/>
      <c r="B422" s="56"/>
      <c r="C422" s="56"/>
      <c r="D422" s="56"/>
      <c r="E422" s="14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7"/>
      <c r="Q422" s="57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15.75" customHeight="1" x14ac:dyDescent="0.3">
      <c r="A423" s="56"/>
      <c r="B423" s="56"/>
      <c r="C423" s="56"/>
      <c r="D423" s="56"/>
      <c r="E423" s="14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7"/>
      <c r="Q423" s="57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15.75" customHeight="1" x14ac:dyDescent="0.3">
      <c r="A424" s="56"/>
      <c r="B424" s="56"/>
      <c r="C424" s="56"/>
      <c r="D424" s="56"/>
      <c r="E424" s="14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7"/>
      <c r="Q424" s="57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15.75" customHeight="1" x14ac:dyDescent="0.3">
      <c r="A425" s="56"/>
      <c r="B425" s="56"/>
      <c r="C425" s="56"/>
      <c r="D425" s="56"/>
      <c r="E425" s="14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7"/>
      <c r="Q425" s="57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15.75" customHeight="1" x14ac:dyDescent="0.3">
      <c r="A426" s="56"/>
      <c r="B426" s="56"/>
      <c r="C426" s="56"/>
      <c r="D426" s="56"/>
      <c r="E426" s="14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7"/>
      <c r="Q426" s="57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15.75" customHeight="1" x14ac:dyDescent="0.3">
      <c r="A427" s="56"/>
      <c r="B427" s="56"/>
      <c r="C427" s="56"/>
      <c r="D427" s="56"/>
      <c r="E427" s="14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7"/>
      <c r="Q427" s="57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15.75" customHeight="1" x14ac:dyDescent="0.3">
      <c r="A428" s="56"/>
      <c r="B428" s="56"/>
      <c r="C428" s="56"/>
      <c r="D428" s="56"/>
      <c r="E428" s="14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7"/>
      <c r="Q428" s="57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15.75" customHeight="1" x14ac:dyDescent="0.3">
      <c r="A429" s="56"/>
      <c r="B429" s="56"/>
      <c r="C429" s="56"/>
      <c r="D429" s="56"/>
      <c r="E429" s="14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7"/>
      <c r="Q429" s="57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15.75" customHeight="1" x14ac:dyDescent="0.3">
      <c r="A430" s="56"/>
      <c r="B430" s="56"/>
      <c r="C430" s="56"/>
      <c r="D430" s="56"/>
      <c r="E430" s="14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7"/>
      <c r="Q430" s="57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15.75" customHeight="1" x14ac:dyDescent="0.3">
      <c r="A431" s="56"/>
      <c r="B431" s="56"/>
      <c r="C431" s="56"/>
      <c r="D431" s="56"/>
      <c r="E431" s="14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7"/>
      <c r="Q431" s="57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15.75" customHeight="1" x14ac:dyDescent="0.3">
      <c r="A432" s="56"/>
      <c r="B432" s="56"/>
      <c r="C432" s="56"/>
      <c r="D432" s="56"/>
      <c r="E432" s="14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7"/>
      <c r="Q432" s="57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15.75" customHeight="1" x14ac:dyDescent="0.3">
      <c r="A433" s="56"/>
      <c r="B433" s="56"/>
      <c r="C433" s="56"/>
      <c r="D433" s="56"/>
      <c r="E433" s="14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7"/>
      <c r="Q433" s="57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15.75" customHeight="1" x14ac:dyDescent="0.3">
      <c r="A434" s="56"/>
      <c r="B434" s="56"/>
      <c r="C434" s="56"/>
      <c r="D434" s="56"/>
      <c r="E434" s="14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7"/>
      <c r="Q434" s="57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15.75" customHeight="1" x14ac:dyDescent="0.3">
      <c r="A435" s="56"/>
      <c r="B435" s="56"/>
      <c r="C435" s="56"/>
      <c r="D435" s="56"/>
      <c r="E435" s="14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7"/>
      <c r="Q435" s="57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15.75" customHeight="1" x14ac:dyDescent="0.3">
      <c r="A436" s="56"/>
      <c r="B436" s="56"/>
      <c r="C436" s="56"/>
      <c r="D436" s="56"/>
      <c r="E436" s="14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7"/>
      <c r="Q436" s="57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15.75" customHeight="1" x14ac:dyDescent="0.3">
      <c r="A437" s="56"/>
      <c r="B437" s="56"/>
      <c r="C437" s="56"/>
      <c r="D437" s="56"/>
      <c r="E437" s="14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7"/>
      <c r="Q437" s="57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15.75" customHeight="1" x14ac:dyDescent="0.3">
      <c r="A438" s="56"/>
      <c r="B438" s="56"/>
      <c r="C438" s="56"/>
      <c r="D438" s="56"/>
      <c r="E438" s="14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7"/>
      <c r="Q438" s="57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15.75" customHeight="1" x14ac:dyDescent="0.3">
      <c r="A439" s="56"/>
      <c r="B439" s="56"/>
      <c r="C439" s="56"/>
      <c r="D439" s="56"/>
      <c r="E439" s="14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7"/>
      <c r="Q439" s="57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15.75" customHeight="1" x14ac:dyDescent="0.3">
      <c r="A440" s="56"/>
      <c r="B440" s="56"/>
      <c r="C440" s="56"/>
      <c r="D440" s="56"/>
      <c r="E440" s="14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7"/>
      <c r="Q440" s="57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15.75" customHeight="1" x14ac:dyDescent="0.3">
      <c r="A441" s="56"/>
      <c r="B441" s="56"/>
      <c r="C441" s="56"/>
      <c r="D441" s="56"/>
      <c r="E441" s="14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7"/>
      <c r="Q441" s="57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15.75" customHeight="1" x14ac:dyDescent="0.3">
      <c r="A442" s="56"/>
      <c r="B442" s="56"/>
      <c r="C442" s="56"/>
      <c r="D442" s="56"/>
      <c r="E442" s="14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7"/>
      <c r="Q442" s="57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15.75" customHeight="1" x14ac:dyDescent="0.3">
      <c r="A443" s="56"/>
      <c r="B443" s="56"/>
      <c r="C443" s="56"/>
      <c r="D443" s="56"/>
      <c r="E443" s="14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7"/>
      <c r="Q443" s="57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15.75" customHeight="1" x14ac:dyDescent="0.3">
      <c r="A444" s="56"/>
      <c r="B444" s="56"/>
      <c r="C444" s="56"/>
      <c r="D444" s="56"/>
      <c r="E444" s="14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7"/>
      <c r="Q444" s="57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15.75" customHeight="1" x14ac:dyDescent="0.3">
      <c r="A445" s="56"/>
      <c r="B445" s="56"/>
      <c r="C445" s="56"/>
      <c r="D445" s="56"/>
      <c r="E445" s="14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7"/>
      <c r="Q445" s="57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15.75" customHeight="1" x14ac:dyDescent="0.3">
      <c r="A446" s="56"/>
      <c r="B446" s="56"/>
      <c r="C446" s="56"/>
      <c r="D446" s="56"/>
      <c r="E446" s="14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7"/>
      <c r="Q446" s="57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15.75" customHeight="1" x14ac:dyDescent="0.3">
      <c r="A447" s="56"/>
      <c r="B447" s="56"/>
      <c r="C447" s="56"/>
      <c r="D447" s="56"/>
      <c r="E447" s="14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7"/>
      <c r="Q447" s="57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15.75" customHeight="1" x14ac:dyDescent="0.3">
      <c r="A448" s="56"/>
      <c r="B448" s="56"/>
      <c r="C448" s="56"/>
      <c r="D448" s="56"/>
      <c r="E448" s="14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7"/>
      <c r="Q448" s="57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15.75" customHeight="1" x14ac:dyDescent="0.3">
      <c r="A449" s="56"/>
      <c r="B449" s="56"/>
      <c r="C449" s="56"/>
      <c r="D449" s="56"/>
      <c r="E449" s="14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7"/>
      <c r="Q449" s="57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15.75" customHeight="1" x14ac:dyDescent="0.3">
      <c r="A450" s="56"/>
      <c r="B450" s="56"/>
      <c r="C450" s="56"/>
      <c r="D450" s="56"/>
      <c r="E450" s="14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7"/>
      <c r="Q450" s="57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15.75" customHeight="1" x14ac:dyDescent="0.3">
      <c r="A451" s="56"/>
      <c r="B451" s="56"/>
      <c r="C451" s="56"/>
      <c r="D451" s="56"/>
      <c r="E451" s="14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7"/>
      <c r="Q451" s="57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15.75" customHeight="1" x14ac:dyDescent="0.3">
      <c r="A452" s="56"/>
      <c r="B452" s="56"/>
      <c r="C452" s="56"/>
      <c r="D452" s="56"/>
      <c r="E452" s="14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7"/>
      <c r="Q452" s="57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15.75" customHeight="1" x14ac:dyDescent="0.3">
      <c r="A453" s="56"/>
      <c r="B453" s="56"/>
      <c r="C453" s="56"/>
      <c r="D453" s="56"/>
      <c r="E453" s="14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7"/>
      <c r="Q453" s="57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15.75" customHeight="1" x14ac:dyDescent="0.3">
      <c r="A454" s="56"/>
      <c r="B454" s="56"/>
      <c r="C454" s="56"/>
      <c r="D454" s="56"/>
      <c r="E454" s="14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7"/>
      <c r="Q454" s="57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15.75" customHeight="1" x14ac:dyDescent="0.3">
      <c r="A455" s="56"/>
      <c r="B455" s="56"/>
      <c r="C455" s="56"/>
      <c r="D455" s="56"/>
      <c r="E455" s="14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7"/>
      <c r="Q455" s="57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15.75" customHeight="1" x14ac:dyDescent="0.3">
      <c r="A456" s="56"/>
      <c r="B456" s="56"/>
      <c r="C456" s="56"/>
      <c r="D456" s="56"/>
      <c r="E456" s="14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7"/>
      <c r="Q456" s="57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15.75" customHeight="1" x14ac:dyDescent="0.3">
      <c r="A457" s="56"/>
      <c r="B457" s="56"/>
      <c r="C457" s="56"/>
      <c r="D457" s="56"/>
      <c r="E457" s="14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7"/>
      <c r="Q457" s="57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15.75" customHeight="1" x14ac:dyDescent="0.3">
      <c r="A458" s="56"/>
      <c r="B458" s="56"/>
      <c r="C458" s="56"/>
      <c r="D458" s="56"/>
      <c r="E458" s="14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7"/>
      <c r="Q458" s="57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15.75" customHeight="1" x14ac:dyDescent="0.3">
      <c r="A459" s="56"/>
      <c r="B459" s="56"/>
      <c r="C459" s="56"/>
      <c r="D459" s="56"/>
      <c r="E459" s="14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7"/>
      <c r="Q459" s="57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15.75" customHeight="1" x14ac:dyDescent="0.3">
      <c r="A460" s="56"/>
      <c r="B460" s="56"/>
      <c r="C460" s="56"/>
      <c r="D460" s="56"/>
      <c r="E460" s="14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7"/>
      <c r="Q460" s="57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15.75" customHeight="1" x14ac:dyDescent="0.3">
      <c r="A461" s="56"/>
      <c r="B461" s="56"/>
      <c r="C461" s="56"/>
      <c r="D461" s="56"/>
      <c r="E461" s="14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7"/>
      <c r="Q461" s="57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15.75" customHeight="1" x14ac:dyDescent="0.3">
      <c r="A462" s="56"/>
      <c r="B462" s="56"/>
      <c r="C462" s="56"/>
      <c r="D462" s="56"/>
      <c r="E462" s="14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7"/>
      <c r="Q462" s="57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15.75" customHeight="1" x14ac:dyDescent="0.3">
      <c r="A463" s="56"/>
      <c r="B463" s="56"/>
      <c r="C463" s="56"/>
      <c r="D463" s="56"/>
      <c r="E463" s="14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7"/>
      <c r="Q463" s="57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15.75" customHeight="1" x14ac:dyDescent="0.3">
      <c r="A464" s="56"/>
      <c r="B464" s="56"/>
      <c r="C464" s="56"/>
      <c r="D464" s="56"/>
      <c r="E464" s="14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7"/>
      <c r="Q464" s="57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15.75" customHeight="1" x14ac:dyDescent="0.3">
      <c r="A465" s="56"/>
      <c r="B465" s="56"/>
      <c r="C465" s="56"/>
      <c r="D465" s="56"/>
      <c r="E465" s="14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7"/>
      <c r="Q465" s="57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15.75" customHeight="1" x14ac:dyDescent="0.3">
      <c r="A466" s="56"/>
      <c r="B466" s="56"/>
      <c r="C466" s="56"/>
      <c r="D466" s="56"/>
      <c r="E466" s="14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7"/>
      <c r="Q466" s="57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15.75" customHeight="1" x14ac:dyDescent="0.3">
      <c r="A467" s="56"/>
      <c r="B467" s="56"/>
      <c r="C467" s="56"/>
      <c r="D467" s="56"/>
      <c r="E467" s="14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7"/>
      <c r="Q467" s="57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15.75" customHeight="1" x14ac:dyDescent="0.3">
      <c r="A468" s="56"/>
      <c r="B468" s="56"/>
      <c r="C468" s="56"/>
      <c r="D468" s="56"/>
      <c r="E468" s="14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7"/>
      <c r="Q468" s="57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15.75" customHeight="1" x14ac:dyDescent="0.3">
      <c r="A469" s="56"/>
      <c r="B469" s="56"/>
      <c r="C469" s="56"/>
      <c r="D469" s="56"/>
      <c r="E469" s="14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7"/>
      <c r="Q469" s="57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15.75" customHeight="1" x14ac:dyDescent="0.3">
      <c r="A470" s="56"/>
      <c r="B470" s="56"/>
      <c r="C470" s="56"/>
      <c r="D470" s="56"/>
      <c r="E470" s="14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7"/>
      <c r="Q470" s="57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15.75" customHeight="1" x14ac:dyDescent="0.3">
      <c r="A471" s="56"/>
      <c r="B471" s="56"/>
      <c r="C471" s="56"/>
      <c r="D471" s="56"/>
      <c r="E471" s="14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7"/>
      <c r="Q471" s="57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15.75" customHeight="1" x14ac:dyDescent="0.3">
      <c r="A472" s="56"/>
      <c r="B472" s="56"/>
      <c r="C472" s="56"/>
      <c r="D472" s="56"/>
      <c r="E472" s="14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7"/>
      <c r="Q472" s="57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15.75" customHeight="1" x14ac:dyDescent="0.3">
      <c r="A473" s="56"/>
      <c r="B473" s="56"/>
      <c r="C473" s="56"/>
      <c r="D473" s="56"/>
      <c r="E473" s="14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7"/>
      <c r="Q473" s="57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15.75" customHeight="1" x14ac:dyDescent="0.3">
      <c r="A474" s="56"/>
      <c r="B474" s="56"/>
      <c r="C474" s="56"/>
      <c r="D474" s="56"/>
      <c r="E474" s="14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7"/>
      <c r="Q474" s="57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15.75" customHeight="1" x14ac:dyDescent="0.3">
      <c r="A475" s="56"/>
      <c r="B475" s="56"/>
      <c r="C475" s="56"/>
      <c r="D475" s="56"/>
      <c r="E475" s="14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7"/>
      <c r="Q475" s="57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15.75" customHeight="1" x14ac:dyDescent="0.3">
      <c r="A476" s="56"/>
      <c r="B476" s="56"/>
      <c r="C476" s="56"/>
      <c r="D476" s="56"/>
      <c r="E476" s="14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7"/>
      <c r="Q476" s="57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15.75" customHeight="1" x14ac:dyDescent="0.3">
      <c r="A477" s="56"/>
      <c r="B477" s="56"/>
      <c r="C477" s="56"/>
      <c r="D477" s="56"/>
      <c r="E477" s="14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7"/>
      <c r="Q477" s="57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15.75" customHeight="1" x14ac:dyDescent="0.3">
      <c r="A478" s="56"/>
      <c r="B478" s="56"/>
      <c r="C478" s="56"/>
      <c r="D478" s="56"/>
      <c r="E478" s="14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7"/>
      <c r="Q478" s="57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15.75" customHeight="1" x14ac:dyDescent="0.3">
      <c r="A479" s="56"/>
      <c r="B479" s="56"/>
      <c r="C479" s="56"/>
      <c r="D479" s="56"/>
      <c r="E479" s="14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7"/>
      <c r="Q479" s="57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15.75" customHeight="1" x14ac:dyDescent="0.3">
      <c r="A480" s="56"/>
      <c r="B480" s="56"/>
      <c r="C480" s="56"/>
      <c r="D480" s="56"/>
      <c r="E480" s="14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7"/>
      <c r="Q480" s="57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15.75" customHeight="1" x14ac:dyDescent="0.3">
      <c r="A481" s="56"/>
      <c r="B481" s="56"/>
      <c r="C481" s="56"/>
      <c r="D481" s="56"/>
      <c r="E481" s="14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7"/>
      <c r="Q481" s="57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15.75" customHeight="1" x14ac:dyDescent="0.3">
      <c r="A482" s="56"/>
      <c r="B482" s="56"/>
      <c r="C482" s="56"/>
      <c r="D482" s="56"/>
      <c r="E482" s="14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7"/>
      <c r="Q482" s="57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15.75" customHeight="1" x14ac:dyDescent="0.3">
      <c r="A483" s="56"/>
      <c r="B483" s="56"/>
      <c r="C483" s="56"/>
      <c r="D483" s="56"/>
      <c r="E483" s="14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7"/>
      <c r="Q483" s="57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15.75" customHeight="1" x14ac:dyDescent="0.3">
      <c r="A484" s="56"/>
      <c r="B484" s="56"/>
      <c r="C484" s="56"/>
      <c r="D484" s="56"/>
      <c r="E484" s="14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7"/>
      <c r="Q484" s="57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15.75" customHeight="1" x14ac:dyDescent="0.3">
      <c r="A485" s="56"/>
      <c r="B485" s="56"/>
      <c r="C485" s="56"/>
      <c r="D485" s="56"/>
      <c r="E485" s="14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7"/>
      <c r="Q485" s="57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15.75" customHeight="1" x14ac:dyDescent="0.3">
      <c r="A486" s="56"/>
      <c r="B486" s="56"/>
      <c r="C486" s="56"/>
      <c r="D486" s="56"/>
      <c r="E486" s="14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7"/>
      <c r="Q486" s="57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15.75" customHeight="1" x14ac:dyDescent="0.3">
      <c r="A487" s="56"/>
      <c r="B487" s="56"/>
      <c r="C487" s="56"/>
      <c r="D487" s="56"/>
      <c r="E487" s="14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7"/>
      <c r="Q487" s="57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15.75" customHeight="1" x14ac:dyDescent="0.3">
      <c r="A488" s="56"/>
      <c r="B488" s="56"/>
      <c r="C488" s="56"/>
      <c r="D488" s="56"/>
      <c r="E488" s="14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7"/>
      <c r="Q488" s="57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15.75" customHeight="1" x14ac:dyDescent="0.3">
      <c r="A489" s="56"/>
      <c r="B489" s="56"/>
      <c r="C489" s="56"/>
      <c r="D489" s="56"/>
      <c r="E489" s="14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7"/>
      <c r="Q489" s="57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15.75" customHeight="1" x14ac:dyDescent="0.3">
      <c r="A490" s="56"/>
      <c r="B490" s="56"/>
      <c r="C490" s="56"/>
      <c r="D490" s="56"/>
      <c r="E490" s="14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7"/>
      <c r="Q490" s="57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15.75" customHeight="1" x14ac:dyDescent="0.3">
      <c r="A491" s="56"/>
      <c r="B491" s="56"/>
      <c r="C491" s="56"/>
      <c r="D491" s="56"/>
      <c r="E491" s="14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7"/>
      <c r="Q491" s="57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15.75" customHeight="1" x14ac:dyDescent="0.3">
      <c r="A492" s="56"/>
      <c r="B492" s="56"/>
      <c r="C492" s="56"/>
      <c r="D492" s="56"/>
      <c r="E492" s="14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7"/>
      <c r="Q492" s="57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15.75" customHeight="1" x14ac:dyDescent="0.3">
      <c r="A493" s="56"/>
      <c r="B493" s="56"/>
      <c r="C493" s="56"/>
      <c r="D493" s="56"/>
      <c r="E493" s="14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7"/>
      <c r="Q493" s="57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15.75" customHeight="1" x14ac:dyDescent="0.3">
      <c r="A494" s="56"/>
      <c r="B494" s="56"/>
      <c r="C494" s="56"/>
      <c r="D494" s="56"/>
      <c r="E494" s="14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7"/>
      <c r="Q494" s="57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15.75" customHeight="1" x14ac:dyDescent="0.3">
      <c r="A495" s="56"/>
      <c r="B495" s="56"/>
      <c r="C495" s="56"/>
      <c r="D495" s="56"/>
      <c r="E495" s="14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7"/>
      <c r="Q495" s="57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15.75" customHeight="1" x14ac:dyDescent="0.3">
      <c r="A496" s="56"/>
      <c r="B496" s="56"/>
      <c r="C496" s="56"/>
      <c r="D496" s="56"/>
      <c r="E496" s="14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7"/>
      <c r="Q496" s="57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15.75" customHeight="1" x14ac:dyDescent="0.3">
      <c r="A497" s="56"/>
      <c r="B497" s="56"/>
      <c r="C497" s="56"/>
      <c r="D497" s="56"/>
      <c r="E497" s="14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7"/>
      <c r="Q497" s="57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15.75" customHeight="1" x14ac:dyDescent="0.3">
      <c r="A498" s="56"/>
      <c r="B498" s="56"/>
      <c r="C498" s="56"/>
      <c r="D498" s="56"/>
      <c r="E498" s="14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7"/>
      <c r="Q498" s="57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15.75" customHeight="1" x14ac:dyDescent="0.3">
      <c r="A499" s="56"/>
      <c r="B499" s="56"/>
      <c r="C499" s="56"/>
      <c r="D499" s="56"/>
      <c r="E499" s="14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7"/>
      <c r="Q499" s="57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15.75" customHeight="1" x14ac:dyDescent="0.3">
      <c r="A500" s="56"/>
      <c r="B500" s="56"/>
      <c r="C500" s="56"/>
      <c r="D500" s="56"/>
      <c r="E500" s="14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7"/>
      <c r="Q500" s="57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15.75" customHeight="1" x14ac:dyDescent="0.3">
      <c r="A501" s="56"/>
      <c r="B501" s="56"/>
      <c r="C501" s="56"/>
      <c r="D501" s="56"/>
      <c r="E501" s="14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7"/>
      <c r="Q501" s="57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15.75" customHeight="1" x14ac:dyDescent="0.3">
      <c r="A502" s="56"/>
      <c r="B502" s="56"/>
      <c r="C502" s="56"/>
      <c r="D502" s="56"/>
      <c r="E502" s="14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7"/>
      <c r="Q502" s="57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15.75" customHeight="1" x14ac:dyDescent="0.3">
      <c r="A503" s="56"/>
      <c r="B503" s="56"/>
      <c r="C503" s="56"/>
      <c r="D503" s="56"/>
      <c r="E503" s="14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7"/>
      <c r="Q503" s="57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15.75" customHeight="1" x14ac:dyDescent="0.3">
      <c r="A504" s="56"/>
      <c r="B504" s="56"/>
      <c r="C504" s="56"/>
      <c r="D504" s="56"/>
      <c r="E504" s="14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7"/>
      <c r="Q504" s="57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15.75" customHeight="1" x14ac:dyDescent="0.3">
      <c r="A505" s="56"/>
      <c r="B505" s="56"/>
      <c r="C505" s="56"/>
      <c r="D505" s="56"/>
      <c r="E505" s="14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7"/>
      <c r="Q505" s="57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15.75" customHeight="1" x14ac:dyDescent="0.3">
      <c r="A506" s="56"/>
      <c r="B506" s="56"/>
      <c r="C506" s="56"/>
      <c r="D506" s="56"/>
      <c r="E506" s="14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7"/>
      <c r="Q506" s="57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15.75" customHeight="1" x14ac:dyDescent="0.3">
      <c r="A507" s="56"/>
      <c r="B507" s="56"/>
      <c r="C507" s="56"/>
      <c r="D507" s="56"/>
      <c r="E507" s="14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7"/>
      <c r="Q507" s="57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15.75" customHeight="1" x14ac:dyDescent="0.3">
      <c r="A508" s="56"/>
      <c r="B508" s="56"/>
      <c r="C508" s="56"/>
      <c r="D508" s="56"/>
      <c r="E508" s="14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7"/>
      <c r="Q508" s="57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15.75" customHeight="1" x14ac:dyDescent="0.3">
      <c r="A509" s="56"/>
      <c r="B509" s="56"/>
      <c r="C509" s="56"/>
      <c r="D509" s="56"/>
      <c r="E509" s="14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7"/>
      <c r="Q509" s="57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15.75" customHeight="1" x14ac:dyDescent="0.3">
      <c r="A510" s="56"/>
      <c r="B510" s="56"/>
      <c r="C510" s="56"/>
      <c r="D510" s="56"/>
      <c r="E510" s="14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7"/>
      <c r="Q510" s="57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15.75" customHeight="1" x14ac:dyDescent="0.3">
      <c r="A511" s="56"/>
      <c r="B511" s="56"/>
      <c r="C511" s="56"/>
      <c r="D511" s="56"/>
      <c r="E511" s="14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7"/>
      <c r="Q511" s="57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15.75" customHeight="1" x14ac:dyDescent="0.3">
      <c r="A512" s="56"/>
      <c r="B512" s="56"/>
      <c r="C512" s="56"/>
      <c r="D512" s="56"/>
      <c r="E512" s="14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7"/>
      <c r="Q512" s="57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15.75" customHeight="1" x14ac:dyDescent="0.3">
      <c r="A513" s="56"/>
      <c r="B513" s="56"/>
      <c r="C513" s="56"/>
      <c r="D513" s="56"/>
      <c r="E513" s="14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7"/>
      <c r="Q513" s="57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15.75" customHeight="1" x14ac:dyDescent="0.3">
      <c r="A514" s="56"/>
      <c r="B514" s="56"/>
      <c r="C514" s="56"/>
      <c r="D514" s="56"/>
      <c r="E514" s="14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7"/>
      <c r="Q514" s="57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15.75" customHeight="1" x14ac:dyDescent="0.3">
      <c r="A515" s="56"/>
      <c r="B515" s="56"/>
      <c r="C515" s="56"/>
      <c r="D515" s="56"/>
      <c r="E515" s="14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7"/>
      <c r="Q515" s="57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15.75" customHeight="1" x14ac:dyDescent="0.3">
      <c r="A516" s="56"/>
      <c r="B516" s="56"/>
      <c r="C516" s="56"/>
      <c r="D516" s="56"/>
      <c r="E516" s="14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7"/>
      <c r="Q516" s="57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15.75" customHeight="1" x14ac:dyDescent="0.3">
      <c r="A517" s="56"/>
      <c r="B517" s="56"/>
      <c r="C517" s="56"/>
      <c r="D517" s="56"/>
      <c r="E517" s="14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7"/>
      <c r="Q517" s="57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15.75" customHeight="1" x14ac:dyDescent="0.3">
      <c r="A518" s="56"/>
      <c r="B518" s="56"/>
      <c r="C518" s="56"/>
      <c r="D518" s="56"/>
      <c r="E518" s="14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7"/>
      <c r="Q518" s="57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15.75" customHeight="1" x14ac:dyDescent="0.3">
      <c r="A519" s="56"/>
      <c r="B519" s="56"/>
      <c r="C519" s="56"/>
      <c r="D519" s="56"/>
      <c r="E519" s="14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7"/>
      <c r="Q519" s="57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15.75" customHeight="1" x14ac:dyDescent="0.3">
      <c r="A520" s="56"/>
      <c r="B520" s="56"/>
      <c r="C520" s="56"/>
      <c r="D520" s="56"/>
      <c r="E520" s="14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7"/>
      <c r="Q520" s="57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15.75" customHeight="1" x14ac:dyDescent="0.3">
      <c r="A521" s="56"/>
      <c r="B521" s="56"/>
      <c r="C521" s="56"/>
      <c r="D521" s="56"/>
      <c r="E521" s="14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7"/>
      <c r="Q521" s="57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5.75" customHeight="1" x14ac:dyDescent="0.3">
      <c r="A522" s="56"/>
      <c r="B522" s="56"/>
      <c r="C522" s="56"/>
      <c r="D522" s="56"/>
      <c r="E522" s="14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7"/>
      <c r="Q522" s="57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15.75" customHeight="1" x14ac:dyDescent="0.3">
      <c r="A523" s="56"/>
      <c r="B523" s="56"/>
      <c r="C523" s="56"/>
      <c r="D523" s="56"/>
      <c r="E523" s="14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7"/>
      <c r="Q523" s="57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15.75" customHeight="1" x14ac:dyDescent="0.3">
      <c r="A524" s="56"/>
      <c r="B524" s="56"/>
      <c r="C524" s="56"/>
      <c r="D524" s="56"/>
      <c r="E524" s="14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7"/>
      <c r="Q524" s="57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15.75" customHeight="1" x14ac:dyDescent="0.3">
      <c r="A525" s="56"/>
      <c r="B525" s="56"/>
      <c r="C525" s="56"/>
      <c r="D525" s="56"/>
      <c r="E525" s="14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7"/>
      <c r="Q525" s="57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15.75" customHeight="1" x14ac:dyDescent="0.3">
      <c r="A526" s="56"/>
      <c r="B526" s="56"/>
      <c r="C526" s="56"/>
      <c r="D526" s="56"/>
      <c r="E526" s="14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7"/>
      <c r="Q526" s="57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15.75" customHeight="1" x14ac:dyDescent="0.3">
      <c r="A527" s="56"/>
      <c r="B527" s="56"/>
      <c r="C527" s="56"/>
      <c r="D527" s="56"/>
      <c r="E527" s="14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7"/>
      <c r="Q527" s="57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15.75" customHeight="1" x14ac:dyDescent="0.3">
      <c r="A528" s="56"/>
      <c r="B528" s="56"/>
      <c r="C528" s="56"/>
      <c r="D528" s="56"/>
      <c r="E528" s="14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7"/>
      <c r="Q528" s="57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15.75" customHeight="1" x14ac:dyDescent="0.3">
      <c r="A529" s="56"/>
      <c r="B529" s="56"/>
      <c r="C529" s="56"/>
      <c r="D529" s="56"/>
      <c r="E529" s="14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7"/>
      <c r="Q529" s="57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15.75" customHeight="1" x14ac:dyDescent="0.3">
      <c r="A530" s="56"/>
      <c r="B530" s="56"/>
      <c r="C530" s="56"/>
      <c r="D530" s="56"/>
      <c r="E530" s="14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7"/>
      <c r="Q530" s="57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15.75" customHeight="1" x14ac:dyDescent="0.3">
      <c r="A531" s="56"/>
      <c r="B531" s="56"/>
      <c r="C531" s="56"/>
      <c r="D531" s="56"/>
      <c r="E531" s="14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7"/>
      <c r="Q531" s="57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15.75" customHeight="1" x14ac:dyDescent="0.3">
      <c r="A532" s="56"/>
      <c r="B532" s="56"/>
      <c r="C532" s="56"/>
      <c r="D532" s="56"/>
      <c r="E532" s="14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7"/>
      <c r="Q532" s="57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15.75" customHeight="1" x14ac:dyDescent="0.3">
      <c r="A533" s="56"/>
      <c r="B533" s="56"/>
      <c r="C533" s="56"/>
      <c r="D533" s="56"/>
      <c r="E533" s="14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7"/>
      <c r="Q533" s="57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15.75" customHeight="1" x14ac:dyDescent="0.3">
      <c r="A534" s="56"/>
      <c r="B534" s="56"/>
      <c r="C534" s="56"/>
      <c r="D534" s="56"/>
      <c r="E534" s="14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7"/>
      <c r="Q534" s="57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15.75" customHeight="1" x14ac:dyDescent="0.3">
      <c r="A535" s="56"/>
      <c r="B535" s="56"/>
      <c r="C535" s="56"/>
      <c r="D535" s="56"/>
      <c r="E535" s="14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7"/>
      <c r="Q535" s="57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15.75" customHeight="1" x14ac:dyDescent="0.3">
      <c r="A536" s="56"/>
      <c r="B536" s="56"/>
      <c r="C536" s="56"/>
      <c r="D536" s="56"/>
      <c r="E536" s="14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7"/>
      <c r="Q536" s="57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15.75" customHeight="1" x14ac:dyDescent="0.3">
      <c r="A537" s="56"/>
      <c r="B537" s="56"/>
      <c r="C537" s="56"/>
      <c r="D537" s="56"/>
      <c r="E537" s="14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7"/>
      <c r="Q537" s="57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15.75" customHeight="1" x14ac:dyDescent="0.3">
      <c r="A538" s="56"/>
      <c r="B538" s="56"/>
      <c r="C538" s="56"/>
      <c r="D538" s="56"/>
      <c r="E538" s="14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7"/>
      <c r="Q538" s="57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15.75" customHeight="1" x14ac:dyDescent="0.3">
      <c r="A539" s="56"/>
      <c r="B539" s="56"/>
      <c r="C539" s="56"/>
      <c r="D539" s="56"/>
      <c r="E539" s="14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7"/>
      <c r="Q539" s="57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15.75" customHeight="1" x14ac:dyDescent="0.3">
      <c r="A540" s="56"/>
      <c r="B540" s="56"/>
      <c r="C540" s="56"/>
      <c r="D540" s="56"/>
      <c r="E540" s="14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7"/>
      <c r="Q540" s="57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15.75" customHeight="1" x14ac:dyDescent="0.3">
      <c r="A541" s="56"/>
      <c r="B541" s="56"/>
      <c r="C541" s="56"/>
      <c r="D541" s="56"/>
      <c r="E541" s="14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7"/>
      <c r="Q541" s="57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15.75" customHeight="1" x14ac:dyDescent="0.3">
      <c r="A542" s="56"/>
      <c r="B542" s="56"/>
      <c r="C542" s="56"/>
      <c r="D542" s="56"/>
      <c r="E542" s="14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7"/>
      <c r="Q542" s="57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15.75" customHeight="1" x14ac:dyDescent="0.3">
      <c r="A543" s="56"/>
      <c r="B543" s="56"/>
      <c r="C543" s="56"/>
      <c r="D543" s="56"/>
      <c r="E543" s="14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7"/>
      <c r="Q543" s="57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15.75" customHeight="1" x14ac:dyDescent="0.3">
      <c r="A544" s="56"/>
      <c r="B544" s="56"/>
      <c r="C544" s="56"/>
      <c r="D544" s="56"/>
      <c r="E544" s="14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7"/>
      <c r="Q544" s="57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15.75" customHeight="1" x14ac:dyDescent="0.3">
      <c r="A545" s="56"/>
      <c r="B545" s="56"/>
      <c r="C545" s="56"/>
      <c r="D545" s="56"/>
      <c r="E545" s="14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7"/>
      <c r="Q545" s="57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15.75" customHeight="1" x14ac:dyDescent="0.3">
      <c r="A546" s="56"/>
      <c r="B546" s="56"/>
      <c r="C546" s="56"/>
      <c r="D546" s="56"/>
      <c r="E546" s="14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7"/>
      <c r="Q546" s="57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15.75" customHeight="1" x14ac:dyDescent="0.3">
      <c r="A547" s="56"/>
      <c r="B547" s="56"/>
      <c r="C547" s="56"/>
      <c r="D547" s="56"/>
      <c r="E547" s="14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7"/>
      <c r="Q547" s="57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15.75" customHeight="1" x14ac:dyDescent="0.3">
      <c r="A548" s="56"/>
      <c r="B548" s="56"/>
      <c r="C548" s="56"/>
      <c r="D548" s="56"/>
      <c r="E548" s="14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7"/>
      <c r="Q548" s="57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15.75" customHeight="1" x14ac:dyDescent="0.3">
      <c r="A549" s="56"/>
      <c r="B549" s="56"/>
      <c r="C549" s="56"/>
      <c r="D549" s="56"/>
      <c r="E549" s="14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7"/>
      <c r="Q549" s="57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15.75" customHeight="1" x14ac:dyDescent="0.3">
      <c r="A550" s="56"/>
      <c r="B550" s="56"/>
      <c r="C550" s="56"/>
      <c r="D550" s="56"/>
      <c r="E550" s="14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7"/>
      <c r="Q550" s="57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15.75" customHeight="1" x14ac:dyDescent="0.3">
      <c r="A551" s="56"/>
      <c r="B551" s="56"/>
      <c r="C551" s="56"/>
      <c r="D551" s="56"/>
      <c r="E551" s="14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7"/>
      <c r="Q551" s="57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15.75" customHeight="1" x14ac:dyDescent="0.3">
      <c r="A552" s="56"/>
      <c r="B552" s="56"/>
      <c r="C552" s="56"/>
      <c r="D552" s="56"/>
      <c r="E552" s="14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7"/>
      <c r="Q552" s="57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15.75" customHeight="1" x14ac:dyDescent="0.3">
      <c r="A553" s="56"/>
      <c r="B553" s="56"/>
      <c r="C553" s="56"/>
      <c r="D553" s="56"/>
      <c r="E553" s="14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7"/>
      <c r="Q553" s="57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15.75" customHeight="1" x14ac:dyDescent="0.3">
      <c r="A554" s="56"/>
      <c r="B554" s="56"/>
      <c r="C554" s="56"/>
      <c r="D554" s="56"/>
      <c r="E554" s="14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7"/>
      <c r="Q554" s="57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15.75" customHeight="1" x14ac:dyDescent="0.3">
      <c r="A555" s="56"/>
      <c r="B555" s="56"/>
      <c r="C555" s="56"/>
      <c r="D555" s="56"/>
      <c r="E555" s="14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7"/>
      <c r="Q555" s="57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15.75" customHeight="1" x14ac:dyDescent="0.3">
      <c r="A556" s="56"/>
      <c r="B556" s="56"/>
      <c r="C556" s="56"/>
      <c r="D556" s="56"/>
      <c r="E556" s="14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7"/>
      <c r="Q556" s="57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15.75" customHeight="1" x14ac:dyDescent="0.3">
      <c r="A557" s="56"/>
      <c r="B557" s="56"/>
      <c r="C557" s="56"/>
      <c r="D557" s="56"/>
      <c r="E557" s="14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7"/>
      <c r="Q557" s="57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15.75" customHeight="1" x14ac:dyDescent="0.3">
      <c r="A558" s="56"/>
      <c r="B558" s="56"/>
      <c r="C558" s="56"/>
      <c r="D558" s="56"/>
      <c r="E558" s="14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7"/>
      <c r="Q558" s="57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15.75" customHeight="1" x14ac:dyDescent="0.3">
      <c r="A559" s="56"/>
      <c r="B559" s="56"/>
      <c r="C559" s="56"/>
      <c r="D559" s="56"/>
      <c r="E559" s="14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7"/>
      <c r="Q559" s="57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15.75" customHeight="1" x14ac:dyDescent="0.3">
      <c r="A560" s="56"/>
      <c r="B560" s="56"/>
      <c r="C560" s="56"/>
      <c r="D560" s="56"/>
      <c r="E560" s="14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7"/>
      <c r="Q560" s="57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15.75" customHeight="1" x14ac:dyDescent="0.3">
      <c r="A561" s="56"/>
      <c r="B561" s="56"/>
      <c r="C561" s="56"/>
      <c r="D561" s="56"/>
      <c r="E561" s="14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7"/>
      <c r="Q561" s="57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15.75" customHeight="1" x14ac:dyDescent="0.3">
      <c r="A562" s="56"/>
      <c r="B562" s="56"/>
      <c r="C562" s="56"/>
      <c r="D562" s="56"/>
      <c r="E562" s="14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7"/>
      <c r="Q562" s="57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15.75" customHeight="1" x14ac:dyDescent="0.3">
      <c r="A563" s="56"/>
      <c r="B563" s="56"/>
      <c r="C563" s="56"/>
      <c r="D563" s="56"/>
      <c r="E563" s="14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7"/>
      <c r="Q563" s="57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15.75" customHeight="1" x14ac:dyDescent="0.3">
      <c r="A564" s="56"/>
      <c r="B564" s="56"/>
      <c r="C564" s="56"/>
      <c r="D564" s="56"/>
      <c r="E564" s="14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7"/>
      <c r="Q564" s="57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15.75" customHeight="1" x14ac:dyDescent="0.3">
      <c r="A565" s="56"/>
      <c r="B565" s="56"/>
      <c r="C565" s="56"/>
      <c r="D565" s="56"/>
      <c r="E565" s="14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7"/>
      <c r="Q565" s="57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15.75" customHeight="1" x14ac:dyDescent="0.3">
      <c r="A566" s="56"/>
      <c r="B566" s="56"/>
      <c r="C566" s="56"/>
      <c r="D566" s="56"/>
      <c r="E566" s="14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7"/>
      <c r="Q566" s="57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15.75" customHeight="1" x14ac:dyDescent="0.3">
      <c r="A567" s="56"/>
      <c r="B567" s="56"/>
      <c r="C567" s="56"/>
      <c r="D567" s="56"/>
      <c r="E567" s="14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7"/>
      <c r="Q567" s="57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15.75" customHeight="1" x14ac:dyDescent="0.3">
      <c r="A568" s="56"/>
      <c r="B568" s="56"/>
      <c r="C568" s="56"/>
      <c r="D568" s="56"/>
      <c r="E568" s="14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7"/>
      <c r="Q568" s="57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15.75" customHeight="1" x14ac:dyDescent="0.3">
      <c r="A569" s="56"/>
      <c r="B569" s="56"/>
      <c r="C569" s="56"/>
      <c r="D569" s="56"/>
      <c r="E569" s="14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7"/>
      <c r="Q569" s="57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15.75" customHeight="1" x14ac:dyDescent="0.3">
      <c r="A570" s="56"/>
      <c r="B570" s="56"/>
      <c r="C570" s="56"/>
      <c r="D570" s="56"/>
      <c r="E570" s="14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7"/>
      <c r="Q570" s="57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15.75" customHeight="1" x14ac:dyDescent="0.3">
      <c r="A571" s="56"/>
      <c r="B571" s="56"/>
      <c r="C571" s="56"/>
      <c r="D571" s="56"/>
      <c r="E571" s="14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7"/>
      <c r="Q571" s="57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15.75" customHeight="1" x14ac:dyDescent="0.3">
      <c r="A572" s="56"/>
      <c r="B572" s="56"/>
      <c r="C572" s="56"/>
      <c r="D572" s="56"/>
      <c r="E572" s="14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7"/>
      <c r="Q572" s="57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15.75" customHeight="1" x14ac:dyDescent="0.3">
      <c r="A573" s="56"/>
      <c r="B573" s="56"/>
      <c r="C573" s="56"/>
      <c r="D573" s="56"/>
      <c r="E573" s="14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7"/>
      <c r="Q573" s="57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15.75" customHeight="1" x14ac:dyDescent="0.3">
      <c r="A574" s="56"/>
      <c r="B574" s="56"/>
      <c r="C574" s="56"/>
      <c r="D574" s="56"/>
      <c r="E574" s="14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7"/>
      <c r="Q574" s="57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15.75" customHeight="1" x14ac:dyDescent="0.3">
      <c r="A575" s="56"/>
      <c r="B575" s="56"/>
      <c r="C575" s="56"/>
      <c r="D575" s="56"/>
      <c r="E575" s="14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7"/>
      <c r="Q575" s="57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15.75" customHeight="1" x14ac:dyDescent="0.3">
      <c r="A576" s="56"/>
      <c r="B576" s="56"/>
      <c r="C576" s="56"/>
      <c r="D576" s="56"/>
      <c r="E576" s="14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7"/>
      <c r="Q576" s="57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15.75" customHeight="1" x14ac:dyDescent="0.3">
      <c r="A577" s="56"/>
      <c r="B577" s="56"/>
      <c r="C577" s="56"/>
      <c r="D577" s="56"/>
      <c r="E577" s="14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7"/>
      <c r="Q577" s="57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15.75" customHeight="1" x14ac:dyDescent="0.3">
      <c r="A578" s="56"/>
      <c r="B578" s="56"/>
      <c r="C578" s="56"/>
      <c r="D578" s="56"/>
      <c r="E578" s="14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7"/>
      <c r="Q578" s="57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15.75" customHeight="1" x14ac:dyDescent="0.3">
      <c r="A579" s="56"/>
      <c r="B579" s="56"/>
      <c r="C579" s="56"/>
      <c r="D579" s="56"/>
      <c r="E579" s="14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7"/>
      <c r="Q579" s="57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15.75" customHeight="1" x14ac:dyDescent="0.3">
      <c r="A580" s="56"/>
      <c r="B580" s="56"/>
      <c r="C580" s="56"/>
      <c r="D580" s="56"/>
      <c r="E580" s="14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7"/>
      <c r="Q580" s="57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15.75" customHeight="1" x14ac:dyDescent="0.3">
      <c r="A581" s="56"/>
      <c r="B581" s="56"/>
      <c r="C581" s="56"/>
      <c r="D581" s="56"/>
      <c r="E581" s="14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7"/>
      <c r="Q581" s="57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15.75" customHeight="1" x14ac:dyDescent="0.3">
      <c r="A582" s="56"/>
      <c r="B582" s="56"/>
      <c r="C582" s="56"/>
      <c r="D582" s="56"/>
      <c r="E582" s="14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7"/>
      <c r="Q582" s="57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15.75" customHeight="1" x14ac:dyDescent="0.3">
      <c r="A583" s="56"/>
      <c r="B583" s="56"/>
      <c r="C583" s="56"/>
      <c r="D583" s="56"/>
      <c r="E583" s="14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7"/>
      <c r="Q583" s="57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15.75" customHeight="1" x14ac:dyDescent="0.3">
      <c r="A584" s="56"/>
      <c r="B584" s="56"/>
      <c r="C584" s="56"/>
      <c r="D584" s="56"/>
      <c r="E584" s="14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7"/>
      <c r="Q584" s="57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15.75" customHeight="1" x14ac:dyDescent="0.3">
      <c r="A585" s="56"/>
      <c r="B585" s="56"/>
      <c r="C585" s="56"/>
      <c r="D585" s="56"/>
      <c r="E585" s="14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7"/>
      <c r="Q585" s="57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15.75" customHeight="1" x14ac:dyDescent="0.3">
      <c r="A586" s="56"/>
      <c r="B586" s="56"/>
      <c r="C586" s="56"/>
      <c r="D586" s="56"/>
      <c r="E586" s="14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7"/>
      <c r="Q586" s="57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15.75" customHeight="1" x14ac:dyDescent="0.3">
      <c r="A587" s="56"/>
      <c r="B587" s="56"/>
      <c r="C587" s="56"/>
      <c r="D587" s="56"/>
      <c r="E587" s="14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7"/>
      <c r="Q587" s="57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15.75" customHeight="1" x14ac:dyDescent="0.3">
      <c r="A588" s="56"/>
      <c r="B588" s="56"/>
      <c r="C588" s="56"/>
      <c r="D588" s="56"/>
      <c r="E588" s="14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7"/>
      <c r="Q588" s="57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15.75" customHeight="1" x14ac:dyDescent="0.3">
      <c r="A589" s="56"/>
      <c r="B589" s="56"/>
      <c r="C589" s="56"/>
      <c r="D589" s="56"/>
      <c r="E589" s="14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7"/>
      <c r="Q589" s="57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15.75" customHeight="1" x14ac:dyDescent="0.3">
      <c r="A590" s="56"/>
      <c r="B590" s="56"/>
      <c r="C590" s="56"/>
      <c r="D590" s="56"/>
      <c r="E590" s="14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7"/>
      <c r="Q590" s="57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15.75" customHeight="1" x14ac:dyDescent="0.3">
      <c r="A591" s="56"/>
      <c r="B591" s="56"/>
      <c r="C591" s="56"/>
      <c r="D591" s="56"/>
      <c r="E591" s="14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7"/>
      <c r="Q591" s="57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15.75" customHeight="1" x14ac:dyDescent="0.3">
      <c r="A592" s="56"/>
      <c r="B592" s="56"/>
      <c r="C592" s="56"/>
      <c r="D592" s="56"/>
      <c r="E592" s="14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7"/>
      <c r="Q592" s="57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15.75" customHeight="1" x14ac:dyDescent="0.3">
      <c r="A593" s="56"/>
      <c r="B593" s="56"/>
      <c r="C593" s="56"/>
      <c r="D593" s="56"/>
      <c r="E593" s="14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7"/>
      <c r="Q593" s="57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15.75" customHeight="1" x14ac:dyDescent="0.3">
      <c r="A594" s="56"/>
      <c r="B594" s="56"/>
      <c r="C594" s="56"/>
      <c r="D594" s="56"/>
      <c r="E594" s="14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7"/>
      <c r="Q594" s="57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15.75" customHeight="1" x14ac:dyDescent="0.3">
      <c r="A595" s="56"/>
      <c r="B595" s="56"/>
      <c r="C595" s="56"/>
      <c r="D595" s="56"/>
      <c r="E595" s="14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7"/>
      <c r="Q595" s="57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15.75" customHeight="1" x14ac:dyDescent="0.3">
      <c r="A596" s="56"/>
      <c r="B596" s="56"/>
      <c r="C596" s="56"/>
      <c r="D596" s="56"/>
      <c r="E596" s="14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7"/>
      <c r="Q596" s="57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15.75" customHeight="1" x14ac:dyDescent="0.3">
      <c r="A597" s="56"/>
      <c r="B597" s="56"/>
      <c r="C597" s="56"/>
      <c r="D597" s="56"/>
      <c r="E597" s="14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7"/>
      <c r="Q597" s="57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15.75" customHeight="1" x14ac:dyDescent="0.3">
      <c r="A598" s="56"/>
      <c r="B598" s="56"/>
      <c r="C598" s="56"/>
      <c r="D598" s="56"/>
      <c r="E598" s="14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7"/>
      <c r="Q598" s="57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15.75" customHeight="1" x14ac:dyDescent="0.3">
      <c r="A599" s="56"/>
      <c r="B599" s="56"/>
      <c r="C599" s="56"/>
      <c r="D599" s="56"/>
      <c r="E599" s="14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7"/>
      <c r="Q599" s="57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15.75" customHeight="1" x14ac:dyDescent="0.3">
      <c r="A600" s="56"/>
      <c r="B600" s="56"/>
      <c r="C600" s="56"/>
      <c r="D600" s="56"/>
      <c r="E600" s="14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7"/>
      <c r="Q600" s="57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15.75" customHeight="1" x14ac:dyDescent="0.3">
      <c r="A601" s="56"/>
      <c r="B601" s="56"/>
      <c r="C601" s="56"/>
      <c r="D601" s="56"/>
      <c r="E601" s="14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7"/>
      <c r="Q601" s="57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15.75" customHeight="1" x14ac:dyDescent="0.3">
      <c r="A602" s="56"/>
      <c r="B602" s="56"/>
      <c r="C602" s="56"/>
      <c r="D602" s="56"/>
      <c r="E602" s="14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7"/>
      <c r="Q602" s="57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15.75" customHeight="1" x14ac:dyDescent="0.3">
      <c r="A603" s="56"/>
      <c r="B603" s="56"/>
      <c r="C603" s="56"/>
      <c r="D603" s="56"/>
      <c r="E603" s="14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7"/>
      <c r="Q603" s="57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15.75" customHeight="1" x14ac:dyDescent="0.3">
      <c r="A604" s="56"/>
      <c r="B604" s="56"/>
      <c r="C604" s="56"/>
      <c r="D604" s="56"/>
      <c r="E604" s="14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7"/>
      <c r="Q604" s="57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15.75" customHeight="1" x14ac:dyDescent="0.3">
      <c r="A605" s="56"/>
      <c r="B605" s="56"/>
      <c r="C605" s="56"/>
      <c r="D605" s="56"/>
      <c r="E605" s="14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7"/>
      <c r="Q605" s="57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15.75" customHeight="1" x14ac:dyDescent="0.3">
      <c r="A606" s="56"/>
      <c r="B606" s="56"/>
      <c r="C606" s="56"/>
      <c r="D606" s="56"/>
      <c r="E606" s="14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7"/>
      <c r="Q606" s="57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15.75" customHeight="1" x14ac:dyDescent="0.3">
      <c r="A607" s="56"/>
      <c r="B607" s="56"/>
      <c r="C607" s="56"/>
      <c r="D607" s="56"/>
      <c r="E607" s="14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7"/>
      <c r="Q607" s="57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15.75" customHeight="1" x14ac:dyDescent="0.3">
      <c r="A608" s="56"/>
      <c r="B608" s="56"/>
      <c r="C608" s="56"/>
      <c r="D608" s="56"/>
      <c r="E608" s="14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7"/>
      <c r="Q608" s="57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15.75" customHeight="1" x14ac:dyDescent="0.3">
      <c r="A609" s="56"/>
      <c r="B609" s="56"/>
      <c r="C609" s="56"/>
      <c r="D609" s="56"/>
      <c r="E609" s="14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7"/>
      <c r="Q609" s="57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15.75" customHeight="1" x14ac:dyDescent="0.3">
      <c r="A610" s="56"/>
      <c r="B610" s="56"/>
      <c r="C610" s="56"/>
      <c r="D610" s="56"/>
      <c r="E610" s="14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7"/>
      <c r="Q610" s="57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15.75" customHeight="1" x14ac:dyDescent="0.3">
      <c r="A611" s="56"/>
      <c r="B611" s="56"/>
      <c r="C611" s="56"/>
      <c r="D611" s="56"/>
      <c r="E611" s="14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7"/>
      <c r="Q611" s="57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15.75" customHeight="1" x14ac:dyDescent="0.3">
      <c r="A612" s="56"/>
      <c r="B612" s="56"/>
      <c r="C612" s="56"/>
      <c r="D612" s="56"/>
      <c r="E612" s="14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7"/>
      <c r="Q612" s="57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15.75" customHeight="1" x14ac:dyDescent="0.3">
      <c r="A613" s="56"/>
      <c r="B613" s="56"/>
      <c r="C613" s="56"/>
      <c r="D613" s="56"/>
      <c r="E613" s="14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7"/>
      <c r="Q613" s="57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15.75" customHeight="1" x14ac:dyDescent="0.3">
      <c r="A614" s="56"/>
      <c r="B614" s="56"/>
      <c r="C614" s="56"/>
      <c r="D614" s="56"/>
      <c r="E614" s="14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7"/>
      <c r="Q614" s="57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15.75" customHeight="1" x14ac:dyDescent="0.3">
      <c r="A615" s="56"/>
      <c r="B615" s="56"/>
      <c r="C615" s="56"/>
      <c r="D615" s="56"/>
      <c r="E615" s="14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7"/>
      <c r="Q615" s="57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15.75" customHeight="1" x14ac:dyDescent="0.3">
      <c r="A616" s="56"/>
      <c r="B616" s="56"/>
      <c r="C616" s="56"/>
      <c r="D616" s="56"/>
      <c r="E616" s="14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7"/>
      <c r="Q616" s="57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15.75" customHeight="1" x14ac:dyDescent="0.3">
      <c r="A617" s="56"/>
      <c r="B617" s="56"/>
      <c r="C617" s="56"/>
      <c r="D617" s="56"/>
      <c r="E617" s="14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7"/>
      <c r="Q617" s="57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15.75" customHeight="1" x14ac:dyDescent="0.3">
      <c r="A618" s="56"/>
      <c r="B618" s="56"/>
      <c r="C618" s="56"/>
      <c r="D618" s="56"/>
      <c r="E618" s="14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7"/>
      <c r="Q618" s="57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15.75" customHeight="1" x14ac:dyDescent="0.3">
      <c r="A619" s="56"/>
      <c r="B619" s="56"/>
      <c r="C619" s="56"/>
      <c r="D619" s="56"/>
      <c r="E619" s="14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7"/>
      <c r="Q619" s="57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15.75" customHeight="1" x14ac:dyDescent="0.3">
      <c r="A620" s="56"/>
      <c r="B620" s="56"/>
      <c r="C620" s="56"/>
      <c r="D620" s="56"/>
      <c r="E620" s="14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7"/>
      <c r="Q620" s="57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15.75" customHeight="1" x14ac:dyDescent="0.3">
      <c r="A621" s="56"/>
      <c r="B621" s="56"/>
      <c r="C621" s="56"/>
      <c r="D621" s="56"/>
      <c r="E621" s="14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7"/>
      <c r="Q621" s="57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15.75" customHeight="1" x14ac:dyDescent="0.3">
      <c r="A622" s="56"/>
      <c r="B622" s="56"/>
      <c r="C622" s="56"/>
      <c r="D622" s="56"/>
      <c r="E622" s="14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7"/>
      <c r="Q622" s="57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15.75" customHeight="1" x14ac:dyDescent="0.3">
      <c r="A623" s="56"/>
      <c r="B623" s="56"/>
      <c r="C623" s="56"/>
      <c r="D623" s="56"/>
      <c r="E623" s="14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7"/>
      <c r="Q623" s="57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15.75" customHeight="1" x14ac:dyDescent="0.3">
      <c r="A624" s="56"/>
      <c r="B624" s="56"/>
      <c r="C624" s="56"/>
      <c r="D624" s="56"/>
      <c r="E624" s="14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7"/>
      <c r="Q624" s="57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15.75" customHeight="1" x14ac:dyDescent="0.3">
      <c r="A625" s="56"/>
      <c r="B625" s="56"/>
      <c r="C625" s="56"/>
      <c r="D625" s="56"/>
      <c r="E625" s="14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7"/>
      <c r="Q625" s="57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15.75" customHeight="1" x14ac:dyDescent="0.3">
      <c r="A626" s="56"/>
      <c r="B626" s="56"/>
      <c r="C626" s="56"/>
      <c r="D626" s="56"/>
      <c r="E626" s="14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7"/>
      <c r="Q626" s="57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15.75" customHeight="1" x14ac:dyDescent="0.3">
      <c r="A627" s="56"/>
      <c r="B627" s="56"/>
      <c r="C627" s="56"/>
      <c r="D627" s="56"/>
      <c r="E627" s="14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7"/>
      <c r="Q627" s="57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15.75" customHeight="1" x14ac:dyDescent="0.3">
      <c r="A628" s="56"/>
      <c r="B628" s="56"/>
      <c r="C628" s="56"/>
      <c r="D628" s="56"/>
      <c r="E628" s="14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7"/>
      <c r="Q628" s="57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15.75" customHeight="1" x14ac:dyDescent="0.3">
      <c r="A629" s="56"/>
      <c r="B629" s="56"/>
      <c r="C629" s="56"/>
      <c r="D629" s="56"/>
      <c r="E629" s="14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7"/>
      <c r="Q629" s="57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15.75" customHeight="1" x14ac:dyDescent="0.3">
      <c r="A630" s="56"/>
      <c r="B630" s="56"/>
      <c r="C630" s="56"/>
      <c r="D630" s="56"/>
      <c r="E630" s="14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7"/>
      <c r="Q630" s="57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15.75" customHeight="1" x14ac:dyDescent="0.3">
      <c r="A631" s="56"/>
      <c r="B631" s="56"/>
      <c r="C631" s="56"/>
      <c r="D631" s="56"/>
      <c r="E631" s="14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7"/>
      <c r="Q631" s="57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15.75" customHeight="1" x14ac:dyDescent="0.3">
      <c r="A632" s="56"/>
      <c r="B632" s="56"/>
      <c r="C632" s="56"/>
      <c r="D632" s="56"/>
      <c r="E632" s="14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7"/>
      <c r="Q632" s="57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15.75" customHeight="1" x14ac:dyDescent="0.3">
      <c r="A633" s="56"/>
      <c r="B633" s="56"/>
      <c r="C633" s="56"/>
      <c r="D633" s="56"/>
      <c r="E633" s="14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7"/>
      <c r="Q633" s="57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15.75" customHeight="1" x14ac:dyDescent="0.3">
      <c r="A634" s="56"/>
      <c r="B634" s="56"/>
      <c r="C634" s="56"/>
      <c r="D634" s="56"/>
      <c r="E634" s="14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7"/>
      <c r="Q634" s="57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15.75" customHeight="1" x14ac:dyDescent="0.3">
      <c r="A635" s="56"/>
      <c r="B635" s="56"/>
      <c r="C635" s="56"/>
      <c r="D635" s="56"/>
      <c r="E635" s="14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7"/>
      <c r="Q635" s="57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15.75" customHeight="1" x14ac:dyDescent="0.3">
      <c r="A636" s="56"/>
      <c r="B636" s="56"/>
      <c r="C636" s="56"/>
      <c r="D636" s="56"/>
      <c r="E636" s="14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7"/>
      <c r="Q636" s="57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15.75" customHeight="1" x14ac:dyDescent="0.3">
      <c r="A637" s="56"/>
      <c r="B637" s="56"/>
      <c r="C637" s="56"/>
      <c r="D637" s="56"/>
      <c r="E637" s="14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7"/>
      <c r="Q637" s="57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15.75" customHeight="1" x14ac:dyDescent="0.3">
      <c r="A638" s="56"/>
      <c r="B638" s="56"/>
      <c r="C638" s="56"/>
      <c r="D638" s="56"/>
      <c r="E638" s="14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7"/>
      <c r="Q638" s="57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15.75" customHeight="1" x14ac:dyDescent="0.3">
      <c r="A639" s="56"/>
      <c r="B639" s="56"/>
      <c r="C639" s="56"/>
      <c r="D639" s="56"/>
      <c r="E639" s="14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7"/>
      <c r="Q639" s="57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15.75" customHeight="1" x14ac:dyDescent="0.3">
      <c r="A640" s="56"/>
      <c r="B640" s="56"/>
      <c r="C640" s="56"/>
      <c r="D640" s="56"/>
      <c r="E640" s="14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7"/>
      <c r="Q640" s="57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15.75" customHeight="1" x14ac:dyDescent="0.3">
      <c r="A641" s="56"/>
      <c r="B641" s="56"/>
      <c r="C641" s="56"/>
      <c r="D641" s="56"/>
      <c r="E641" s="14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7"/>
      <c r="Q641" s="57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15.75" customHeight="1" x14ac:dyDescent="0.3">
      <c r="A642" s="56"/>
      <c r="B642" s="56"/>
      <c r="C642" s="56"/>
      <c r="D642" s="56"/>
      <c r="E642" s="14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7"/>
      <c r="Q642" s="57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15.75" customHeight="1" x14ac:dyDescent="0.3">
      <c r="A643" s="56"/>
      <c r="B643" s="56"/>
      <c r="C643" s="56"/>
      <c r="D643" s="56"/>
      <c r="E643" s="14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7"/>
      <c r="Q643" s="57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15.75" customHeight="1" x14ac:dyDescent="0.3">
      <c r="A644" s="56"/>
      <c r="B644" s="56"/>
      <c r="C644" s="56"/>
      <c r="D644" s="56"/>
      <c r="E644" s="14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7"/>
      <c r="Q644" s="57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15.75" customHeight="1" x14ac:dyDescent="0.3">
      <c r="A645" s="56"/>
      <c r="B645" s="56"/>
      <c r="C645" s="56"/>
      <c r="D645" s="56"/>
      <c r="E645" s="14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7"/>
      <c r="Q645" s="57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15.75" customHeight="1" x14ac:dyDescent="0.3">
      <c r="A646" s="56"/>
      <c r="B646" s="56"/>
      <c r="C646" s="56"/>
      <c r="D646" s="56"/>
      <c r="E646" s="14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7"/>
      <c r="Q646" s="57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15.75" customHeight="1" x14ac:dyDescent="0.3">
      <c r="A647" s="56"/>
      <c r="B647" s="56"/>
      <c r="C647" s="56"/>
      <c r="D647" s="56"/>
      <c r="E647" s="14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7"/>
      <c r="Q647" s="57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15.75" customHeight="1" x14ac:dyDescent="0.3">
      <c r="A648" s="56"/>
      <c r="B648" s="56"/>
      <c r="C648" s="56"/>
      <c r="D648" s="56"/>
      <c r="E648" s="14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7"/>
      <c r="Q648" s="57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15.75" customHeight="1" x14ac:dyDescent="0.3">
      <c r="A649" s="56"/>
      <c r="B649" s="56"/>
      <c r="C649" s="56"/>
      <c r="D649" s="56"/>
      <c r="E649" s="14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7"/>
      <c r="Q649" s="57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15.75" customHeight="1" x14ac:dyDescent="0.3">
      <c r="A650" s="56"/>
      <c r="B650" s="56"/>
      <c r="C650" s="56"/>
      <c r="D650" s="56"/>
      <c r="E650" s="14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7"/>
      <c r="Q650" s="57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15.75" customHeight="1" x14ac:dyDescent="0.3">
      <c r="A651" s="56"/>
      <c r="B651" s="56"/>
      <c r="C651" s="56"/>
      <c r="D651" s="56"/>
      <c r="E651" s="14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7"/>
      <c r="Q651" s="57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15.75" customHeight="1" x14ac:dyDescent="0.3">
      <c r="A652" s="56"/>
      <c r="B652" s="56"/>
      <c r="C652" s="56"/>
      <c r="D652" s="56"/>
      <c r="E652" s="14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7"/>
      <c r="Q652" s="57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15.75" customHeight="1" x14ac:dyDescent="0.3">
      <c r="A653" s="56"/>
      <c r="B653" s="56"/>
      <c r="C653" s="56"/>
      <c r="D653" s="56"/>
      <c r="E653" s="14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7"/>
      <c r="Q653" s="57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15.75" customHeight="1" x14ac:dyDescent="0.3">
      <c r="A654" s="56"/>
      <c r="B654" s="56"/>
      <c r="C654" s="56"/>
      <c r="D654" s="56"/>
      <c r="E654" s="14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7"/>
      <c r="Q654" s="57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15.75" customHeight="1" x14ac:dyDescent="0.3">
      <c r="A655" s="56"/>
      <c r="B655" s="56"/>
      <c r="C655" s="56"/>
      <c r="D655" s="56"/>
      <c r="E655" s="14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7"/>
      <c r="Q655" s="57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15.75" customHeight="1" x14ac:dyDescent="0.3">
      <c r="A656" s="56"/>
      <c r="B656" s="56"/>
      <c r="C656" s="56"/>
      <c r="D656" s="56"/>
      <c r="E656" s="14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7"/>
      <c r="Q656" s="57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15.75" customHeight="1" x14ac:dyDescent="0.3">
      <c r="A657" s="56"/>
      <c r="B657" s="56"/>
      <c r="C657" s="56"/>
      <c r="D657" s="56"/>
      <c r="E657" s="14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7"/>
      <c r="Q657" s="57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15.75" customHeight="1" x14ac:dyDescent="0.3">
      <c r="A658" s="56"/>
      <c r="B658" s="56"/>
      <c r="C658" s="56"/>
      <c r="D658" s="56"/>
      <c r="E658" s="14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7"/>
      <c r="Q658" s="57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15.75" customHeight="1" x14ac:dyDescent="0.3">
      <c r="A659" s="56"/>
      <c r="B659" s="56"/>
      <c r="C659" s="56"/>
      <c r="D659" s="56"/>
      <c r="E659" s="14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7"/>
      <c r="Q659" s="57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15.75" customHeight="1" x14ac:dyDescent="0.3">
      <c r="A660" s="56"/>
      <c r="B660" s="56"/>
      <c r="C660" s="56"/>
      <c r="D660" s="56"/>
      <c r="E660" s="14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7"/>
      <c r="Q660" s="57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15.75" customHeight="1" x14ac:dyDescent="0.3">
      <c r="A661" s="56"/>
      <c r="B661" s="56"/>
      <c r="C661" s="56"/>
      <c r="D661" s="56"/>
      <c r="E661" s="14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7"/>
      <c r="Q661" s="57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15.75" customHeight="1" x14ac:dyDescent="0.3">
      <c r="A662" s="56"/>
      <c r="B662" s="56"/>
      <c r="C662" s="56"/>
      <c r="D662" s="56"/>
      <c r="E662" s="14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7"/>
      <c r="Q662" s="57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15.75" customHeight="1" x14ac:dyDescent="0.3">
      <c r="A663" s="56"/>
      <c r="B663" s="56"/>
      <c r="C663" s="56"/>
      <c r="D663" s="56"/>
      <c r="E663" s="14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7"/>
      <c r="Q663" s="57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15.75" customHeight="1" x14ac:dyDescent="0.3">
      <c r="A664" s="56"/>
      <c r="B664" s="56"/>
      <c r="C664" s="56"/>
      <c r="D664" s="56"/>
      <c r="E664" s="14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7"/>
      <c r="Q664" s="57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15.75" customHeight="1" x14ac:dyDescent="0.3">
      <c r="A665" s="56"/>
      <c r="B665" s="56"/>
      <c r="C665" s="56"/>
      <c r="D665" s="56"/>
      <c r="E665" s="14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7"/>
      <c r="Q665" s="57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15.75" customHeight="1" x14ac:dyDescent="0.3">
      <c r="A666" s="56"/>
      <c r="B666" s="56"/>
      <c r="C666" s="56"/>
      <c r="D666" s="56"/>
      <c r="E666" s="14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7"/>
      <c r="Q666" s="57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15.75" customHeight="1" x14ac:dyDescent="0.3">
      <c r="A667" s="56"/>
      <c r="B667" s="56"/>
      <c r="C667" s="56"/>
      <c r="D667" s="56"/>
      <c r="E667" s="14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7"/>
      <c r="Q667" s="57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15.75" customHeight="1" x14ac:dyDescent="0.3">
      <c r="A668" s="56"/>
      <c r="B668" s="56"/>
      <c r="C668" s="56"/>
      <c r="D668" s="56"/>
      <c r="E668" s="14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7"/>
      <c r="Q668" s="57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15.75" customHeight="1" x14ac:dyDescent="0.3">
      <c r="A669" s="56"/>
      <c r="B669" s="56"/>
      <c r="C669" s="56"/>
      <c r="D669" s="56"/>
      <c r="E669" s="14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7"/>
      <c r="Q669" s="57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15.75" customHeight="1" x14ac:dyDescent="0.3">
      <c r="A670" s="56"/>
      <c r="B670" s="56"/>
      <c r="C670" s="56"/>
      <c r="D670" s="56"/>
      <c r="E670" s="14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7"/>
      <c r="Q670" s="57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15.75" customHeight="1" x14ac:dyDescent="0.3">
      <c r="A671" s="56"/>
      <c r="B671" s="56"/>
      <c r="C671" s="56"/>
      <c r="D671" s="56"/>
      <c r="E671" s="14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7"/>
      <c r="Q671" s="57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15.75" customHeight="1" x14ac:dyDescent="0.3">
      <c r="A672" s="56"/>
      <c r="B672" s="56"/>
      <c r="C672" s="56"/>
      <c r="D672" s="56"/>
      <c r="E672" s="14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7"/>
      <c r="Q672" s="57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15.75" customHeight="1" x14ac:dyDescent="0.3">
      <c r="A673" s="56"/>
      <c r="B673" s="56"/>
      <c r="C673" s="56"/>
      <c r="D673" s="56"/>
      <c r="E673" s="14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7"/>
      <c r="Q673" s="57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15.75" customHeight="1" x14ac:dyDescent="0.3">
      <c r="A674" s="56"/>
      <c r="B674" s="56"/>
      <c r="C674" s="56"/>
      <c r="D674" s="56"/>
      <c r="E674" s="14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7"/>
      <c r="Q674" s="57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15.75" customHeight="1" x14ac:dyDescent="0.3">
      <c r="A675" s="56"/>
      <c r="B675" s="56"/>
      <c r="C675" s="56"/>
      <c r="D675" s="56"/>
      <c r="E675" s="14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7"/>
      <c r="Q675" s="57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15.75" customHeight="1" x14ac:dyDescent="0.3">
      <c r="A676" s="56"/>
      <c r="B676" s="56"/>
      <c r="C676" s="56"/>
      <c r="D676" s="56"/>
      <c r="E676" s="14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7"/>
      <c r="Q676" s="57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15.75" customHeight="1" x14ac:dyDescent="0.3">
      <c r="A677" s="56"/>
      <c r="B677" s="56"/>
      <c r="C677" s="56"/>
      <c r="D677" s="56"/>
      <c r="E677" s="14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7"/>
      <c r="Q677" s="57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15.75" customHeight="1" x14ac:dyDescent="0.3">
      <c r="A678" s="56"/>
      <c r="B678" s="56"/>
      <c r="C678" s="56"/>
      <c r="D678" s="56"/>
      <c r="E678" s="14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7"/>
      <c r="Q678" s="57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15.75" customHeight="1" x14ac:dyDescent="0.3">
      <c r="A679" s="56"/>
      <c r="B679" s="56"/>
      <c r="C679" s="56"/>
      <c r="D679" s="56"/>
      <c r="E679" s="14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7"/>
      <c r="Q679" s="57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15.75" customHeight="1" x14ac:dyDescent="0.3">
      <c r="A680" s="56"/>
      <c r="B680" s="56"/>
      <c r="C680" s="56"/>
      <c r="D680" s="56"/>
      <c r="E680" s="14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7"/>
      <c r="Q680" s="57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15.75" customHeight="1" x14ac:dyDescent="0.3">
      <c r="A681" s="56"/>
      <c r="B681" s="56"/>
      <c r="C681" s="56"/>
      <c r="D681" s="56"/>
      <c r="E681" s="14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7"/>
      <c r="Q681" s="57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15.75" customHeight="1" x14ac:dyDescent="0.3">
      <c r="A682" s="56"/>
      <c r="B682" s="56"/>
      <c r="C682" s="56"/>
      <c r="D682" s="56"/>
      <c r="E682" s="14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7"/>
      <c r="Q682" s="57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15.75" customHeight="1" x14ac:dyDescent="0.3">
      <c r="A683" s="56"/>
      <c r="B683" s="56"/>
      <c r="C683" s="56"/>
      <c r="D683" s="56"/>
      <c r="E683" s="14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7"/>
      <c r="Q683" s="57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15.75" customHeight="1" x14ac:dyDescent="0.3">
      <c r="A684" s="56"/>
      <c r="B684" s="56"/>
      <c r="C684" s="56"/>
      <c r="D684" s="56"/>
      <c r="E684" s="14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7"/>
      <c r="Q684" s="57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15.75" customHeight="1" x14ac:dyDescent="0.3">
      <c r="A685" s="56"/>
      <c r="B685" s="56"/>
      <c r="C685" s="56"/>
      <c r="D685" s="56"/>
      <c r="E685" s="14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7"/>
      <c r="Q685" s="57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15.75" customHeight="1" x14ac:dyDescent="0.3">
      <c r="A686" s="56"/>
      <c r="B686" s="56"/>
      <c r="C686" s="56"/>
      <c r="D686" s="56"/>
      <c r="E686" s="14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7"/>
      <c r="Q686" s="57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15.75" customHeight="1" x14ac:dyDescent="0.3">
      <c r="A687" s="56"/>
      <c r="B687" s="56"/>
      <c r="C687" s="56"/>
      <c r="D687" s="56"/>
      <c r="E687" s="14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7"/>
      <c r="Q687" s="57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15.75" customHeight="1" x14ac:dyDescent="0.3">
      <c r="A688" s="56"/>
      <c r="B688" s="56"/>
      <c r="C688" s="56"/>
      <c r="D688" s="56"/>
      <c r="E688" s="14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7"/>
      <c r="Q688" s="57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15.75" customHeight="1" x14ac:dyDescent="0.3">
      <c r="A689" s="56"/>
      <c r="B689" s="56"/>
      <c r="C689" s="56"/>
      <c r="D689" s="56"/>
      <c r="E689" s="14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7"/>
      <c r="Q689" s="57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15.75" customHeight="1" x14ac:dyDescent="0.3">
      <c r="A690" s="56"/>
      <c r="B690" s="56"/>
      <c r="C690" s="56"/>
      <c r="D690" s="56"/>
      <c r="E690" s="14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7"/>
      <c r="Q690" s="57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15.75" customHeight="1" x14ac:dyDescent="0.3">
      <c r="A691" s="56"/>
      <c r="B691" s="56"/>
      <c r="C691" s="56"/>
      <c r="D691" s="56"/>
      <c r="E691" s="14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7"/>
      <c r="Q691" s="57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15.75" customHeight="1" x14ac:dyDescent="0.3">
      <c r="A692" s="56"/>
      <c r="B692" s="56"/>
      <c r="C692" s="56"/>
      <c r="D692" s="56"/>
      <c r="E692" s="14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7"/>
      <c r="Q692" s="57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15.75" customHeight="1" x14ac:dyDescent="0.3">
      <c r="A693" s="56"/>
      <c r="B693" s="56"/>
      <c r="C693" s="56"/>
      <c r="D693" s="56"/>
      <c r="E693" s="14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7"/>
      <c r="Q693" s="57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15.75" customHeight="1" x14ac:dyDescent="0.3">
      <c r="A694" s="56"/>
      <c r="B694" s="56"/>
      <c r="C694" s="56"/>
      <c r="D694" s="56"/>
      <c r="E694" s="14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7"/>
      <c r="Q694" s="57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15.75" customHeight="1" x14ac:dyDescent="0.3">
      <c r="A695" s="56"/>
      <c r="B695" s="56"/>
      <c r="C695" s="56"/>
      <c r="D695" s="56"/>
      <c r="E695" s="14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7"/>
      <c r="Q695" s="57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15.75" customHeight="1" x14ac:dyDescent="0.3">
      <c r="A696" s="56"/>
      <c r="B696" s="56"/>
      <c r="C696" s="56"/>
      <c r="D696" s="56"/>
      <c r="E696" s="14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7"/>
      <c r="Q696" s="57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15.75" customHeight="1" x14ac:dyDescent="0.3">
      <c r="A697" s="56"/>
      <c r="B697" s="56"/>
      <c r="C697" s="56"/>
      <c r="D697" s="56"/>
      <c r="E697" s="14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7"/>
      <c r="Q697" s="57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15.75" customHeight="1" x14ac:dyDescent="0.3">
      <c r="A698" s="56"/>
      <c r="B698" s="56"/>
      <c r="C698" s="56"/>
      <c r="D698" s="56"/>
      <c r="E698" s="14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7"/>
      <c r="Q698" s="57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15.75" customHeight="1" x14ac:dyDescent="0.3">
      <c r="A699" s="56"/>
      <c r="B699" s="56"/>
      <c r="C699" s="56"/>
      <c r="D699" s="56"/>
      <c r="E699" s="14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7"/>
      <c r="Q699" s="57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15.75" customHeight="1" x14ac:dyDescent="0.3">
      <c r="A700" s="56"/>
      <c r="B700" s="56"/>
      <c r="C700" s="56"/>
      <c r="D700" s="56"/>
      <c r="E700" s="14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7"/>
      <c r="Q700" s="57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15.75" customHeight="1" x14ac:dyDescent="0.3">
      <c r="A701" s="56"/>
      <c r="B701" s="56"/>
      <c r="C701" s="56"/>
      <c r="D701" s="56"/>
      <c r="E701" s="14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7"/>
      <c r="Q701" s="57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15.75" customHeight="1" x14ac:dyDescent="0.3">
      <c r="A702" s="56"/>
      <c r="B702" s="56"/>
      <c r="C702" s="56"/>
      <c r="D702" s="56"/>
      <c r="E702" s="14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7"/>
      <c r="Q702" s="57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15.75" customHeight="1" x14ac:dyDescent="0.3">
      <c r="A703" s="56"/>
      <c r="B703" s="56"/>
      <c r="C703" s="56"/>
      <c r="D703" s="56"/>
      <c r="E703" s="14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7"/>
      <c r="Q703" s="57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15.75" customHeight="1" x14ac:dyDescent="0.3">
      <c r="A704" s="56"/>
      <c r="B704" s="56"/>
      <c r="C704" s="56"/>
      <c r="D704" s="56"/>
      <c r="E704" s="14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7"/>
      <c r="Q704" s="57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15.75" customHeight="1" x14ac:dyDescent="0.3">
      <c r="A705" s="56"/>
      <c r="B705" s="56"/>
      <c r="C705" s="56"/>
      <c r="D705" s="56"/>
      <c r="E705" s="14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7"/>
      <c r="Q705" s="57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15.75" customHeight="1" x14ac:dyDescent="0.3">
      <c r="A706" s="56"/>
      <c r="B706" s="56"/>
      <c r="C706" s="56"/>
      <c r="D706" s="56"/>
      <c r="E706" s="14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7"/>
      <c r="Q706" s="57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15.75" customHeight="1" x14ac:dyDescent="0.3">
      <c r="A707" s="56"/>
      <c r="B707" s="56"/>
      <c r="C707" s="56"/>
      <c r="D707" s="56"/>
      <c r="E707" s="14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7"/>
      <c r="Q707" s="57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15.75" customHeight="1" x14ac:dyDescent="0.3">
      <c r="A708" s="56"/>
      <c r="B708" s="56"/>
      <c r="C708" s="56"/>
      <c r="D708" s="56"/>
      <c r="E708" s="14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7"/>
      <c r="Q708" s="57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15.75" customHeight="1" x14ac:dyDescent="0.3">
      <c r="A709" s="56"/>
      <c r="B709" s="56"/>
      <c r="C709" s="56"/>
      <c r="D709" s="56"/>
      <c r="E709" s="14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7"/>
      <c r="Q709" s="57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15.75" customHeight="1" x14ac:dyDescent="0.3">
      <c r="A710" s="56"/>
      <c r="B710" s="56"/>
      <c r="C710" s="56"/>
      <c r="D710" s="56"/>
      <c r="E710" s="14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7"/>
      <c r="Q710" s="57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15.75" customHeight="1" x14ac:dyDescent="0.3">
      <c r="A711" s="56"/>
      <c r="B711" s="56"/>
      <c r="C711" s="56"/>
      <c r="D711" s="56"/>
      <c r="E711" s="14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7"/>
      <c r="Q711" s="57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15.75" customHeight="1" x14ac:dyDescent="0.3">
      <c r="A712" s="56"/>
      <c r="B712" s="56"/>
      <c r="C712" s="56"/>
      <c r="D712" s="56"/>
      <c r="E712" s="14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7"/>
      <c r="Q712" s="57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15.75" customHeight="1" x14ac:dyDescent="0.3">
      <c r="A713" s="56"/>
      <c r="B713" s="56"/>
      <c r="C713" s="56"/>
      <c r="D713" s="56"/>
      <c r="E713" s="14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7"/>
      <c r="Q713" s="57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15.75" customHeight="1" x14ac:dyDescent="0.3">
      <c r="A714" s="56"/>
      <c r="B714" s="56"/>
      <c r="C714" s="56"/>
      <c r="D714" s="56"/>
      <c r="E714" s="14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7"/>
      <c r="Q714" s="57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15.75" customHeight="1" x14ac:dyDescent="0.3">
      <c r="A715" s="56"/>
      <c r="B715" s="56"/>
      <c r="C715" s="56"/>
      <c r="D715" s="56"/>
      <c r="E715" s="14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7"/>
      <c r="Q715" s="57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15.75" customHeight="1" x14ac:dyDescent="0.3">
      <c r="A716" s="56"/>
      <c r="B716" s="56"/>
      <c r="C716" s="56"/>
      <c r="D716" s="56"/>
      <c r="E716" s="14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7"/>
      <c r="Q716" s="57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15.75" customHeight="1" x14ac:dyDescent="0.3">
      <c r="A717" s="56"/>
      <c r="B717" s="56"/>
      <c r="C717" s="56"/>
      <c r="D717" s="56"/>
      <c r="E717" s="14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7"/>
      <c r="Q717" s="57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15.75" customHeight="1" x14ac:dyDescent="0.3">
      <c r="A718" s="56"/>
      <c r="B718" s="56"/>
      <c r="C718" s="56"/>
      <c r="D718" s="56"/>
      <c r="E718" s="14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7"/>
      <c r="Q718" s="57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15.75" customHeight="1" x14ac:dyDescent="0.3">
      <c r="A719" s="56"/>
      <c r="B719" s="56"/>
      <c r="C719" s="56"/>
      <c r="D719" s="56"/>
      <c r="E719" s="14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7"/>
      <c r="Q719" s="57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15.75" customHeight="1" x14ac:dyDescent="0.3">
      <c r="A720" s="56"/>
      <c r="B720" s="56"/>
      <c r="C720" s="56"/>
      <c r="D720" s="56"/>
      <c r="E720" s="14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7"/>
      <c r="Q720" s="57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15.75" customHeight="1" x14ac:dyDescent="0.3">
      <c r="A721" s="56"/>
      <c r="B721" s="56"/>
      <c r="C721" s="56"/>
      <c r="D721" s="56"/>
      <c r="E721" s="14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7"/>
      <c r="Q721" s="57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15.75" customHeight="1" x14ac:dyDescent="0.3">
      <c r="A722" s="56"/>
      <c r="B722" s="56"/>
      <c r="C722" s="56"/>
      <c r="D722" s="56"/>
      <c r="E722" s="14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7"/>
      <c r="Q722" s="57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15.75" customHeight="1" x14ac:dyDescent="0.3">
      <c r="A723" s="56"/>
      <c r="B723" s="56"/>
      <c r="C723" s="56"/>
      <c r="D723" s="56"/>
      <c r="E723" s="14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7"/>
      <c r="Q723" s="57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15.75" customHeight="1" x14ac:dyDescent="0.3">
      <c r="A724" s="56"/>
      <c r="B724" s="56"/>
      <c r="C724" s="56"/>
      <c r="D724" s="56"/>
      <c r="E724" s="14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7"/>
      <c r="Q724" s="57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15.75" customHeight="1" x14ac:dyDescent="0.3">
      <c r="A725" s="56"/>
      <c r="B725" s="56"/>
      <c r="C725" s="56"/>
      <c r="D725" s="56"/>
      <c r="E725" s="14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7"/>
      <c r="Q725" s="57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15.75" customHeight="1" x14ac:dyDescent="0.3">
      <c r="A726" s="56"/>
      <c r="B726" s="56"/>
      <c r="C726" s="56"/>
      <c r="D726" s="56"/>
      <c r="E726" s="14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7"/>
      <c r="Q726" s="57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15.75" customHeight="1" x14ac:dyDescent="0.3">
      <c r="A727" s="56"/>
      <c r="B727" s="56"/>
      <c r="C727" s="56"/>
      <c r="D727" s="56"/>
      <c r="E727" s="14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7"/>
      <c r="Q727" s="57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15.75" customHeight="1" x14ac:dyDescent="0.3">
      <c r="A728" s="56"/>
      <c r="B728" s="56"/>
      <c r="C728" s="56"/>
      <c r="D728" s="56"/>
      <c r="E728" s="14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7"/>
      <c r="Q728" s="57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15.75" customHeight="1" x14ac:dyDescent="0.3">
      <c r="A729" s="56"/>
      <c r="B729" s="56"/>
      <c r="C729" s="56"/>
      <c r="D729" s="56"/>
      <c r="E729" s="14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7"/>
      <c r="Q729" s="57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15.75" customHeight="1" x14ac:dyDescent="0.3">
      <c r="A730" s="56"/>
      <c r="B730" s="56"/>
      <c r="C730" s="56"/>
      <c r="D730" s="56"/>
      <c r="E730" s="14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7"/>
      <c r="Q730" s="57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15.75" customHeight="1" x14ac:dyDescent="0.3">
      <c r="A731" s="56"/>
      <c r="B731" s="56"/>
      <c r="C731" s="56"/>
      <c r="D731" s="56"/>
      <c r="E731" s="14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7"/>
      <c r="Q731" s="57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15.75" customHeight="1" x14ac:dyDescent="0.3">
      <c r="A732" s="56"/>
      <c r="B732" s="56"/>
      <c r="C732" s="56"/>
      <c r="D732" s="56"/>
      <c r="E732" s="14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7"/>
      <c r="Q732" s="57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15.75" customHeight="1" x14ac:dyDescent="0.3">
      <c r="A733" s="56"/>
      <c r="B733" s="56"/>
      <c r="C733" s="56"/>
      <c r="D733" s="56"/>
      <c r="E733" s="14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7"/>
      <c r="Q733" s="57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15.75" customHeight="1" x14ac:dyDescent="0.3">
      <c r="A734" s="56"/>
      <c r="B734" s="56"/>
      <c r="C734" s="56"/>
      <c r="D734" s="56"/>
      <c r="E734" s="14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7"/>
      <c r="Q734" s="57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15.75" customHeight="1" x14ac:dyDescent="0.3">
      <c r="A735" s="56"/>
      <c r="B735" s="56"/>
      <c r="C735" s="56"/>
      <c r="D735" s="56"/>
      <c r="E735" s="14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7"/>
      <c r="Q735" s="57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15.75" customHeight="1" x14ac:dyDescent="0.3">
      <c r="A736" s="56"/>
      <c r="B736" s="56"/>
      <c r="C736" s="56"/>
      <c r="D736" s="56"/>
      <c r="E736" s="14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7"/>
      <c r="Q736" s="57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15.75" customHeight="1" x14ac:dyDescent="0.3">
      <c r="A737" s="56"/>
      <c r="B737" s="56"/>
      <c r="C737" s="56"/>
      <c r="D737" s="56"/>
      <c r="E737" s="14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7"/>
      <c r="Q737" s="57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15.75" customHeight="1" x14ac:dyDescent="0.3">
      <c r="A738" s="56"/>
      <c r="B738" s="56"/>
      <c r="C738" s="56"/>
      <c r="D738" s="56"/>
      <c r="E738" s="14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7"/>
      <c r="Q738" s="57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15.75" customHeight="1" x14ac:dyDescent="0.3">
      <c r="A739" s="56"/>
      <c r="B739" s="56"/>
      <c r="C739" s="56"/>
      <c r="D739" s="56"/>
      <c r="E739" s="14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7"/>
      <c r="Q739" s="57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15.75" customHeight="1" x14ac:dyDescent="0.3">
      <c r="A740" s="56"/>
      <c r="B740" s="56"/>
      <c r="C740" s="56"/>
      <c r="D740" s="56"/>
      <c r="E740" s="14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7"/>
      <c r="Q740" s="57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15.75" customHeight="1" x14ac:dyDescent="0.3">
      <c r="A741" s="56"/>
      <c r="B741" s="56"/>
      <c r="C741" s="56"/>
      <c r="D741" s="56"/>
      <c r="E741" s="14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7"/>
      <c r="Q741" s="57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15.75" customHeight="1" x14ac:dyDescent="0.3">
      <c r="A742" s="56"/>
      <c r="B742" s="56"/>
      <c r="C742" s="56"/>
      <c r="D742" s="56"/>
      <c r="E742" s="14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7"/>
      <c r="Q742" s="57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15.75" customHeight="1" x14ac:dyDescent="0.3">
      <c r="A743" s="56"/>
      <c r="B743" s="56"/>
      <c r="C743" s="56"/>
      <c r="D743" s="56"/>
      <c r="E743" s="14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7"/>
      <c r="Q743" s="57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15.75" customHeight="1" x14ac:dyDescent="0.3">
      <c r="A744" s="56"/>
      <c r="B744" s="56"/>
      <c r="C744" s="56"/>
      <c r="D744" s="56"/>
      <c r="E744" s="14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7"/>
      <c r="Q744" s="57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15.75" customHeight="1" x14ac:dyDescent="0.3">
      <c r="A745" s="56"/>
      <c r="B745" s="56"/>
      <c r="C745" s="56"/>
      <c r="D745" s="56"/>
      <c r="E745" s="14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7"/>
      <c r="Q745" s="57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15.75" customHeight="1" x14ac:dyDescent="0.3">
      <c r="A746" s="56"/>
      <c r="B746" s="56"/>
      <c r="C746" s="56"/>
      <c r="D746" s="56"/>
      <c r="E746" s="14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7"/>
      <c r="Q746" s="57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15.75" customHeight="1" x14ac:dyDescent="0.3">
      <c r="A747" s="56"/>
      <c r="B747" s="56"/>
      <c r="C747" s="56"/>
      <c r="D747" s="56"/>
      <c r="E747" s="14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7"/>
      <c r="Q747" s="57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15.75" customHeight="1" x14ac:dyDescent="0.3">
      <c r="A748" s="56"/>
      <c r="B748" s="56"/>
      <c r="C748" s="56"/>
      <c r="D748" s="56"/>
      <c r="E748" s="14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7"/>
      <c r="Q748" s="57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15.75" customHeight="1" x14ac:dyDescent="0.3">
      <c r="A749" s="56"/>
      <c r="B749" s="56"/>
      <c r="C749" s="56"/>
      <c r="D749" s="56"/>
      <c r="E749" s="14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7"/>
      <c r="Q749" s="57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15.75" customHeight="1" x14ac:dyDescent="0.3">
      <c r="A750" s="56"/>
      <c r="B750" s="56"/>
      <c r="C750" s="56"/>
      <c r="D750" s="56"/>
      <c r="E750" s="14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7"/>
      <c r="Q750" s="57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15.75" customHeight="1" x14ac:dyDescent="0.3">
      <c r="A751" s="56"/>
      <c r="B751" s="56"/>
      <c r="C751" s="56"/>
      <c r="D751" s="56"/>
      <c r="E751" s="14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7"/>
      <c r="Q751" s="57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15.75" customHeight="1" x14ac:dyDescent="0.3">
      <c r="A752" s="56"/>
      <c r="B752" s="56"/>
      <c r="C752" s="56"/>
      <c r="D752" s="56"/>
      <c r="E752" s="14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7"/>
      <c r="Q752" s="57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15.75" customHeight="1" x14ac:dyDescent="0.3">
      <c r="A753" s="56"/>
      <c r="B753" s="56"/>
      <c r="C753" s="56"/>
      <c r="D753" s="56"/>
      <c r="E753" s="14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7"/>
      <c r="Q753" s="57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15.75" customHeight="1" x14ac:dyDescent="0.3">
      <c r="A754" s="56"/>
      <c r="B754" s="56"/>
      <c r="C754" s="56"/>
      <c r="D754" s="56"/>
      <c r="E754" s="14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7"/>
      <c r="Q754" s="57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15.75" customHeight="1" x14ac:dyDescent="0.3">
      <c r="A755" s="56"/>
      <c r="B755" s="56"/>
      <c r="C755" s="56"/>
      <c r="D755" s="56"/>
      <c r="E755" s="14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7"/>
      <c r="Q755" s="57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15.75" customHeight="1" x14ac:dyDescent="0.3">
      <c r="A756" s="56"/>
      <c r="B756" s="56"/>
      <c r="C756" s="56"/>
      <c r="D756" s="56"/>
      <c r="E756" s="14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7"/>
      <c r="Q756" s="57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15.75" customHeight="1" x14ac:dyDescent="0.3">
      <c r="A757" s="56"/>
      <c r="B757" s="56"/>
      <c r="C757" s="56"/>
      <c r="D757" s="56"/>
      <c r="E757" s="14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7"/>
      <c r="Q757" s="57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15.75" customHeight="1" x14ac:dyDescent="0.3">
      <c r="A758" s="56"/>
      <c r="B758" s="56"/>
      <c r="C758" s="56"/>
      <c r="D758" s="56"/>
      <c r="E758" s="14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7"/>
      <c r="Q758" s="57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15.75" customHeight="1" x14ac:dyDescent="0.3">
      <c r="A759" s="56"/>
      <c r="B759" s="56"/>
      <c r="C759" s="56"/>
      <c r="D759" s="56"/>
      <c r="E759" s="14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7"/>
      <c r="Q759" s="57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15.75" customHeight="1" x14ac:dyDescent="0.3">
      <c r="A760" s="56"/>
      <c r="B760" s="56"/>
      <c r="C760" s="56"/>
      <c r="D760" s="56"/>
      <c r="E760" s="14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7"/>
      <c r="Q760" s="57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15.75" customHeight="1" x14ac:dyDescent="0.3">
      <c r="A761" s="56"/>
      <c r="B761" s="56"/>
      <c r="C761" s="56"/>
      <c r="D761" s="56"/>
      <c r="E761" s="14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7"/>
      <c r="Q761" s="57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15.75" customHeight="1" x14ac:dyDescent="0.3">
      <c r="A762" s="56"/>
      <c r="B762" s="56"/>
      <c r="C762" s="56"/>
      <c r="D762" s="56"/>
      <c r="E762" s="14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7"/>
      <c r="Q762" s="57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15.75" customHeight="1" x14ac:dyDescent="0.3">
      <c r="A763" s="56"/>
      <c r="B763" s="56"/>
      <c r="C763" s="56"/>
      <c r="D763" s="56"/>
      <c r="E763" s="14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7"/>
      <c r="Q763" s="57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15.75" customHeight="1" x14ac:dyDescent="0.3">
      <c r="A764" s="56"/>
      <c r="B764" s="56"/>
      <c r="C764" s="56"/>
      <c r="D764" s="56"/>
      <c r="E764" s="14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7"/>
      <c r="Q764" s="57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15.75" customHeight="1" x14ac:dyDescent="0.3">
      <c r="A765" s="56"/>
      <c r="B765" s="56"/>
      <c r="C765" s="56"/>
      <c r="D765" s="56"/>
      <c r="E765" s="14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7"/>
      <c r="Q765" s="57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15.75" customHeight="1" x14ac:dyDescent="0.3">
      <c r="A766" s="56"/>
      <c r="B766" s="56"/>
      <c r="C766" s="56"/>
      <c r="D766" s="56"/>
      <c r="E766" s="14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7"/>
      <c r="Q766" s="57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15.75" customHeight="1" x14ac:dyDescent="0.3">
      <c r="A767" s="56"/>
      <c r="B767" s="56"/>
      <c r="C767" s="56"/>
      <c r="D767" s="56"/>
      <c r="E767" s="14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7"/>
      <c r="Q767" s="57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15.75" customHeight="1" x14ac:dyDescent="0.3">
      <c r="A768" s="56"/>
      <c r="B768" s="56"/>
      <c r="C768" s="56"/>
      <c r="D768" s="56"/>
      <c r="E768" s="14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7"/>
      <c r="Q768" s="57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15.75" customHeight="1" x14ac:dyDescent="0.3">
      <c r="A769" s="56"/>
      <c r="B769" s="56"/>
      <c r="C769" s="56"/>
      <c r="D769" s="56"/>
      <c r="E769" s="14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7"/>
      <c r="Q769" s="57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15.75" customHeight="1" x14ac:dyDescent="0.3">
      <c r="A770" s="56"/>
      <c r="B770" s="56"/>
      <c r="C770" s="56"/>
      <c r="D770" s="56"/>
      <c r="E770" s="14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7"/>
      <c r="Q770" s="57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15.75" customHeight="1" x14ac:dyDescent="0.3">
      <c r="A771" s="56"/>
      <c r="B771" s="56"/>
      <c r="C771" s="56"/>
      <c r="D771" s="56"/>
      <c r="E771" s="14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7"/>
      <c r="Q771" s="57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15.75" customHeight="1" x14ac:dyDescent="0.3">
      <c r="A772" s="56"/>
      <c r="B772" s="56"/>
      <c r="C772" s="56"/>
      <c r="D772" s="56"/>
      <c r="E772" s="14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7"/>
      <c r="Q772" s="57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15.75" customHeight="1" x14ac:dyDescent="0.3">
      <c r="A773" s="56"/>
      <c r="B773" s="56"/>
      <c r="C773" s="56"/>
      <c r="D773" s="56"/>
      <c r="E773" s="14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7"/>
      <c r="Q773" s="57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15.75" customHeight="1" x14ac:dyDescent="0.3">
      <c r="A774" s="56"/>
      <c r="B774" s="56"/>
      <c r="C774" s="56"/>
      <c r="D774" s="56"/>
      <c r="E774" s="14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7"/>
      <c r="Q774" s="57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15.75" customHeight="1" x14ac:dyDescent="0.3">
      <c r="A775" s="56"/>
      <c r="B775" s="56"/>
      <c r="C775" s="56"/>
      <c r="D775" s="56"/>
      <c r="E775" s="14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7"/>
      <c r="Q775" s="57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15.75" customHeight="1" x14ac:dyDescent="0.3">
      <c r="A776" s="56"/>
      <c r="B776" s="56"/>
      <c r="C776" s="56"/>
      <c r="D776" s="56"/>
      <c r="E776" s="14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7"/>
      <c r="Q776" s="57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15.75" customHeight="1" x14ac:dyDescent="0.3">
      <c r="A777" s="56"/>
      <c r="B777" s="56"/>
      <c r="C777" s="56"/>
      <c r="D777" s="56"/>
      <c r="E777" s="14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7"/>
      <c r="Q777" s="57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15.75" customHeight="1" x14ac:dyDescent="0.3">
      <c r="A778" s="56"/>
      <c r="B778" s="56"/>
      <c r="C778" s="56"/>
      <c r="D778" s="56"/>
      <c r="E778" s="14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7"/>
      <c r="Q778" s="57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15.75" customHeight="1" x14ac:dyDescent="0.3">
      <c r="A779" s="56"/>
      <c r="B779" s="56"/>
      <c r="C779" s="56"/>
      <c r="D779" s="56"/>
      <c r="E779" s="14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7"/>
      <c r="Q779" s="57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15.75" customHeight="1" x14ac:dyDescent="0.3">
      <c r="A780" s="56"/>
      <c r="B780" s="56"/>
      <c r="C780" s="56"/>
      <c r="D780" s="56"/>
      <c r="E780" s="14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7"/>
      <c r="Q780" s="57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15.75" customHeight="1" x14ac:dyDescent="0.3">
      <c r="A781" s="56"/>
      <c r="B781" s="56"/>
      <c r="C781" s="56"/>
      <c r="D781" s="56"/>
      <c r="E781" s="14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7"/>
      <c r="Q781" s="57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15.75" customHeight="1" x14ac:dyDescent="0.3">
      <c r="A782" s="56"/>
      <c r="B782" s="56"/>
      <c r="C782" s="56"/>
      <c r="D782" s="56"/>
      <c r="E782" s="14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7"/>
      <c r="Q782" s="57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15.75" customHeight="1" x14ac:dyDescent="0.3">
      <c r="A783" s="56"/>
      <c r="B783" s="56"/>
      <c r="C783" s="56"/>
      <c r="D783" s="56"/>
      <c r="E783" s="14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7"/>
      <c r="Q783" s="57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15.75" customHeight="1" x14ac:dyDescent="0.3">
      <c r="A784" s="56"/>
      <c r="B784" s="56"/>
      <c r="C784" s="56"/>
      <c r="D784" s="56"/>
      <c r="E784" s="14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7"/>
      <c r="Q784" s="57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15.75" customHeight="1" x14ac:dyDescent="0.3">
      <c r="A785" s="56"/>
      <c r="B785" s="56"/>
      <c r="C785" s="56"/>
      <c r="D785" s="56"/>
      <c r="E785" s="14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7"/>
      <c r="Q785" s="57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15.75" customHeight="1" x14ac:dyDescent="0.3">
      <c r="A786" s="56"/>
      <c r="B786" s="56"/>
      <c r="C786" s="56"/>
      <c r="D786" s="56"/>
      <c r="E786" s="14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7"/>
      <c r="Q786" s="57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15.75" customHeight="1" x14ac:dyDescent="0.3">
      <c r="A787" s="56"/>
      <c r="B787" s="56"/>
      <c r="C787" s="56"/>
      <c r="D787" s="56"/>
      <c r="E787" s="14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7"/>
      <c r="Q787" s="57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15.75" customHeight="1" x14ac:dyDescent="0.3">
      <c r="A788" s="56"/>
      <c r="B788" s="56"/>
      <c r="C788" s="56"/>
      <c r="D788" s="56"/>
      <c r="E788" s="14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7"/>
      <c r="Q788" s="57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15.75" customHeight="1" x14ac:dyDescent="0.3">
      <c r="A789" s="56"/>
      <c r="B789" s="56"/>
      <c r="C789" s="56"/>
      <c r="D789" s="56"/>
      <c r="E789" s="14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7"/>
      <c r="Q789" s="57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15.75" customHeight="1" x14ac:dyDescent="0.3">
      <c r="A790" s="56"/>
      <c r="B790" s="56"/>
      <c r="C790" s="56"/>
      <c r="D790" s="56"/>
      <c r="E790" s="14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7"/>
      <c r="Q790" s="57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15.75" customHeight="1" x14ac:dyDescent="0.3">
      <c r="A791" s="56"/>
      <c r="B791" s="56"/>
      <c r="C791" s="56"/>
      <c r="D791" s="56"/>
      <c r="E791" s="14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7"/>
      <c r="Q791" s="57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15.75" customHeight="1" x14ac:dyDescent="0.3">
      <c r="A792" s="56"/>
      <c r="B792" s="56"/>
      <c r="C792" s="56"/>
      <c r="D792" s="56"/>
      <c r="E792" s="14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7"/>
      <c r="Q792" s="57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15.75" customHeight="1" x14ac:dyDescent="0.3">
      <c r="A793" s="56"/>
      <c r="B793" s="56"/>
      <c r="C793" s="56"/>
      <c r="D793" s="56"/>
      <c r="E793" s="14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7"/>
      <c r="Q793" s="57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15.75" customHeight="1" x14ac:dyDescent="0.3">
      <c r="A794" s="56"/>
      <c r="B794" s="56"/>
      <c r="C794" s="56"/>
      <c r="D794" s="56"/>
      <c r="E794" s="14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7"/>
      <c r="Q794" s="57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15.75" customHeight="1" x14ac:dyDescent="0.3">
      <c r="A795" s="56"/>
      <c r="B795" s="56"/>
      <c r="C795" s="56"/>
      <c r="D795" s="56"/>
      <c r="E795" s="14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7"/>
      <c r="Q795" s="57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15.75" customHeight="1" x14ac:dyDescent="0.3">
      <c r="A796" s="56"/>
      <c r="B796" s="56"/>
      <c r="C796" s="56"/>
      <c r="D796" s="56"/>
      <c r="E796" s="14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7"/>
      <c r="Q796" s="57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15.75" customHeight="1" x14ac:dyDescent="0.3">
      <c r="A797" s="56"/>
      <c r="B797" s="56"/>
      <c r="C797" s="56"/>
      <c r="D797" s="56"/>
      <c r="E797" s="14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7"/>
      <c r="Q797" s="57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15.75" customHeight="1" x14ac:dyDescent="0.3">
      <c r="A798" s="56"/>
      <c r="B798" s="56"/>
      <c r="C798" s="56"/>
      <c r="D798" s="56"/>
      <c r="E798" s="14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7"/>
      <c r="Q798" s="57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15.75" customHeight="1" x14ac:dyDescent="0.3">
      <c r="A799" s="56"/>
      <c r="B799" s="56"/>
      <c r="C799" s="56"/>
      <c r="D799" s="56"/>
      <c r="E799" s="14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7"/>
      <c r="Q799" s="57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15.75" customHeight="1" x14ac:dyDescent="0.3">
      <c r="A800" s="56"/>
      <c r="B800" s="56"/>
      <c r="C800" s="56"/>
      <c r="D800" s="56"/>
      <c r="E800" s="14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7"/>
      <c r="Q800" s="57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15.75" customHeight="1" x14ac:dyDescent="0.3">
      <c r="A801" s="56"/>
      <c r="B801" s="56"/>
      <c r="C801" s="56"/>
      <c r="D801" s="56"/>
      <c r="E801" s="14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7"/>
      <c r="Q801" s="57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15.75" customHeight="1" x14ac:dyDescent="0.3">
      <c r="A802" s="56"/>
      <c r="B802" s="56"/>
      <c r="C802" s="56"/>
      <c r="D802" s="56"/>
      <c r="E802" s="14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7"/>
      <c r="Q802" s="57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15.75" customHeight="1" x14ac:dyDescent="0.3">
      <c r="A803" s="56"/>
      <c r="B803" s="56"/>
      <c r="C803" s="56"/>
      <c r="D803" s="56"/>
      <c r="E803" s="14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7"/>
      <c r="Q803" s="57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15.75" customHeight="1" x14ac:dyDescent="0.3">
      <c r="A804" s="56"/>
      <c r="B804" s="56"/>
      <c r="C804" s="56"/>
      <c r="D804" s="56"/>
      <c r="E804" s="14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7"/>
      <c r="Q804" s="57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15.75" customHeight="1" x14ac:dyDescent="0.3">
      <c r="A805" s="56"/>
      <c r="B805" s="56"/>
      <c r="C805" s="56"/>
      <c r="D805" s="56"/>
      <c r="E805" s="14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7"/>
      <c r="Q805" s="57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15.75" customHeight="1" x14ac:dyDescent="0.3">
      <c r="A806" s="56"/>
      <c r="B806" s="56"/>
      <c r="C806" s="56"/>
      <c r="D806" s="56"/>
      <c r="E806" s="14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7"/>
      <c r="Q806" s="57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15.75" customHeight="1" x14ac:dyDescent="0.3">
      <c r="A807" s="56"/>
      <c r="B807" s="56"/>
      <c r="C807" s="56"/>
      <c r="D807" s="56"/>
      <c r="E807" s="14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7"/>
      <c r="Q807" s="57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15.75" customHeight="1" x14ac:dyDescent="0.3">
      <c r="A808" s="56"/>
      <c r="B808" s="56"/>
      <c r="C808" s="56"/>
      <c r="D808" s="56"/>
      <c r="E808" s="14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7"/>
      <c r="Q808" s="57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15.75" customHeight="1" x14ac:dyDescent="0.3">
      <c r="A809" s="56"/>
      <c r="B809" s="56"/>
      <c r="C809" s="56"/>
      <c r="D809" s="56"/>
      <c r="E809" s="14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7"/>
      <c r="Q809" s="57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15.75" customHeight="1" x14ac:dyDescent="0.3">
      <c r="A810" s="56"/>
      <c r="B810" s="56"/>
      <c r="C810" s="56"/>
      <c r="D810" s="56"/>
      <c r="E810" s="14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7"/>
      <c r="Q810" s="57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15.75" customHeight="1" x14ac:dyDescent="0.3">
      <c r="A811" s="56"/>
      <c r="B811" s="56"/>
      <c r="C811" s="56"/>
      <c r="D811" s="56"/>
      <c r="E811" s="14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7"/>
      <c r="Q811" s="57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15.75" customHeight="1" x14ac:dyDescent="0.3">
      <c r="A812" s="56"/>
      <c r="B812" s="56"/>
      <c r="C812" s="56"/>
      <c r="D812" s="56"/>
      <c r="E812" s="14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7"/>
      <c r="Q812" s="57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15.75" customHeight="1" x14ac:dyDescent="0.3">
      <c r="A813" s="56"/>
      <c r="B813" s="56"/>
      <c r="C813" s="56"/>
      <c r="D813" s="56"/>
      <c r="E813" s="14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7"/>
      <c r="Q813" s="57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15.75" customHeight="1" x14ac:dyDescent="0.3">
      <c r="A814" s="56"/>
      <c r="B814" s="56"/>
      <c r="C814" s="56"/>
      <c r="D814" s="56"/>
      <c r="E814" s="14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7"/>
      <c r="Q814" s="57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15.75" customHeight="1" x14ac:dyDescent="0.3">
      <c r="A815" s="56"/>
      <c r="B815" s="56"/>
      <c r="C815" s="56"/>
      <c r="D815" s="56"/>
      <c r="E815" s="14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7"/>
      <c r="Q815" s="57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15.75" customHeight="1" x14ac:dyDescent="0.3">
      <c r="A816" s="56"/>
      <c r="B816" s="56"/>
      <c r="C816" s="56"/>
      <c r="D816" s="56"/>
      <c r="E816" s="14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7"/>
      <c r="Q816" s="57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15.75" customHeight="1" x14ac:dyDescent="0.3">
      <c r="A817" s="56"/>
      <c r="B817" s="56"/>
      <c r="C817" s="56"/>
      <c r="D817" s="56"/>
      <c r="E817" s="14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7"/>
      <c r="Q817" s="57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15.75" customHeight="1" x14ac:dyDescent="0.3">
      <c r="A818" s="56"/>
      <c r="B818" s="56"/>
      <c r="C818" s="56"/>
      <c r="D818" s="56"/>
      <c r="E818" s="14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7"/>
      <c r="Q818" s="57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15.75" customHeight="1" x14ac:dyDescent="0.3">
      <c r="A819" s="56"/>
      <c r="B819" s="56"/>
      <c r="C819" s="56"/>
      <c r="D819" s="56"/>
      <c r="E819" s="14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7"/>
      <c r="Q819" s="57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15.75" customHeight="1" x14ac:dyDescent="0.3">
      <c r="A820" s="56"/>
      <c r="B820" s="56"/>
      <c r="C820" s="56"/>
      <c r="D820" s="56"/>
      <c r="E820" s="14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7"/>
      <c r="Q820" s="57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15.75" customHeight="1" x14ac:dyDescent="0.3">
      <c r="A821" s="56"/>
      <c r="B821" s="56"/>
      <c r="C821" s="56"/>
      <c r="D821" s="56"/>
      <c r="E821" s="14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7"/>
      <c r="Q821" s="57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15.75" customHeight="1" x14ac:dyDescent="0.3">
      <c r="A822" s="56"/>
      <c r="B822" s="56"/>
      <c r="C822" s="56"/>
      <c r="D822" s="56"/>
      <c r="E822" s="14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7"/>
      <c r="Q822" s="57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15.75" customHeight="1" x14ac:dyDescent="0.3">
      <c r="A823" s="56"/>
      <c r="B823" s="56"/>
      <c r="C823" s="56"/>
      <c r="D823" s="56"/>
      <c r="E823" s="14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7"/>
      <c r="Q823" s="57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15.75" customHeight="1" x14ac:dyDescent="0.3">
      <c r="A824" s="56"/>
      <c r="B824" s="56"/>
      <c r="C824" s="56"/>
      <c r="D824" s="56"/>
      <c r="E824" s="14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7"/>
      <c r="Q824" s="57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15.75" customHeight="1" x14ac:dyDescent="0.3">
      <c r="A825" s="56"/>
      <c r="B825" s="56"/>
      <c r="C825" s="56"/>
      <c r="D825" s="56"/>
      <c r="E825" s="14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7"/>
      <c r="Q825" s="57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15.75" customHeight="1" x14ac:dyDescent="0.3">
      <c r="A826" s="56"/>
      <c r="B826" s="56"/>
      <c r="C826" s="56"/>
      <c r="D826" s="56"/>
      <c r="E826" s="14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7"/>
      <c r="Q826" s="57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15.75" customHeight="1" x14ac:dyDescent="0.3">
      <c r="A827" s="56"/>
      <c r="B827" s="56"/>
      <c r="C827" s="56"/>
      <c r="D827" s="56"/>
      <c r="E827" s="14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7"/>
      <c r="Q827" s="57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15.75" customHeight="1" x14ac:dyDescent="0.3">
      <c r="A828" s="56"/>
      <c r="B828" s="56"/>
      <c r="C828" s="56"/>
      <c r="D828" s="56"/>
      <c r="E828" s="14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7"/>
      <c r="Q828" s="57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15.75" customHeight="1" x14ac:dyDescent="0.3">
      <c r="A829" s="56"/>
      <c r="B829" s="56"/>
      <c r="C829" s="56"/>
      <c r="D829" s="56"/>
      <c r="E829" s="14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7"/>
      <c r="Q829" s="57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15.75" customHeight="1" x14ac:dyDescent="0.3">
      <c r="A830" s="56"/>
      <c r="B830" s="56"/>
      <c r="C830" s="56"/>
      <c r="D830" s="56"/>
      <c r="E830" s="14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7"/>
      <c r="Q830" s="57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15.75" customHeight="1" x14ac:dyDescent="0.3">
      <c r="A831" s="56"/>
      <c r="B831" s="56"/>
      <c r="C831" s="56"/>
      <c r="D831" s="56"/>
      <c r="E831" s="14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7"/>
      <c r="Q831" s="57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15.75" customHeight="1" x14ac:dyDescent="0.3">
      <c r="A832" s="56"/>
      <c r="B832" s="56"/>
      <c r="C832" s="56"/>
      <c r="D832" s="56"/>
      <c r="E832" s="14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7"/>
      <c r="Q832" s="57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15.75" customHeight="1" x14ac:dyDescent="0.3">
      <c r="A833" s="56"/>
      <c r="B833" s="56"/>
      <c r="C833" s="56"/>
      <c r="D833" s="56"/>
      <c r="E833" s="14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7"/>
      <c r="Q833" s="57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15.75" customHeight="1" x14ac:dyDescent="0.3">
      <c r="A834" s="56"/>
      <c r="B834" s="56"/>
      <c r="C834" s="56"/>
      <c r="D834" s="56"/>
      <c r="E834" s="14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7"/>
      <c r="Q834" s="57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15.75" customHeight="1" x14ac:dyDescent="0.3">
      <c r="A835" s="56"/>
      <c r="B835" s="56"/>
      <c r="C835" s="56"/>
      <c r="D835" s="56"/>
      <c r="E835" s="14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7"/>
      <c r="Q835" s="57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15.75" customHeight="1" x14ac:dyDescent="0.3">
      <c r="A836" s="56"/>
      <c r="B836" s="56"/>
      <c r="C836" s="56"/>
      <c r="D836" s="56"/>
      <c r="E836" s="14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7"/>
      <c r="Q836" s="57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15.75" customHeight="1" x14ac:dyDescent="0.3">
      <c r="A837" s="56"/>
      <c r="B837" s="56"/>
      <c r="C837" s="56"/>
      <c r="D837" s="56"/>
      <c r="E837" s="14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7"/>
      <c r="Q837" s="57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15.75" customHeight="1" x14ac:dyDescent="0.3">
      <c r="A838" s="56"/>
      <c r="B838" s="56"/>
      <c r="C838" s="56"/>
      <c r="D838" s="56"/>
      <c r="E838" s="14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7"/>
      <c r="Q838" s="57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15.75" customHeight="1" x14ac:dyDescent="0.3">
      <c r="A839" s="56"/>
      <c r="B839" s="56"/>
      <c r="C839" s="56"/>
      <c r="D839" s="56"/>
      <c r="E839" s="14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7"/>
      <c r="Q839" s="57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15.75" customHeight="1" x14ac:dyDescent="0.3">
      <c r="A840" s="56"/>
      <c r="B840" s="56"/>
      <c r="C840" s="56"/>
      <c r="D840" s="56"/>
      <c r="E840" s="14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7"/>
      <c r="Q840" s="57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15.75" customHeight="1" x14ac:dyDescent="0.3">
      <c r="A841" s="56"/>
      <c r="B841" s="56"/>
      <c r="C841" s="56"/>
      <c r="D841" s="56"/>
      <c r="E841" s="14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7"/>
      <c r="Q841" s="57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15.75" customHeight="1" x14ac:dyDescent="0.3">
      <c r="A842" s="56"/>
      <c r="B842" s="56"/>
      <c r="C842" s="56"/>
      <c r="D842" s="56"/>
      <c r="E842" s="14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7"/>
      <c r="Q842" s="57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15.75" customHeight="1" x14ac:dyDescent="0.3">
      <c r="A843" s="56"/>
      <c r="B843" s="56"/>
      <c r="C843" s="56"/>
      <c r="D843" s="56"/>
      <c r="E843" s="14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7"/>
      <c r="Q843" s="57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15.75" customHeight="1" x14ac:dyDescent="0.3">
      <c r="A844" s="56"/>
      <c r="B844" s="56"/>
      <c r="C844" s="56"/>
      <c r="D844" s="56"/>
      <c r="E844" s="14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7"/>
      <c r="Q844" s="57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15.75" customHeight="1" x14ac:dyDescent="0.3">
      <c r="A845" s="56"/>
      <c r="B845" s="56"/>
      <c r="C845" s="56"/>
      <c r="D845" s="56"/>
      <c r="E845" s="14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7"/>
      <c r="Q845" s="57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15.75" customHeight="1" x14ac:dyDescent="0.3">
      <c r="A846" s="56"/>
      <c r="B846" s="56"/>
      <c r="C846" s="56"/>
      <c r="D846" s="56"/>
      <c r="E846" s="14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7"/>
      <c r="Q846" s="57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15.75" customHeight="1" x14ac:dyDescent="0.3">
      <c r="A847" s="56"/>
      <c r="B847" s="56"/>
      <c r="C847" s="56"/>
      <c r="D847" s="56"/>
      <c r="E847" s="14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7"/>
      <c r="Q847" s="57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15.75" customHeight="1" x14ac:dyDescent="0.3">
      <c r="A848" s="56"/>
      <c r="B848" s="56"/>
      <c r="C848" s="56"/>
      <c r="D848" s="56"/>
      <c r="E848" s="14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7"/>
      <c r="Q848" s="57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15.75" customHeight="1" x14ac:dyDescent="0.3">
      <c r="A849" s="56"/>
      <c r="B849" s="56"/>
      <c r="C849" s="56"/>
      <c r="D849" s="56"/>
      <c r="E849" s="14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7"/>
      <c r="Q849" s="57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15.75" customHeight="1" x14ac:dyDescent="0.3">
      <c r="A850" s="56"/>
      <c r="B850" s="56"/>
      <c r="C850" s="56"/>
      <c r="D850" s="56"/>
      <c r="E850" s="14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7"/>
      <c r="Q850" s="57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15.75" customHeight="1" x14ac:dyDescent="0.3">
      <c r="A851" s="56"/>
      <c r="B851" s="56"/>
      <c r="C851" s="56"/>
      <c r="D851" s="56"/>
      <c r="E851" s="14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7"/>
      <c r="Q851" s="57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15.75" customHeight="1" x14ac:dyDescent="0.3">
      <c r="A852" s="56"/>
      <c r="B852" s="56"/>
      <c r="C852" s="56"/>
      <c r="D852" s="56"/>
      <c r="E852" s="14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7"/>
      <c r="Q852" s="57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15.75" customHeight="1" x14ac:dyDescent="0.3">
      <c r="A853" s="56"/>
      <c r="B853" s="56"/>
      <c r="C853" s="56"/>
      <c r="D853" s="56"/>
      <c r="E853" s="14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7"/>
      <c r="Q853" s="57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15.75" customHeight="1" x14ac:dyDescent="0.3">
      <c r="A854" s="56"/>
      <c r="B854" s="56"/>
      <c r="C854" s="56"/>
      <c r="D854" s="56"/>
      <c r="E854" s="14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7"/>
      <c r="Q854" s="57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15.75" customHeight="1" x14ac:dyDescent="0.3">
      <c r="A855" s="56"/>
      <c r="B855" s="56"/>
      <c r="C855" s="56"/>
      <c r="D855" s="56"/>
      <c r="E855" s="14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7"/>
      <c r="Q855" s="57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15.75" customHeight="1" x14ac:dyDescent="0.3">
      <c r="A856" s="56"/>
      <c r="B856" s="56"/>
      <c r="C856" s="56"/>
      <c r="D856" s="56"/>
      <c r="E856" s="14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7"/>
      <c r="Q856" s="57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15.75" customHeight="1" x14ac:dyDescent="0.3">
      <c r="A857" s="56"/>
      <c r="B857" s="56"/>
      <c r="C857" s="56"/>
      <c r="D857" s="56"/>
      <c r="E857" s="14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7"/>
      <c r="Q857" s="57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15.75" customHeight="1" x14ac:dyDescent="0.3">
      <c r="A858" s="56"/>
      <c r="B858" s="56"/>
      <c r="C858" s="56"/>
      <c r="D858" s="56"/>
      <c r="E858" s="14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7"/>
      <c r="Q858" s="57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15.75" customHeight="1" x14ac:dyDescent="0.3">
      <c r="A859" s="56"/>
      <c r="B859" s="56"/>
      <c r="C859" s="56"/>
      <c r="D859" s="56"/>
      <c r="E859" s="14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7"/>
      <c r="Q859" s="57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15.75" customHeight="1" x14ac:dyDescent="0.3">
      <c r="A860" s="56"/>
      <c r="B860" s="56"/>
      <c r="C860" s="56"/>
      <c r="D860" s="56"/>
      <c r="E860" s="14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7"/>
      <c r="Q860" s="57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15.75" customHeight="1" x14ac:dyDescent="0.3">
      <c r="A861" s="56"/>
      <c r="B861" s="56"/>
      <c r="C861" s="56"/>
      <c r="D861" s="56"/>
      <c r="E861" s="14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7"/>
      <c r="Q861" s="57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15.75" customHeight="1" x14ac:dyDescent="0.3">
      <c r="A862" s="56"/>
      <c r="B862" s="56"/>
      <c r="C862" s="56"/>
      <c r="D862" s="56"/>
      <c r="E862" s="14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7"/>
      <c r="Q862" s="57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15.75" customHeight="1" x14ac:dyDescent="0.3">
      <c r="A863" s="56"/>
      <c r="B863" s="56"/>
      <c r="C863" s="56"/>
      <c r="D863" s="56"/>
      <c r="E863" s="14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7"/>
      <c r="Q863" s="57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15.75" customHeight="1" x14ac:dyDescent="0.3">
      <c r="A864" s="56"/>
      <c r="B864" s="56"/>
      <c r="C864" s="56"/>
      <c r="D864" s="56"/>
      <c r="E864" s="14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7"/>
      <c r="Q864" s="57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15.75" customHeight="1" x14ac:dyDescent="0.3">
      <c r="A865" s="56"/>
      <c r="B865" s="56"/>
      <c r="C865" s="56"/>
      <c r="D865" s="56"/>
      <c r="E865" s="14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7"/>
      <c r="Q865" s="57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15.75" customHeight="1" x14ac:dyDescent="0.3">
      <c r="A866" s="56"/>
      <c r="B866" s="56"/>
      <c r="C866" s="56"/>
      <c r="D866" s="56"/>
      <c r="E866" s="14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7"/>
      <c r="Q866" s="57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15.75" customHeight="1" x14ac:dyDescent="0.3">
      <c r="A867" s="56"/>
      <c r="B867" s="56"/>
      <c r="C867" s="56"/>
      <c r="D867" s="56"/>
      <c r="E867" s="14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7"/>
      <c r="Q867" s="57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15.75" customHeight="1" x14ac:dyDescent="0.3">
      <c r="A868" s="56"/>
      <c r="B868" s="56"/>
      <c r="C868" s="56"/>
      <c r="D868" s="56"/>
      <c r="E868" s="14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7"/>
      <c r="Q868" s="57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15.75" customHeight="1" x14ac:dyDescent="0.3">
      <c r="A869" s="56"/>
      <c r="B869" s="56"/>
      <c r="C869" s="56"/>
      <c r="D869" s="56"/>
      <c r="E869" s="14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7"/>
      <c r="Q869" s="57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15.75" customHeight="1" x14ac:dyDescent="0.3">
      <c r="A870" s="56"/>
      <c r="B870" s="56"/>
      <c r="C870" s="56"/>
      <c r="D870" s="56"/>
      <c r="E870" s="14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7"/>
      <c r="Q870" s="57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15.75" customHeight="1" x14ac:dyDescent="0.3">
      <c r="A871" s="56"/>
      <c r="B871" s="56"/>
      <c r="C871" s="56"/>
      <c r="D871" s="56"/>
      <c r="E871" s="14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7"/>
      <c r="Q871" s="57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15.75" customHeight="1" x14ac:dyDescent="0.3">
      <c r="A872" s="56"/>
      <c r="B872" s="56"/>
      <c r="C872" s="56"/>
      <c r="D872" s="56"/>
      <c r="E872" s="14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7"/>
      <c r="Q872" s="57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15.75" customHeight="1" x14ac:dyDescent="0.3">
      <c r="A873" s="56"/>
      <c r="B873" s="56"/>
      <c r="C873" s="56"/>
      <c r="D873" s="56"/>
      <c r="E873" s="14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7"/>
      <c r="Q873" s="57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15.75" customHeight="1" x14ac:dyDescent="0.3">
      <c r="A874" s="56"/>
      <c r="B874" s="56"/>
      <c r="C874" s="56"/>
      <c r="D874" s="56"/>
      <c r="E874" s="14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7"/>
      <c r="Q874" s="57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15.75" customHeight="1" x14ac:dyDescent="0.3">
      <c r="A875" s="56"/>
      <c r="B875" s="56"/>
      <c r="C875" s="56"/>
      <c r="D875" s="56"/>
      <c r="E875" s="14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7"/>
      <c r="Q875" s="57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15.75" customHeight="1" x14ac:dyDescent="0.3">
      <c r="A876" s="56"/>
      <c r="B876" s="56"/>
      <c r="C876" s="56"/>
      <c r="D876" s="56"/>
      <c r="E876" s="14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7"/>
      <c r="Q876" s="57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15.75" customHeight="1" x14ac:dyDescent="0.3">
      <c r="A877" s="56"/>
      <c r="B877" s="56"/>
      <c r="C877" s="56"/>
      <c r="D877" s="56"/>
      <c r="E877" s="14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7"/>
      <c r="Q877" s="57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15.75" customHeight="1" x14ac:dyDescent="0.3">
      <c r="A878" s="56"/>
      <c r="B878" s="56"/>
      <c r="C878" s="56"/>
      <c r="D878" s="56"/>
      <c r="E878" s="14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7"/>
      <c r="Q878" s="57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15.75" customHeight="1" x14ac:dyDescent="0.3">
      <c r="A879" s="56"/>
      <c r="B879" s="56"/>
      <c r="C879" s="56"/>
      <c r="D879" s="56"/>
      <c r="E879" s="14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7"/>
      <c r="Q879" s="57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15.75" customHeight="1" x14ac:dyDescent="0.3">
      <c r="A880" s="56"/>
      <c r="B880" s="56"/>
      <c r="C880" s="56"/>
      <c r="D880" s="56"/>
      <c r="E880" s="14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7"/>
      <c r="Q880" s="57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15.75" customHeight="1" x14ac:dyDescent="0.3">
      <c r="A881" s="56"/>
      <c r="B881" s="56"/>
      <c r="C881" s="56"/>
      <c r="D881" s="56"/>
      <c r="E881" s="14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7"/>
      <c r="Q881" s="57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15.75" customHeight="1" x14ac:dyDescent="0.3">
      <c r="A882" s="56"/>
      <c r="B882" s="56"/>
      <c r="C882" s="56"/>
      <c r="D882" s="56"/>
      <c r="E882" s="14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7"/>
      <c r="Q882" s="57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15.75" customHeight="1" x14ac:dyDescent="0.3">
      <c r="A883" s="56"/>
      <c r="B883" s="56"/>
      <c r="C883" s="56"/>
      <c r="D883" s="56"/>
      <c r="E883" s="14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7"/>
      <c r="Q883" s="57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15.75" customHeight="1" x14ac:dyDescent="0.3">
      <c r="A884" s="56"/>
      <c r="B884" s="56"/>
      <c r="C884" s="56"/>
      <c r="D884" s="56"/>
      <c r="E884" s="14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7"/>
      <c r="Q884" s="57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15.75" customHeight="1" x14ac:dyDescent="0.3">
      <c r="A885" s="56"/>
      <c r="B885" s="56"/>
      <c r="C885" s="56"/>
      <c r="D885" s="56"/>
      <c r="E885" s="14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7"/>
      <c r="Q885" s="57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15.75" customHeight="1" x14ac:dyDescent="0.3">
      <c r="A886" s="56"/>
      <c r="B886" s="56"/>
      <c r="C886" s="56"/>
      <c r="D886" s="56"/>
      <c r="E886" s="14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7"/>
      <c r="Q886" s="57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15.75" customHeight="1" x14ac:dyDescent="0.3">
      <c r="A887" s="56"/>
      <c r="B887" s="56"/>
      <c r="C887" s="56"/>
      <c r="D887" s="56"/>
      <c r="E887" s="14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7"/>
      <c r="Q887" s="57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15.75" customHeight="1" x14ac:dyDescent="0.3">
      <c r="A888" s="56"/>
      <c r="B888" s="56"/>
      <c r="C888" s="56"/>
      <c r="D888" s="56"/>
      <c r="E888" s="14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7"/>
      <c r="Q888" s="57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15.75" customHeight="1" x14ac:dyDescent="0.3">
      <c r="A889" s="56"/>
      <c r="B889" s="56"/>
      <c r="C889" s="56"/>
      <c r="D889" s="56"/>
      <c r="E889" s="14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7"/>
      <c r="Q889" s="57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15.75" customHeight="1" x14ac:dyDescent="0.3">
      <c r="A890" s="56"/>
      <c r="B890" s="56"/>
      <c r="C890" s="56"/>
      <c r="D890" s="56"/>
      <c r="E890" s="14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7"/>
      <c r="Q890" s="57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15.75" customHeight="1" x14ac:dyDescent="0.3">
      <c r="A891" s="56"/>
      <c r="B891" s="56"/>
      <c r="C891" s="56"/>
      <c r="D891" s="56"/>
      <c r="E891" s="14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7"/>
      <c r="Q891" s="57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15.75" customHeight="1" x14ac:dyDescent="0.3">
      <c r="A892" s="56"/>
      <c r="B892" s="56"/>
      <c r="C892" s="56"/>
      <c r="D892" s="56"/>
      <c r="E892" s="14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7"/>
      <c r="Q892" s="57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15.75" customHeight="1" x14ac:dyDescent="0.3">
      <c r="A893" s="56"/>
      <c r="B893" s="56"/>
      <c r="C893" s="56"/>
      <c r="D893" s="56"/>
      <c r="E893" s="14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7"/>
      <c r="Q893" s="57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15.75" customHeight="1" x14ac:dyDescent="0.3">
      <c r="A894" s="56"/>
      <c r="B894" s="56"/>
      <c r="C894" s="56"/>
      <c r="D894" s="56"/>
      <c r="E894" s="14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7"/>
      <c r="Q894" s="57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15.75" customHeight="1" x14ac:dyDescent="0.3">
      <c r="A895" s="56"/>
      <c r="B895" s="56"/>
      <c r="C895" s="56"/>
      <c r="D895" s="56"/>
      <c r="E895" s="14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7"/>
      <c r="Q895" s="57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15.75" customHeight="1" x14ac:dyDescent="0.3">
      <c r="A896" s="56"/>
      <c r="B896" s="56"/>
      <c r="C896" s="56"/>
      <c r="D896" s="56"/>
      <c r="E896" s="14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7"/>
      <c r="Q896" s="57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15.75" customHeight="1" x14ac:dyDescent="0.3">
      <c r="A897" s="56"/>
      <c r="B897" s="56"/>
      <c r="C897" s="56"/>
      <c r="D897" s="56"/>
      <c r="E897" s="14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7"/>
      <c r="Q897" s="57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15.75" customHeight="1" x14ac:dyDescent="0.3">
      <c r="A898" s="56"/>
      <c r="B898" s="56"/>
      <c r="C898" s="56"/>
      <c r="D898" s="56"/>
      <c r="E898" s="14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7"/>
      <c r="Q898" s="57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15.75" customHeight="1" x14ac:dyDescent="0.3">
      <c r="A899" s="56"/>
      <c r="B899" s="56"/>
      <c r="C899" s="56"/>
      <c r="D899" s="56"/>
      <c r="E899" s="14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7"/>
      <c r="Q899" s="57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15.75" customHeight="1" x14ac:dyDescent="0.3">
      <c r="A900" s="56"/>
      <c r="B900" s="56"/>
      <c r="C900" s="56"/>
      <c r="D900" s="56"/>
      <c r="E900" s="14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7"/>
      <c r="Q900" s="57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15.75" customHeight="1" x14ac:dyDescent="0.3">
      <c r="A901" s="56"/>
      <c r="B901" s="56"/>
      <c r="C901" s="56"/>
      <c r="D901" s="56"/>
      <c r="E901" s="14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7"/>
      <c r="Q901" s="57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15.75" customHeight="1" x14ac:dyDescent="0.3">
      <c r="A902" s="56"/>
      <c r="B902" s="56"/>
      <c r="C902" s="56"/>
      <c r="D902" s="56"/>
      <c r="E902" s="14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7"/>
      <c r="Q902" s="57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15.75" customHeight="1" x14ac:dyDescent="0.3">
      <c r="A903" s="56"/>
      <c r="B903" s="56"/>
      <c r="C903" s="56"/>
      <c r="D903" s="56"/>
      <c r="E903" s="14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7"/>
      <c r="Q903" s="57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15.75" customHeight="1" x14ac:dyDescent="0.3">
      <c r="A904" s="56"/>
      <c r="B904" s="56"/>
      <c r="C904" s="56"/>
      <c r="D904" s="56"/>
      <c r="E904" s="14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7"/>
      <c r="Q904" s="57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15.75" customHeight="1" x14ac:dyDescent="0.3">
      <c r="A905" s="56"/>
      <c r="B905" s="56"/>
      <c r="C905" s="56"/>
      <c r="D905" s="56"/>
      <c r="E905" s="14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7"/>
      <c r="Q905" s="57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15.75" customHeight="1" x14ac:dyDescent="0.3">
      <c r="A906" s="56"/>
      <c r="B906" s="56"/>
      <c r="C906" s="56"/>
      <c r="D906" s="56"/>
      <c r="E906" s="14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7"/>
      <c r="Q906" s="57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15.75" customHeight="1" x14ac:dyDescent="0.3">
      <c r="A907" s="56"/>
      <c r="B907" s="56"/>
      <c r="C907" s="56"/>
      <c r="D907" s="56"/>
      <c r="E907" s="14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7"/>
      <c r="Q907" s="57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15.75" customHeight="1" x14ac:dyDescent="0.3">
      <c r="A908" s="56"/>
      <c r="B908" s="56"/>
      <c r="C908" s="56"/>
      <c r="D908" s="56"/>
      <c r="E908" s="14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7"/>
      <c r="Q908" s="57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15.75" customHeight="1" x14ac:dyDescent="0.3">
      <c r="A909" s="56"/>
      <c r="B909" s="56"/>
      <c r="C909" s="56"/>
      <c r="D909" s="56"/>
      <c r="E909" s="14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7"/>
      <c r="Q909" s="57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15.75" customHeight="1" x14ac:dyDescent="0.3">
      <c r="A910" s="56"/>
      <c r="B910" s="56"/>
      <c r="C910" s="56"/>
      <c r="D910" s="56"/>
      <c r="E910" s="14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7"/>
      <c r="Q910" s="57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15.75" customHeight="1" x14ac:dyDescent="0.3">
      <c r="A911" s="56"/>
      <c r="B911" s="56"/>
      <c r="C911" s="56"/>
      <c r="D911" s="56"/>
      <c r="E911" s="14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7"/>
      <c r="Q911" s="57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15.75" customHeight="1" x14ac:dyDescent="0.3">
      <c r="A912" s="56"/>
      <c r="B912" s="56"/>
      <c r="C912" s="56"/>
      <c r="D912" s="56"/>
      <c r="E912" s="14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7"/>
      <c r="Q912" s="57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15.75" customHeight="1" x14ac:dyDescent="0.3">
      <c r="A913" s="56"/>
      <c r="B913" s="56"/>
      <c r="C913" s="56"/>
      <c r="D913" s="56"/>
      <c r="E913" s="14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7"/>
      <c r="Q913" s="57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15.75" customHeight="1" x14ac:dyDescent="0.3">
      <c r="A914" s="56"/>
      <c r="B914" s="56"/>
      <c r="C914" s="56"/>
      <c r="D914" s="56"/>
      <c r="E914" s="14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7"/>
      <c r="Q914" s="57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15.75" customHeight="1" x14ac:dyDescent="0.3">
      <c r="A915" s="56"/>
      <c r="B915" s="56"/>
      <c r="C915" s="56"/>
      <c r="D915" s="56"/>
      <c r="E915" s="14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7"/>
      <c r="Q915" s="57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15.75" customHeight="1" x14ac:dyDescent="0.3">
      <c r="A916" s="56"/>
      <c r="B916" s="56"/>
      <c r="C916" s="56"/>
      <c r="D916" s="56"/>
      <c r="E916" s="14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7"/>
      <c r="Q916" s="57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15.75" customHeight="1" x14ac:dyDescent="0.3">
      <c r="A917" s="56"/>
      <c r="B917" s="56"/>
      <c r="C917" s="56"/>
      <c r="D917" s="56"/>
      <c r="E917" s="14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7"/>
      <c r="Q917" s="57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15.75" customHeight="1" x14ac:dyDescent="0.3">
      <c r="A918" s="56"/>
      <c r="B918" s="56"/>
      <c r="C918" s="56"/>
      <c r="D918" s="56"/>
      <c r="E918" s="14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7"/>
      <c r="Q918" s="57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15.75" customHeight="1" x14ac:dyDescent="0.3">
      <c r="A919" s="56"/>
      <c r="B919" s="56"/>
      <c r="C919" s="56"/>
      <c r="D919" s="56"/>
      <c r="E919" s="14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7"/>
      <c r="Q919" s="57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15.75" customHeight="1" x14ac:dyDescent="0.3">
      <c r="A920" s="56"/>
      <c r="B920" s="56"/>
      <c r="C920" s="56"/>
      <c r="D920" s="56"/>
      <c r="E920" s="14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7"/>
      <c r="Q920" s="57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15.75" customHeight="1" x14ac:dyDescent="0.3">
      <c r="A921" s="56"/>
      <c r="B921" s="56"/>
      <c r="C921" s="56"/>
      <c r="D921" s="56"/>
      <c r="E921" s="14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7"/>
      <c r="Q921" s="57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15.75" customHeight="1" x14ac:dyDescent="0.3">
      <c r="A922" s="56"/>
      <c r="B922" s="56"/>
      <c r="C922" s="56"/>
      <c r="D922" s="56"/>
      <c r="E922" s="14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7"/>
      <c r="Q922" s="57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15.75" customHeight="1" x14ac:dyDescent="0.3">
      <c r="A923" s="56"/>
      <c r="B923" s="56"/>
      <c r="C923" s="56"/>
      <c r="D923" s="56"/>
      <c r="E923" s="14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7"/>
      <c r="Q923" s="57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15.75" customHeight="1" x14ac:dyDescent="0.3">
      <c r="A924" s="56"/>
      <c r="B924" s="56"/>
      <c r="C924" s="56"/>
      <c r="D924" s="56"/>
      <c r="E924" s="14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7"/>
      <c r="Q924" s="57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15.75" customHeight="1" x14ac:dyDescent="0.3">
      <c r="A925" s="56"/>
      <c r="B925" s="56"/>
      <c r="C925" s="56"/>
      <c r="D925" s="56"/>
      <c r="E925" s="14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7"/>
      <c r="Q925" s="57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15.75" customHeight="1" x14ac:dyDescent="0.3">
      <c r="A926" s="56"/>
      <c r="B926" s="56"/>
      <c r="C926" s="56"/>
      <c r="D926" s="56"/>
      <c r="E926" s="14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7"/>
      <c r="Q926" s="57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15.75" customHeight="1" x14ac:dyDescent="0.3">
      <c r="A927" s="56"/>
      <c r="B927" s="56"/>
      <c r="C927" s="56"/>
      <c r="D927" s="56"/>
      <c r="E927" s="14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7"/>
      <c r="Q927" s="57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15.75" customHeight="1" x14ac:dyDescent="0.3">
      <c r="A928" s="56"/>
      <c r="B928" s="56"/>
      <c r="C928" s="56"/>
      <c r="D928" s="56"/>
      <c r="E928" s="14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7"/>
      <c r="Q928" s="57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15.75" customHeight="1" x14ac:dyDescent="0.3">
      <c r="A929" s="56"/>
      <c r="B929" s="56"/>
      <c r="C929" s="56"/>
      <c r="D929" s="56"/>
      <c r="E929" s="14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7"/>
      <c r="Q929" s="57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15.75" customHeight="1" x14ac:dyDescent="0.3">
      <c r="A930" s="56"/>
      <c r="B930" s="56"/>
      <c r="C930" s="56"/>
      <c r="D930" s="56"/>
      <c r="E930" s="14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7"/>
      <c r="Q930" s="57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15.75" customHeight="1" x14ac:dyDescent="0.3">
      <c r="A931" s="56"/>
      <c r="B931" s="56"/>
      <c r="C931" s="56"/>
      <c r="D931" s="56"/>
      <c r="E931" s="14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7"/>
      <c r="Q931" s="57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15.75" customHeight="1" x14ac:dyDescent="0.3">
      <c r="A932" s="56"/>
      <c r="B932" s="56"/>
      <c r="C932" s="56"/>
      <c r="D932" s="56"/>
      <c r="E932" s="14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7"/>
      <c r="Q932" s="57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15.75" customHeight="1" x14ac:dyDescent="0.3">
      <c r="A933" s="56"/>
      <c r="B933" s="56"/>
      <c r="C933" s="56"/>
      <c r="D933" s="56"/>
      <c r="E933" s="14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7"/>
      <c r="Q933" s="57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15.75" customHeight="1" x14ac:dyDescent="0.3">
      <c r="A934" s="56"/>
      <c r="B934" s="56"/>
      <c r="C934" s="56"/>
      <c r="D934" s="56"/>
      <c r="E934" s="14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7"/>
      <c r="Q934" s="57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15.75" customHeight="1" x14ac:dyDescent="0.3">
      <c r="A935" s="56"/>
      <c r="B935" s="56"/>
      <c r="C935" s="56"/>
      <c r="D935" s="56"/>
      <c r="E935" s="14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7"/>
      <c r="Q935" s="57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15.75" customHeight="1" x14ac:dyDescent="0.3">
      <c r="A936" s="56"/>
      <c r="B936" s="56"/>
      <c r="C936" s="56"/>
      <c r="D936" s="56"/>
      <c r="E936" s="14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7"/>
      <c r="Q936" s="57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15.75" customHeight="1" x14ac:dyDescent="0.3">
      <c r="A937" s="56"/>
      <c r="B937" s="56"/>
      <c r="C937" s="56"/>
      <c r="D937" s="56"/>
      <c r="E937" s="14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7"/>
      <c r="Q937" s="57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15.75" customHeight="1" x14ac:dyDescent="0.3">
      <c r="A938" s="56"/>
      <c r="B938" s="56"/>
      <c r="C938" s="56"/>
      <c r="D938" s="56"/>
      <c r="E938" s="14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7"/>
      <c r="Q938" s="57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15.75" customHeight="1" x14ac:dyDescent="0.3">
      <c r="A939" s="56"/>
      <c r="B939" s="56"/>
      <c r="C939" s="56"/>
      <c r="D939" s="56"/>
      <c r="E939" s="14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7"/>
      <c r="Q939" s="57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15.75" customHeight="1" x14ac:dyDescent="0.3">
      <c r="A940" s="56"/>
      <c r="B940" s="56"/>
      <c r="C940" s="56"/>
      <c r="D940" s="56"/>
      <c r="E940" s="14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7"/>
      <c r="Q940" s="57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15.75" customHeight="1" x14ac:dyDescent="0.3">
      <c r="A941" s="56"/>
      <c r="B941" s="56"/>
      <c r="C941" s="56"/>
      <c r="D941" s="56"/>
      <c r="E941" s="14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7"/>
      <c r="Q941" s="57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15.75" customHeight="1" x14ac:dyDescent="0.3">
      <c r="A942" s="56"/>
      <c r="B942" s="56"/>
      <c r="C942" s="56"/>
      <c r="D942" s="56"/>
      <c r="E942" s="14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7"/>
      <c r="Q942" s="57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15.75" customHeight="1" x14ac:dyDescent="0.3">
      <c r="A943" s="56"/>
      <c r="B943" s="56"/>
      <c r="C943" s="56"/>
      <c r="D943" s="56"/>
      <c r="E943" s="14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7"/>
      <c r="Q943" s="57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15.75" customHeight="1" x14ac:dyDescent="0.3">
      <c r="A944" s="56"/>
      <c r="B944" s="56"/>
      <c r="C944" s="56"/>
      <c r="D944" s="56"/>
      <c r="E944" s="14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7"/>
      <c r="Q944" s="57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15.75" customHeight="1" x14ac:dyDescent="0.3">
      <c r="A945" s="56"/>
      <c r="B945" s="56"/>
      <c r="C945" s="56"/>
      <c r="D945" s="56"/>
      <c r="E945" s="14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7"/>
      <c r="Q945" s="57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15.75" customHeight="1" x14ac:dyDescent="0.3">
      <c r="A946" s="56"/>
      <c r="B946" s="56"/>
      <c r="C946" s="56"/>
      <c r="D946" s="56"/>
      <c r="E946" s="14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7"/>
      <c r="Q946" s="57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15.75" customHeight="1" x14ac:dyDescent="0.3">
      <c r="A947" s="56"/>
      <c r="B947" s="56"/>
      <c r="C947" s="56"/>
      <c r="D947" s="56"/>
      <c r="E947" s="14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7"/>
      <c r="Q947" s="57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15.75" customHeight="1" x14ac:dyDescent="0.3">
      <c r="A948" s="56"/>
      <c r="B948" s="56"/>
      <c r="C948" s="56"/>
      <c r="D948" s="56"/>
      <c r="E948" s="14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7"/>
      <c r="Q948" s="57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15.75" customHeight="1" x14ac:dyDescent="0.3">
      <c r="A949" s="56"/>
      <c r="B949" s="56"/>
      <c r="C949" s="56"/>
      <c r="D949" s="56"/>
      <c r="E949" s="14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7"/>
      <c r="Q949" s="57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15.75" customHeight="1" x14ac:dyDescent="0.3">
      <c r="A950" s="56"/>
      <c r="B950" s="56"/>
      <c r="C950" s="56"/>
      <c r="D950" s="56"/>
      <c r="E950" s="14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7"/>
      <c r="Q950" s="57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15.75" customHeight="1" x14ac:dyDescent="0.3">
      <c r="A951" s="56"/>
      <c r="B951" s="56"/>
      <c r="C951" s="56"/>
      <c r="D951" s="56"/>
      <c r="E951" s="14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7"/>
      <c r="Q951" s="57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15.75" customHeight="1" x14ac:dyDescent="0.3">
      <c r="A952" s="56"/>
      <c r="B952" s="56"/>
      <c r="C952" s="56"/>
      <c r="D952" s="56"/>
      <c r="E952" s="14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7"/>
      <c r="Q952" s="57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15.75" customHeight="1" x14ac:dyDescent="0.3">
      <c r="A953" s="56"/>
      <c r="B953" s="56"/>
      <c r="C953" s="56"/>
      <c r="D953" s="56"/>
      <c r="E953" s="14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7"/>
      <c r="Q953" s="57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15.75" customHeight="1" x14ac:dyDescent="0.3">
      <c r="A954" s="56"/>
      <c r="B954" s="56"/>
      <c r="C954" s="56"/>
      <c r="D954" s="56"/>
      <c r="E954" s="14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7"/>
      <c r="Q954" s="57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15.75" customHeight="1" x14ac:dyDescent="0.3">
      <c r="A955" s="56"/>
      <c r="B955" s="56"/>
      <c r="C955" s="56"/>
      <c r="D955" s="56"/>
      <c r="E955" s="14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7"/>
      <c r="Q955" s="57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15.75" customHeight="1" x14ac:dyDescent="0.3">
      <c r="A956" s="56"/>
      <c r="B956" s="56"/>
      <c r="C956" s="56"/>
      <c r="D956" s="56"/>
      <c r="E956" s="14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7"/>
      <c r="Q956" s="57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15.75" customHeight="1" x14ac:dyDescent="0.3">
      <c r="A957" s="56"/>
      <c r="B957" s="56"/>
      <c r="C957" s="56"/>
      <c r="D957" s="56"/>
      <c r="E957" s="14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7"/>
      <c r="Q957" s="57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15.75" customHeight="1" x14ac:dyDescent="0.3">
      <c r="A958" s="56"/>
      <c r="B958" s="56"/>
      <c r="C958" s="56"/>
      <c r="D958" s="56"/>
      <c r="E958" s="14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7"/>
      <c r="Q958" s="57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15.75" customHeight="1" x14ac:dyDescent="0.3">
      <c r="A959" s="56"/>
      <c r="B959" s="56"/>
      <c r="C959" s="56"/>
      <c r="D959" s="56"/>
      <c r="E959" s="14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7"/>
      <c r="Q959" s="57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15.75" customHeight="1" x14ac:dyDescent="0.3">
      <c r="A960" s="56"/>
      <c r="B960" s="56"/>
      <c r="C960" s="56"/>
      <c r="D960" s="56"/>
      <c r="E960" s="14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7"/>
      <c r="Q960" s="57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15.75" customHeight="1" x14ac:dyDescent="0.3">
      <c r="A961" s="56"/>
      <c r="B961" s="56"/>
      <c r="C961" s="56"/>
      <c r="D961" s="56"/>
      <c r="E961" s="14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7"/>
      <c r="Q961" s="57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15.75" customHeight="1" x14ac:dyDescent="0.3">
      <c r="A962" s="56"/>
      <c r="B962" s="56"/>
      <c r="C962" s="56"/>
      <c r="D962" s="56"/>
      <c r="E962" s="14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7"/>
      <c r="Q962" s="57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15.75" customHeight="1" x14ac:dyDescent="0.3">
      <c r="A963" s="56"/>
      <c r="B963" s="56"/>
      <c r="C963" s="56"/>
      <c r="D963" s="56"/>
      <c r="E963" s="14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7"/>
      <c r="Q963" s="57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15.75" customHeight="1" x14ac:dyDescent="0.3">
      <c r="A964" s="56"/>
      <c r="B964" s="56"/>
      <c r="C964" s="56"/>
      <c r="D964" s="56"/>
      <c r="E964" s="14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7"/>
      <c r="Q964" s="57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15.75" customHeight="1" x14ac:dyDescent="0.3">
      <c r="A965" s="56"/>
      <c r="B965" s="56"/>
      <c r="C965" s="56"/>
      <c r="D965" s="56"/>
      <c r="E965" s="14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7"/>
      <c r="Q965" s="57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15.75" customHeight="1" x14ac:dyDescent="0.3">
      <c r="A966" s="56"/>
      <c r="B966" s="56"/>
      <c r="C966" s="56"/>
      <c r="D966" s="56"/>
      <c r="E966" s="14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7"/>
      <c r="Q966" s="57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15.75" customHeight="1" x14ac:dyDescent="0.3">
      <c r="A967" s="56"/>
      <c r="B967" s="56"/>
      <c r="C967" s="56"/>
      <c r="D967" s="56"/>
      <c r="E967" s="14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7"/>
      <c r="Q967" s="57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15.75" customHeight="1" x14ac:dyDescent="0.3">
      <c r="A968" s="56"/>
      <c r="B968" s="56"/>
      <c r="C968" s="56"/>
      <c r="D968" s="56"/>
      <c r="E968" s="14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7"/>
      <c r="Q968" s="57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15.75" customHeight="1" x14ac:dyDescent="0.3">
      <c r="A969" s="56"/>
      <c r="B969" s="56"/>
      <c r="C969" s="56"/>
      <c r="D969" s="56"/>
      <c r="E969" s="14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7"/>
      <c r="Q969" s="57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15.75" customHeight="1" x14ac:dyDescent="0.3">
      <c r="A970" s="56"/>
      <c r="B970" s="56"/>
      <c r="C970" s="56"/>
      <c r="D970" s="56"/>
      <c r="E970" s="14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7"/>
      <c r="Q970" s="57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15.75" customHeight="1" x14ac:dyDescent="0.3">
      <c r="A971" s="56"/>
      <c r="B971" s="56"/>
      <c r="C971" s="56"/>
      <c r="D971" s="56"/>
      <c r="E971" s="14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7"/>
      <c r="Q971" s="57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15.75" customHeight="1" x14ac:dyDescent="0.3">
      <c r="A972" s="56"/>
      <c r="B972" s="56"/>
      <c r="C972" s="56"/>
      <c r="D972" s="56"/>
      <c r="E972" s="14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7"/>
      <c r="Q972" s="57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15.75" customHeight="1" x14ac:dyDescent="0.3">
      <c r="A973" s="56"/>
      <c r="B973" s="56"/>
      <c r="C973" s="56"/>
      <c r="D973" s="56"/>
      <c r="E973" s="14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7"/>
      <c r="Q973" s="57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15.75" customHeight="1" x14ac:dyDescent="0.3">
      <c r="A974" s="56"/>
      <c r="B974" s="56"/>
      <c r="C974" s="56"/>
      <c r="D974" s="56"/>
      <c r="E974" s="14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7"/>
      <c r="Q974" s="57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15.75" customHeight="1" x14ac:dyDescent="0.3">
      <c r="A975" s="56"/>
      <c r="B975" s="56"/>
      <c r="C975" s="56"/>
      <c r="D975" s="56"/>
      <c r="E975" s="14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7"/>
      <c r="Q975" s="57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15.75" customHeight="1" x14ac:dyDescent="0.3">
      <c r="A976" s="56"/>
      <c r="B976" s="56"/>
      <c r="C976" s="56"/>
      <c r="D976" s="56"/>
      <c r="E976" s="14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7"/>
      <c r="Q976" s="57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15.75" customHeight="1" x14ac:dyDescent="0.3">
      <c r="A977" s="56"/>
      <c r="B977" s="56"/>
      <c r="C977" s="56"/>
      <c r="D977" s="56"/>
      <c r="E977" s="14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7"/>
      <c r="Q977" s="57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15.75" customHeight="1" x14ac:dyDescent="0.3">
      <c r="A978" s="56"/>
      <c r="B978" s="56"/>
      <c r="C978" s="56"/>
      <c r="D978" s="56"/>
      <c r="E978" s="14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7"/>
      <c r="Q978" s="57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15.75" customHeight="1" x14ac:dyDescent="0.3">
      <c r="A979" s="56"/>
      <c r="B979" s="56"/>
      <c r="C979" s="56"/>
      <c r="D979" s="56"/>
      <c r="E979" s="14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7"/>
      <c r="Q979" s="57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15.75" customHeight="1" x14ac:dyDescent="0.3">
      <c r="A980" s="56"/>
      <c r="B980" s="56"/>
      <c r="C980" s="56"/>
      <c r="D980" s="56"/>
      <c r="E980" s="14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7"/>
      <c r="Q980" s="57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15.75" customHeight="1" x14ac:dyDescent="0.3">
      <c r="A981" s="56"/>
      <c r="B981" s="56"/>
      <c r="C981" s="56"/>
      <c r="D981" s="56"/>
      <c r="E981" s="14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7"/>
      <c r="Q981" s="57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15.75" customHeight="1" x14ac:dyDescent="0.3">
      <c r="A982" s="56"/>
      <c r="B982" s="56"/>
      <c r="C982" s="56"/>
      <c r="D982" s="56"/>
      <c r="E982" s="14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7"/>
      <c r="Q982" s="57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15.75" customHeight="1" x14ac:dyDescent="0.3">
      <c r="A983" s="56"/>
      <c r="B983" s="56"/>
      <c r="C983" s="56"/>
      <c r="D983" s="56"/>
      <c r="E983" s="14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7"/>
      <c r="Q983" s="57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15.75" customHeight="1" x14ac:dyDescent="0.3">
      <c r="A984" s="56"/>
      <c r="B984" s="56"/>
      <c r="C984" s="56"/>
      <c r="D984" s="56"/>
      <c r="E984" s="14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7"/>
      <c r="Q984" s="57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15.75" customHeight="1" x14ac:dyDescent="0.3">
      <c r="A985" s="56"/>
      <c r="B985" s="56"/>
      <c r="C985" s="56"/>
      <c r="D985" s="56"/>
      <c r="E985" s="14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7"/>
      <c r="Q985" s="57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15.75" customHeight="1" x14ac:dyDescent="0.3">
      <c r="A986" s="56"/>
      <c r="B986" s="56"/>
      <c r="C986" s="56"/>
      <c r="D986" s="56"/>
      <c r="E986" s="14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7"/>
      <c r="Q986" s="57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15.75" customHeight="1" x14ac:dyDescent="0.3">
      <c r="A987" s="56"/>
      <c r="B987" s="56"/>
      <c r="C987" s="56"/>
      <c r="D987" s="56"/>
      <c r="E987" s="14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7"/>
      <c r="Q987" s="57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15.75" customHeight="1" x14ac:dyDescent="0.3">
      <c r="A988" s="56"/>
      <c r="B988" s="56"/>
      <c r="C988" s="56"/>
      <c r="D988" s="56"/>
      <c r="E988" s="14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7"/>
      <c r="Q988" s="57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15.75" customHeight="1" x14ac:dyDescent="0.3">
      <c r="A989" s="56"/>
      <c r="B989" s="56"/>
      <c r="C989" s="56"/>
      <c r="D989" s="56"/>
      <c r="E989" s="14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7"/>
      <c r="Q989" s="57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15.75" customHeight="1" x14ac:dyDescent="0.3">
      <c r="A990" s="56"/>
      <c r="B990" s="56"/>
      <c r="C990" s="56"/>
      <c r="D990" s="56"/>
      <c r="E990" s="14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7"/>
      <c r="Q990" s="57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15.75" customHeight="1" x14ac:dyDescent="0.3">
      <c r="A991" s="56"/>
      <c r="B991" s="56"/>
      <c r="C991" s="56"/>
      <c r="D991" s="56"/>
      <c r="E991" s="14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7"/>
      <c r="Q991" s="57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15.75" customHeight="1" x14ac:dyDescent="0.3">
      <c r="A992" s="56"/>
      <c r="B992" s="56"/>
      <c r="C992" s="56"/>
      <c r="D992" s="56"/>
      <c r="E992" s="14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7"/>
      <c r="Q992" s="57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15.75" customHeight="1" x14ac:dyDescent="0.3">
      <c r="A993" s="56"/>
      <c r="B993" s="56"/>
      <c r="C993" s="56"/>
      <c r="D993" s="56"/>
      <c r="E993" s="14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7"/>
      <c r="Q993" s="57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15.75" customHeight="1" x14ac:dyDescent="0.3">
      <c r="A994" s="56"/>
      <c r="B994" s="56"/>
      <c r="C994" s="56"/>
      <c r="D994" s="56"/>
      <c r="E994" s="14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7"/>
      <c r="Q994" s="57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15.75" customHeight="1" x14ac:dyDescent="0.3">
      <c r="A995" s="56"/>
      <c r="B995" s="56"/>
      <c r="C995" s="56"/>
      <c r="D995" s="56"/>
      <c r="E995" s="14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7"/>
      <c r="Q995" s="57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15.75" customHeight="1" x14ac:dyDescent="0.3">
      <c r="A996" s="56"/>
      <c r="B996" s="56"/>
      <c r="C996" s="56"/>
      <c r="D996" s="56"/>
      <c r="E996" s="14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7"/>
      <c r="Q996" s="57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15.75" customHeight="1" x14ac:dyDescent="0.3">
      <c r="A997" s="56"/>
      <c r="B997" s="56"/>
      <c r="C997" s="56"/>
      <c r="D997" s="56"/>
      <c r="E997" s="14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7"/>
      <c r="Q997" s="57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15.75" customHeight="1" x14ac:dyDescent="0.3">
      <c r="A998" s="56"/>
      <c r="B998" s="56"/>
      <c r="C998" s="56"/>
      <c r="D998" s="56"/>
      <c r="E998" s="14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7"/>
      <c r="Q998" s="57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15.75" customHeight="1" x14ac:dyDescent="0.3">
      <c r="A999" s="56"/>
      <c r="B999" s="56"/>
      <c r="C999" s="56"/>
      <c r="D999" s="56"/>
      <c r="E999" s="14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7"/>
      <c r="Q999" s="57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15.75" customHeight="1" x14ac:dyDescent="0.3">
      <c r="A1000" s="56"/>
      <c r="B1000" s="56"/>
      <c r="C1000" s="56"/>
      <c r="D1000" s="56"/>
      <c r="E1000" s="14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7"/>
      <c r="Q1000" s="57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autoFilter ref="A7:N116" xr:uid="{00000000-0009-0000-0000-000006000000}">
    <sortState xmlns:xlrd2="http://schemas.microsoft.com/office/spreadsheetml/2017/richdata2" ref="A7:N116">
      <sortCondition ref="B7:B116"/>
    </sortState>
  </autoFilter>
  <mergeCells count="4">
    <mergeCell ref="A1:N1"/>
    <mergeCell ref="A2:N2"/>
    <mergeCell ref="A3:N3"/>
    <mergeCell ref="G5:M5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INV. FINAL + CIE</vt:lpstr>
      <vt:lpstr>INV. FINAL </vt:lpstr>
      <vt:lpstr>CONCENTRADO</vt:lpstr>
      <vt:lpstr>SALIDA DE FRUTA Y VERDURA </vt:lpstr>
      <vt:lpstr>SALIDA POLLO-CANAL</vt:lpstr>
      <vt:lpstr>Hoja8</vt:lpstr>
      <vt:lpstr>Hoja6</vt:lpstr>
      <vt:lpstr>SALIDA FORRAJERA</vt:lpstr>
      <vt:lpstr>SALIDA VARIOS </vt:lpstr>
      <vt:lpstr>INV. FINAL  (2)</vt:lpstr>
      <vt:lpstr>07 abril </vt:lpstr>
      <vt:lpstr>14 abril </vt:lpstr>
      <vt:lpstr>21 ABRIL </vt:lpstr>
      <vt:lpstr>28 ABRIL </vt:lpstr>
      <vt:lpstr>30 ABRIL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Cárdenas</dc:creator>
  <cp:lastModifiedBy>Saul Meza</cp:lastModifiedBy>
  <cp:lastPrinted>2026-05-05T20:04:05Z</cp:lastPrinted>
  <dcterms:created xsi:type="dcterms:W3CDTF">2026-04-10T14:17:33Z</dcterms:created>
  <dcterms:modified xsi:type="dcterms:W3CDTF">2026-05-29T22:17:45Z</dcterms:modified>
</cp:coreProperties>
</file>